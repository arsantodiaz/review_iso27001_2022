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ndiaz\Downloads\_Working_Claude_\📚ISO2701_Templates&amp;Samples\"/>
    </mc:Choice>
  </mc:AlternateContent>
  <xr:revisionPtr revIDLastSave="0" documentId="13_ncr:1_{C6E63B1E-040A-4B71-913C-37650B752C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T" sheetId="1" r:id="rId1"/>
    <sheet name="REF" sheetId="5" r:id="rId2"/>
    <sheet name="Asset Owner" sheetId="4" r:id="rId3"/>
    <sheet name="Parameter" sheetId="2" r:id="rId4"/>
    <sheet name="Panduan" sheetId="3" r:id="rId5"/>
  </sheets>
  <definedNames>
    <definedName name="_xlnm._FilterDatabase" localSheetId="0" hidden="1">IT!$A$14:$AQ$25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9" i="1" l="1"/>
  <c r="AL19" i="1"/>
  <c r="AN19" i="1" s="1"/>
  <c r="AO19" i="1" s="1"/>
  <c r="S19" i="1"/>
  <c r="T19" i="1" s="1"/>
  <c r="B19" i="1"/>
  <c r="AM18" i="1"/>
  <c r="AL18" i="1"/>
  <c r="AN18" i="1" s="1"/>
  <c r="AO18" i="1" s="1"/>
  <c r="S18" i="1"/>
  <c r="T18" i="1" s="1"/>
  <c r="B18" i="1"/>
  <c r="AM17" i="1"/>
  <c r="AL17" i="1"/>
  <c r="AN17" i="1" s="1"/>
  <c r="AO17" i="1" s="1"/>
  <c r="S17" i="1"/>
  <c r="T17" i="1" s="1"/>
  <c r="B17" i="1"/>
  <c r="AM16" i="1"/>
  <c r="AN16" i="1" s="1"/>
  <c r="AO16" i="1" s="1"/>
  <c r="AL16" i="1"/>
  <c r="T16" i="1"/>
  <c r="S16" i="1"/>
  <c r="B16" i="1"/>
  <c r="AM15" i="1"/>
  <c r="AL15" i="1"/>
  <c r="AN15" i="1" s="1"/>
  <c r="AO15" i="1" s="1"/>
  <c r="S15" i="1"/>
  <c r="T15" i="1" s="1"/>
  <c r="B15" i="1"/>
  <c r="AM20" i="1"/>
  <c r="AL20" i="1"/>
  <c r="AN20" i="1" s="1"/>
  <c r="AO20" i="1" s="1"/>
  <c r="S20" i="1"/>
  <c r="T20" i="1" s="1"/>
  <c r="B20" i="1"/>
  <c r="AM22" i="1"/>
  <c r="AL22" i="1"/>
  <c r="S22" i="1"/>
  <c r="T22" i="1" s="1"/>
  <c r="B22" i="1"/>
  <c r="AM21" i="1"/>
  <c r="AL21" i="1"/>
  <c r="AN21" i="1" s="1"/>
  <c r="AO21" i="1" s="1"/>
  <c r="S21" i="1"/>
  <c r="T21" i="1" s="1"/>
  <c r="B21" i="1"/>
  <c r="AM23" i="1"/>
  <c r="AL23" i="1"/>
  <c r="S23" i="1"/>
  <c r="T23" i="1" s="1"/>
  <c r="B23" i="1"/>
  <c r="AM24" i="1"/>
  <c r="AL24" i="1"/>
  <c r="S24" i="1"/>
  <c r="T24" i="1" s="1"/>
  <c r="B24" i="1"/>
  <c r="AA10" i="3"/>
  <c r="AA5" i="3"/>
  <c r="H40" i="2"/>
  <c r="G40" i="2"/>
  <c r="F40" i="2"/>
  <c r="E40" i="2"/>
  <c r="D40" i="2"/>
  <c r="H39" i="2"/>
  <c r="G39" i="2"/>
  <c r="F39" i="2"/>
  <c r="E39" i="2"/>
  <c r="D39" i="2"/>
  <c r="H38" i="2"/>
  <c r="G38" i="2"/>
  <c r="F38" i="2"/>
  <c r="E38" i="2"/>
  <c r="D38" i="2"/>
  <c r="H37" i="2"/>
  <c r="G37" i="2"/>
  <c r="F37" i="2"/>
  <c r="E37" i="2"/>
  <c r="D37" i="2"/>
  <c r="H36" i="2"/>
  <c r="G36" i="2"/>
  <c r="F36" i="2"/>
  <c r="E36" i="2"/>
  <c r="D36" i="2"/>
  <c r="B14" i="1"/>
  <c r="AN22" i="1" l="1"/>
  <c r="AO22" i="1" s="1"/>
  <c r="B26" i="1"/>
  <c r="AN23" i="1"/>
  <c r="AO23" i="1" s="1"/>
  <c r="AN24" i="1"/>
  <c r="AO24" i="1" s="1"/>
  <c r="C14" i="1"/>
  <c r="D14" i="1" l="1"/>
  <c r="E14" i="1" s="1"/>
  <c r="F14" i="1" s="1"/>
  <c r="G14" i="1" s="1"/>
  <c r="H14" i="1" s="1"/>
  <c r="I14" i="1" l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l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Y14" i="1"/>
</calcChain>
</file>

<file path=xl/sharedStrings.xml><?xml version="1.0" encoding="utf-8"?>
<sst xmlns="http://schemas.openxmlformats.org/spreadsheetml/2006/main" count="977" uniqueCount="456">
  <si>
    <t>DIVISI/DEPARTEMEN</t>
  </si>
  <si>
    <t>TUGAS UTAMA</t>
  </si>
  <si>
    <t>:</t>
  </si>
  <si>
    <t>NAMA PENANGGUNG JAWAB RISIKO</t>
  </si>
  <si>
    <t>PERIODE</t>
  </si>
  <si>
    <t>Identifikasi</t>
  </si>
  <si>
    <t xml:space="preserve">Analisis </t>
  </si>
  <si>
    <t>Rencana Tindak Lanjut</t>
  </si>
  <si>
    <t>Kode/No</t>
  </si>
  <si>
    <t>Penjabaran Risiko</t>
  </si>
  <si>
    <t>Kategori Risiko</t>
  </si>
  <si>
    <t>Internal/
Eksternal</t>
  </si>
  <si>
    <t>Nama 
Aset</t>
  </si>
  <si>
    <t>Kategori 
Aset</t>
  </si>
  <si>
    <t>Akar Masalah</t>
  </si>
  <si>
    <t>Ancaman</t>
  </si>
  <si>
    <t>Kerentanan</t>
  </si>
  <si>
    <t>Pengendalian Saat Ini</t>
  </si>
  <si>
    <t>Kerahasiaan/
Keutuhan/
Ketersediaan</t>
  </si>
  <si>
    <t>Referensi 
Pengendalian</t>
  </si>
  <si>
    <t>Kode 
(R/P)</t>
  </si>
  <si>
    <t>Tingkat Dampak</t>
  </si>
  <si>
    <t>Tingkat Probabilitas</t>
  </si>
  <si>
    <t>Nilai Risiko</t>
  </si>
  <si>
    <t>Tingkat Risiko</t>
  </si>
  <si>
    <t xml:space="preserve">Risk Appetite </t>
  </si>
  <si>
    <t>Risk Tolerance</t>
  </si>
  <si>
    <t>Rencana Penanganan Risiko</t>
  </si>
  <si>
    <t>Analisis Risiko</t>
  </si>
  <si>
    <t>Status</t>
  </si>
  <si>
    <t>Sign off</t>
  </si>
  <si>
    <t>DONE</t>
  </si>
  <si>
    <t>Penyebab</t>
  </si>
  <si>
    <t>Akibat</t>
  </si>
  <si>
    <t>Clause</t>
  </si>
  <si>
    <t>Annex</t>
  </si>
  <si>
    <t>Aktivitas</t>
  </si>
  <si>
    <t>PIC</t>
  </si>
  <si>
    <t>Target Waktu</t>
  </si>
  <si>
    <t>Rencana Reviu</t>
  </si>
  <si>
    <t>Hasil</t>
  </si>
  <si>
    <t>Dampak</t>
  </si>
  <si>
    <t>Probabilitas</t>
  </si>
  <si>
    <t>Nilai Risiko Baru</t>
  </si>
  <si>
    <t>Internal</t>
  </si>
  <si>
    <t>Risiko</t>
  </si>
  <si>
    <t>SEDANG-RENDAH</t>
  </si>
  <si>
    <t>Software</t>
  </si>
  <si>
    <t>SEDANG</t>
  </si>
  <si>
    <t>TINGGI</t>
  </si>
  <si>
    <t>RENDAH</t>
  </si>
  <si>
    <t>SEDANG-TINGGI</t>
  </si>
  <si>
    <t>Hardware</t>
  </si>
  <si>
    <t>TINGKAT PROBABILITAS</t>
  </si>
  <si>
    <t>Nilai</t>
  </si>
  <si>
    <t>Level</t>
  </si>
  <si>
    <t>Risiko IT 1</t>
  </si>
  <si>
    <t>Risiko IT 2</t>
  </si>
  <si>
    <t>Risiko IT 3</t>
  </si>
  <si>
    <t>Risiko IT 4</t>
  </si>
  <si>
    <t>Risiko IT 5</t>
  </si>
  <si>
    <t>Rendah</t>
  </si>
  <si>
    <t>Hampir Tidak Pernah Terjadi/Sangat Jarang</t>
  </si>
  <si>
    <t>Sedang-Rendah</t>
  </si>
  <si>
    <t>Kemungkinan Terjadi Ada Tetapi Kecil/Jarang</t>
  </si>
  <si>
    <t>Sedang</t>
  </si>
  <si>
    <t>Mungkin Saja Terjadi/Mungkin</t>
  </si>
  <si>
    <t>Sedang-Tinggi</t>
  </si>
  <si>
    <t>Kemungkinan Besar Jarang Terjadi/Sering</t>
  </si>
  <si>
    <t>Tinggi</t>
  </si>
  <si>
    <t>Hampir Selalu Terjadi/Sangat Sering</t>
  </si>
  <si>
    <t>TINGKAT DAMPAK</t>
  </si>
  <si>
    <t>PELUANG</t>
  </si>
  <si>
    <t xml:space="preserve">Dampak </t>
  </si>
  <si>
    <t>Pengembangan Produk/Layanan Baru</t>
  </si>
  <si>
    <t>Penambahan 
Pelanggan</t>
  </si>
  <si>
    <t>Peningkatan Produktivitas</t>
  </si>
  <si>
    <t>Pengembangan Teknologi Baru</t>
  </si>
  <si>
    <t>Penghematan Biaya</t>
  </si>
  <si>
    <t>Deskripsi</t>
  </si>
  <si>
    <t>Bisnis</t>
  </si>
  <si>
    <t>Finansial</t>
  </si>
  <si>
    <t>Operasional
(Produk atau Pelayanan)</t>
  </si>
  <si>
    <t>Merusak Reputasi</t>
  </si>
  <si>
    <t>Perundangan, Peraturan dan Kepatuhan</t>
  </si>
  <si>
    <t>Dampaknya Sangat Kecil</t>
  </si>
  <si>
    <t>Sangat kecil, tidak ada</t>
  </si>
  <si>
    <t>Sangat kecil, tidak ada citra negatif yang mengakibatkan penurunan kepercayaan</t>
  </si>
  <si>
    <t>Sangat kecil, tidak ada sanksi yang dikenakan ke perusahaan</t>
  </si>
  <si>
    <t>Dampaknya Kecil/Minor</t>
  </si>
  <si>
    <t>Tidak mengganggu proses bisnis namun terdapat sedikit keluhan</t>
  </si>
  <si>
    <t>Sedikit kerugian atau biaya yang harus dikeluarkan berkisar &lt; Rp 50.000.000,00</t>
  </si>
  <si>
    <t>Masih bisa ditoleransi, mengakibatkan penundaan aktivitas (operasional tidak dapat dijalankan) maksimum 2 Jam</t>
  </si>
  <si>
    <t>Terdapat citra negatif, namun masih bisa ditoleransi oleh perusahaan</t>
  </si>
  <si>
    <t>Risiko kecil ketika tidak terpenuhi, seperti sanksi berupa teguran tertulis karena sebagian kecil regulasi sudah terdokumentasi, tetapi belum diterapkan secara konsisten</t>
  </si>
  <si>
    <t>Cukup sulit pengembangan produk atau jasa baru</t>
  </si>
  <si>
    <t>Cukup sulit penambahan baru</t>
  </si>
  <si>
    <t>Sedikit menambah produktifitas, 0-5%</t>
  </si>
  <si>
    <t>Sedikit dapat mengembangkan teknologi, 0-5%</t>
  </si>
  <si>
    <t>Sedikit menguntungkan, potensi keuntungan 0-5%</t>
  </si>
  <si>
    <t>Dampaknya Sedang/Moderate</t>
  </si>
  <si>
    <t>Hanya beberapa proses bisnis tidak berjalan, namun terdapat keluhan secara formal</t>
  </si>
  <si>
    <t>Menghabiskan cukup biaya atau kerugian yang harus dikeluarkan berkisar Rp 50.000.000,00 - Rp 100.000.000,00</t>
  </si>
  <si>
    <t>Cukup berpengaruh terhadap mutu produk atau layanan, mengakibatkan penundaan aktivitas (operasional tidak dapat dijalankan) maksimum 12 Jam</t>
  </si>
  <si>
    <t>Terdapat citra negatif yang cukup berpengaruh terhadap reputasi perusahaan sehingga mempengaruhi kinerja atau kebijakan</t>
  </si>
  <si>
    <t>Cukup berbahaya, potensi Ilegal operasional, terdapat sanksi berupa teguran tertulis karena masih banyak regulasi yang belum diterapkan</t>
  </si>
  <si>
    <t>Cukup mudah untuk pengembangan produk atau jasa baru</t>
  </si>
  <si>
    <t>Cukup mudah untuk penambahan pelanggan baru</t>
  </si>
  <si>
    <t>Cukup menambah produktivitas, 5-15%</t>
  </si>
  <si>
    <t>Cukup untk dapat dengan mudah mengembangkan , 5-15%</t>
  </si>
  <si>
    <t>Cukup menguntungkan, potensi keuntungan 5-15%</t>
  </si>
  <si>
    <t>Dampaknya Besar/Major</t>
  </si>
  <si>
    <t>Sebagian proses bisnis tidak berjalan dengan adanya keluhan yang perlu dieskalasi dan berpotensi menyebar</t>
  </si>
  <si>
    <t>Banyak menghabiskan biaya atau kerugian yang berkisar Rp 100.000.000,00 - Rp 500.000.000,00</t>
  </si>
  <si>
    <t>Potensi bahaya terhadap mutu produk/layanan, mengakibatkan penundaan aktivitas (operasional tidak dapat dijalankan) maksimum 24 Jam</t>
  </si>
  <si>
    <t>Potensi bahaya berupa pemberitaan negatif yang berpengaruh terhadap reputasi perusahaan</t>
  </si>
  <si>
    <t>Ilegal operasional pada berbagai area, terdapat sanksi berupa pemanggilan dari pihak yang berwenang terkait pelanggaran regulasi yang berlaku</t>
  </si>
  <si>
    <t>Sangat mudah pengembangan produk atau jasa baru</t>
  </si>
  <si>
    <t xml:space="preserve">Sangat mudah </t>
  </si>
  <si>
    <t>Peningkatan produktivitas baik,
sekitar 15-30%</t>
  </si>
  <si>
    <t>Pengembangan teknologi realtif baik, sekitar  15-30%</t>
  </si>
  <si>
    <t>Sangat menguntungkan, potensi keuntungan 15-30%</t>
  </si>
  <si>
    <t>Dampaknya Sangat Besar/Catasthropic</t>
  </si>
  <si>
    <t>Proses bisnis tidak berjalan total dengan adanya potensi pemutusan hubungan kerja sama atau bisnis</t>
  </si>
  <si>
    <t>Membutuhkan biaya sangat besar atau kerugian yang berkisar &gt; Rp 500.000.000,00</t>
  </si>
  <si>
    <t>Merusak mutu produk atau layanan, mengakibatkan penundaan aktivitas (operasional tidak dapat dijalankan) lebih dari 1 hari</t>
  </si>
  <si>
    <t>Merusak reputasi dengan diikutinya kehilangan kepercayaan dari pihak berkepentingan</t>
  </si>
  <si>
    <t>Ilegal operasional potensi dihukum berat, terdapat sanksi penutupan perusahaan akibat melanggar regulasi yang berlaku</t>
  </si>
  <si>
    <t>Mampu mengembangkan beberapa produk atau jasa baru</t>
  </si>
  <si>
    <t>Pasti Mampu menambah pelanggan baru</t>
  </si>
  <si>
    <t>Mampu menambah produktivitas denga sangat baik, diatas 30%</t>
  </si>
  <si>
    <t>Mampu dalam pengembangan teknologi dengan  sangat baik, diatas 30%</t>
  </si>
  <si>
    <t>Sangat menguntungkan, diatas 30%</t>
  </si>
  <si>
    <t>Tabel Matriks Risiko</t>
  </si>
  <si>
    <t>PROBABILITAS</t>
  </si>
  <si>
    <t>Tabel Matrik Risiko</t>
  </si>
  <si>
    <t>DAMPAK</t>
  </si>
  <si>
    <t xml:space="preserve">Tinggi </t>
  </si>
  <si>
    <t xml:space="preserve">Sedang </t>
  </si>
  <si>
    <t>Tabel Matriks Resiko</t>
  </si>
  <si>
    <t>Sedang Rendah</t>
  </si>
  <si>
    <t>Sedang Tinggi</t>
  </si>
  <si>
    <t>Sangat Tinggi</t>
  </si>
  <si>
    <t xml:space="preserve">NILAI RISIKO POJK </t>
  </si>
  <si>
    <t>Indikator Risiko</t>
  </si>
  <si>
    <t>Nilai POJK 10</t>
  </si>
  <si>
    <t xml:space="preserve">RENDAH : </t>
  </si>
  <si>
    <t>0 &lt; NR ≤ 1</t>
  </si>
  <si>
    <t xml:space="preserve">SEDANG-RENDAH : </t>
  </si>
  <si>
    <t>1 &lt; NR ≤ 2</t>
  </si>
  <si>
    <t>SEDANG :</t>
  </si>
  <si>
    <t>2 &lt; NR ≤ 3</t>
  </si>
  <si>
    <t>SEDANG-TINGGI :</t>
  </si>
  <si>
    <t>3 &lt; NR ≤ 4</t>
  </si>
  <si>
    <t>TINGGI :</t>
  </si>
  <si>
    <t>4 &lt; NR ≤ 5</t>
  </si>
  <si>
    <t>Nilai Risiko Inheren</t>
  </si>
  <si>
    <t>NILAI RISIKO</t>
  </si>
  <si>
    <t>TINGKAT RISIKO</t>
  </si>
  <si>
    <t>1x1</t>
  </si>
  <si>
    <t>1x2</t>
  </si>
  <si>
    <t>1x3</t>
  </si>
  <si>
    <t>2x1</t>
  </si>
  <si>
    <t>2x2</t>
  </si>
  <si>
    <t>3x1</t>
  </si>
  <si>
    <t>1x4</t>
  </si>
  <si>
    <t>1x5</t>
  </si>
  <si>
    <t>2x3</t>
  </si>
  <si>
    <t>2x4</t>
  </si>
  <si>
    <t>3x2</t>
  </si>
  <si>
    <t>3x3</t>
  </si>
  <si>
    <t>4x1</t>
  </si>
  <si>
    <t>4x2</t>
  </si>
  <si>
    <t>5x1</t>
  </si>
  <si>
    <t>2x5</t>
  </si>
  <si>
    <t>3x4</t>
  </si>
  <si>
    <t>4x3</t>
  </si>
  <si>
    <t>5x2</t>
  </si>
  <si>
    <t>3x5</t>
  </si>
  <si>
    <t>4x4</t>
  </si>
  <si>
    <t>5x3</t>
  </si>
  <si>
    <t>4x5</t>
  </si>
  <si>
    <t>5x5</t>
  </si>
  <si>
    <t>5x4</t>
  </si>
  <si>
    <t>Intangible</t>
  </si>
  <si>
    <t>Peluang</t>
  </si>
  <si>
    <t>PANDUAN PENGISIAN</t>
  </si>
  <si>
    <t>Penjabaran Risiko/Peluang</t>
  </si>
  <si>
    <t>Nama Aset</t>
  </si>
  <si>
    <t>Kategori Aset</t>
  </si>
  <si>
    <t>Penyebab dan Akibat</t>
  </si>
  <si>
    <t>Kode (R/P)</t>
  </si>
  <si>
    <t>√</t>
  </si>
  <si>
    <t/>
  </si>
  <si>
    <t>RISK REGISTER</t>
  </si>
  <si>
    <t>Revisi</t>
  </si>
  <si>
    <t>Halaman</t>
  </si>
  <si>
    <t>1 / 1</t>
  </si>
  <si>
    <t>X</t>
  </si>
  <si>
    <t>No</t>
  </si>
  <si>
    <t>Bagian</t>
  </si>
  <si>
    <t>Kolom</t>
  </si>
  <si>
    <t>Keterangan</t>
  </si>
  <si>
    <t>Kode</t>
  </si>
  <si>
    <t>Diisi dengan 3 huruf awal nama Divisi/Departemen atau
Diisi dengan 3 huruf awal setiap kata Divisi/Departemen yang lebih dari satu kata</t>
  </si>
  <si>
    <t>Diisi dengan nomor urut risiko Divisi/Departemen</t>
  </si>
  <si>
    <r>
      <rPr>
        <b/>
        <sz val="11"/>
        <color theme="1"/>
        <rFont val="Calibri"/>
        <family val="2"/>
      </rPr>
      <t xml:space="preserve">Risiko : </t>
    </r>
    <r>
      <rPr>
        <sz val="11"/>
        <color theme="1"/>
        <rFont val="Calibri"/>
        <family val="2"/>
      </rPr>
      <t xml:space="preserve">
Diisi dengan risiko yang mungkin terjadi atau sudah pernah terjadi di dalam Divisi/Departemen sebagai akibat dari suatu proses kerja.
</t>
    </r>
    <r>
      <rPr>
        <b/>
        <sz val="11"/>
        <color theme="1"/>
        <rFont val="Calibri"/>
        <family val="2"/>
      </rPr>
      <t>Peluang :</t>
    </r>
    <r>
      <rPr>
        <sz val="11"/>
        <color theme="1"/>
        <rFont val="Calibri"/>
        <family val="2"/>
      </rPr>
      <t xml:space="preserve">
Diisi dengan peluang yang mungkin terjadi sebagai akibat dari  penggunaan aset dalam suatu proses kerja.</t>
    </r>
  </si>
  <si>
    <t>Diisi dengan memilih 1 (satu) dari 9 (sembilan) kategori risiko di bawah ini:
- Strategis
- Operasional
- Asuransi
- Kredit
- Pasar
- Likuiditas
- Hukum
- Kepatuhan
- Reputasi</t>
  </si>
  <si>
    <t>Sebutkan nama aset yang digunakan dalam suatu proses untuk mendukung bisnis/operasional perusahaan. Aset yang dicatat yang mengandung informasi/pendukung penyimpanan atau pengelolaan suatu informasi.</t>
  </si>
  <si>
    <t>Diisi dengan memilih 1 (satu) dari 5 (lima) kategori aset di bawah ini:
- Hardware
- Software
- Intangible
- Dokumen/Informasi
- People</t>
  </si>
  <si>
    <t>Analisis</t>
  </si>
  <si>
    <t>Diisi dengan penyebab yang mungkin atau sudah pernah timbul dari risiko yang ada.</t>
  </si>
  <si>
    <t>Diisi dengan akibat yang mungkin atau sudah pernah timbul dari risiko yang ada.</t>
  </si>
  <si>
    <t>Diisi dengan tindakan yang dapat dilakukan oleh Divisi/Departemen terkait pada saat itu dalam mengatasi risiko yang timbul.</t>
  </si>
  <si>
    <t>Dipilih antara R (Risiko) atau P (Peluang) sesuai kolom penjabaran Risiko/Peluang yang diisi sebelumnya.</t>
  </si>
  <si>
    <t>Tingkat Dampak
(D)</t>
  </si>
  <si>
    <r>
      <rPr>
        <sz val="11"/>
        <color theme="1"/>
        <rFont val="Calibri"/>
        <family val="2"/>
      </rPr>
      <t xml:space="preserve">Diisi dengan dampak yang mungkin atau sudah pernah timbul dari risiko yang ada berdasarkan parameter.
*salah satu kondisi yang sesuai parameter dampak akan diperhitungkan menjadi nilai/tingkat dampak
</t>
    </r>
    <r>
      <rPr>
        <b/>
        <sz val="11"/>
        <color theme="1"/>
        <rFont val="Calibri"/>
        <family val="2"/>
      </rPr>
      <t>(Dapat dilihat pada Parameter)</t>
    </r>
  </si>
  <si>
    <t>Tingkat Probabilitas
(P)</t>
  </si>
  <si>
    <r>
      <rPr>
        <sz val="11"/>
        <color theme="1"/>
        <rFont val="Calibri"/>
        <family val="2"/>
      </rPr>
      <t xml:space="preserve">Diisi dengan tingkat frekuensi terjadi atau kemungkinan terjadinya risiko.
</t>
    </r>
    <r>
      <rPr>
        <b/>
        <sz val="11"/>
        <color theme="1"/>
        <rFont val="Calibri"/>
        <family val="2"/>
      </rPr>
      <t>(Dapat dilihat pada Parameter)</t>
    </r>
  </si>
  <si>
    <t>Nilai risiko inheren (bawaan) yang muncul dan dirasakan oleh Divisi/Departemen.
Dihitung dengan rumus:
= D x P</t>
  </si>
  <si>
    <r>
      <rPr>
        <sz val="11"/>
        <color theme="1"/>
        <rFont val="Calibri"/>
        <family val="2"/>
      </rPr>
      <t xml:space="preserve">Diisi dengan kriteria hasil risiko yang terjadi dari perhitungan DxP.
</t>
    </r>
    <r>
      <rPr>
        <b/>
        <sz val="11"/>
        <color theme="1"/>
        <rFont val="Calibri"/>
        <family val="2"/>
      </rPr>
      <t>(Dapat dilihat pada Parameter)</t>
    </r>
  </si>
  <si>
    <t>Rencana Tindak Lanjut
(Khusus Nilai Risiko Yang Melewati Risk Appetite)</t>
  </si>
  <si>
    <t>Rencana Penanganan Risiko - Aktivitas</t>
  </si>
  <si>
    <t>Diisi dengan tindak lanjut yang direkomendasikan oleh fungsi Risk Management guna mengatasi risiko yang teridentifikasi.
*Sesuai dengan Kebijakan dan Strategi Manajemen Risiko Perusahaan, untuk setiap Risiko memiliki Risk Appetite Tingkat 2 (Dua)</t>
  </si>
  <si>
    <t>Rencana Penanganan Risiko - PIC</t>
  </si>
  <si>
    <t>Diisi dengan penanggung jawab dari Divisi/Departemen terkait dalam melaksanakan tindak lanjut yang sudah ditentukan.</t>
  </si>
  <si>
    <t>Rencana Penanganan Risiko - Target Waktu</t>
  </si>
  <si>
    <t>Diisi dengan tanggal penyelesaian tindak lanjut dalam mengatasi risiko.</t>
  </si>
  <si>
    <t>Rencana Penanganan Risiko - Rencana Reviu</t>
  </si>
  <si>
    <t>Diisi dengan tanggal penilaian efektifitas tindak lanjut dalam mengatasi risiko.</t>
  </si>
  <si>
    <t>Rencana Penanganan Risiko - Hasil</t>
  </si>
  <si>
    <t>Bukti dari implementasi tindak lanjut yang dilaksanakan.</t>
  </si>
  <si>
    <t>Analisis Risiko - Dampak</t>
  </si>
  <si>
    <t>Tingkat keparahan yang dirasakan perusahaan/organisasi jika risiko terkait timbul.</t>
  </si>
  <si>
    <t>Analisis Risiko - Probabilitas</t>
  </si>
  <si>
    <t>Tingkat frekuensi terjadi atau kemungkinan terjadinya risiko.</t>
  </si>
  <si>
    <t>Analisis Risiko - Nilai Risiko Baru</t>
  </si>
  <si>
    <t>Nilai baru mengenai tingkat risiko yang muncul dan dirasakan oleh perusahaan/organisasi setelah ditindak lanjuti.
Dihitung dengan rumus:
= D x P</t>
  </si>
  <si>
    <t>Status (CLOSE/OPEN)</t>
  </si>
  <si>
    <t>Diisi dengan status pemantauan risiko yang ditindak lanjuti, apakah sudah teratasi atau belum.</t>
  </si>
  <si>
    <t>Sign off by</t>
  </si>
  <si>
    <t>Jika sudah teratasi dan status CLOSE, maka di tanda tangani oleh evaluator/reviewer</t>
  </si>
  <si>
    <t>Sign off date</t>
  </si>
  <si>
    <t>Diisi dengan tanggal sign off dilakukan.</t>
  </si>
  <si>
    <t>DONE
Maret 2026</t>
  </si>
  <si>
    <t xml:space="preserve"> - In Progress -
1 Maret 2026</t>
  </si>
  <si>
    <t>: Triwulan 1 2026</t>
  </si>
  <si>
    <t>Nama Bagian</t>
  </si>
  <si>
    <t>Aset</t>
  </si>
  <si>
    <t>Digital Application Development</t>
  </si>
  <si>
    <t>Source Code Application</t>
  </si>
  <si>
    <t>Information</t>
  </si>
  <si>
    <t>Development Tools</t>
  </si>
  <si>
    <t>Hak Cipta / Kekayaan Intelektual (IP) Aplikasi</t>
  </si>
  <si>
    <t>Tim Programmer / Developer (In-house)</t>
  </si>
  <si>
    <t>People</t>
  </si>
  <si>
    <t>API Spec Documentation</t>
  </si>
  <si>
    <t>Business Analyst</t>
  </si>
  <si>
    <t>Dokumen BRD, FSD, &amp; User Story</t>
  </si>
  <si>
    <t>Pemetaan Proses Bisnis (Business Process Mapping)</t>
  </si>
  <si>
    <t>Personel Business Analyst</t>
  </si>
  <si>
    <t>Matriks Persyaratan Fungsional &amp; Non-Fungsional</t>
  </si>
  <si>
    <t>Quality Assurance</t>
  </si>
  <si>
    <t>Test Case / Skenario Uji</t>
  </si>
  <si>
    <t>Data Dummy</t>
  </si>
  <si>
    <t>Automation Testing</t>
  </si>
  <si>
    <t>Personel Quality Assurance</t>
  </si>
  <si>
    <t>Test Environment (Lingkungan Uji)</t>
  </si>
  <si>
    <t>Digital Strategy</t>
  </si>
  <si>
    <t>Roadmap Digital</t>
  </si>
  <si>
    <t>Hasil Riset Inovasi Teknologi</t>
  </si>
  <si>
    <t>Personel Data Strategy</t>
  </si>
  <si>
    <t>Enterprise Architecture Model (Blue Print IT)</t>
  </si>
  <si>
    <t>IT Balanced Scorecard (Metrik Kinerja IT)</t>
  </si>
  <si>
    <t>Data Management</t>
  </si>
  <si>
    <t>Database Core System</t>
  </si>
  <si>
    <t>Database Non Core System</t>
  </si>
  <si>
    <t>Database Management Tools</t>
  </si>
  <si>
    <t>Dokumen Arsitektur Data</t>
  </si>
  <si>
    <t>Personel Data Engineer</t>
  </si>
  <si>
    <t>Personel DBA</t>
  </si>
  <si>
    <t>Master Data Management</t>
  </si>
  <si>
    <t>Data Retention &amp; Disposal Rules</t>
  </si>
  <si>
    <t>Dokumen ROPA</t>
  </si>
  <si>
    <t>Dokumen DPIA</t>
  </si>
  <si>
    <t>DevSecOps</t>
  </si>
  <si>
    <t>Script CI/CD Pipeline</t>
  </si>
  <si>
    <t>Vulnerability Scanner</t>
  </si>
  <si>
    <t>Data list environment (Container Images)</t>
  </si>
  <si>
    <t>Personel DevSecOps</t>
  </si>
  <si>
    <t>Personel Security Analyst</t>
  </si>
  <si>
    <t>Monitoring Tools</t>
  </si>
  <si>
    <t>IT Infra - Sysadmin</t>
  </si>
  <si>
    <t>Perangkat Server</t>
  </si>
  <si>
    <t>Sistem Operasi</t>
  </si>
  <si>
    <t>Konfigurasi Server</t>
  </si>
  <si>
    <t>Server &amp; OS Credential</t>
  </si>
  <si>
    <t>Data Center</t>
  </si>
  <si>
    <t>Personel IT Infra - Sysadmin</t>
  </si>
  <si>
    <t>Lisensi Server</t>
  </si>
  <si>
    <t>Dokumen Baseline Hardening</t>
  </si>
  <si>
    <t>Data Backup &amp; Restore Point</t>
  </si>
  <si>
    <t>Mail Server</t>
  </si>
  <si>
    <t>Core System</t>
  </si>
  <si>
    <t>SSL Sertificate</t>
  </si>
  <si>
    <t>IT Infra - Network</t>
  </si>
  <si>
    <t>Perangkat Jaringan</t>
  </si>
  <si>
    <t>Topologi Jaringan &amp; Konfigurasi Routing</t>
  </si>
  <si>
    <t>Personel IT Infra - Network</t>
  </si>
  <si>
    <t>Lisensi perangkat Network</t>
  </si>
  <si>
    <t>Matriks Firewall Rules &amp; Access Control List (ACL)</t>
  </si>
  <si>
    <t>Matriks VLAN</t>
  </si>
  <si>
    <t>IT Infrastructure Technical Support</t>
  </si>
  <si>
    <t>Endpoint / PC &amp; Laptop</t>
  </si>
  <si>
    <t>Aplikasi Ticketing</t>
  </si>
  <si>
    <t>Katalog Layanan IT (IT Service Catalog)</t>
  </si>
  <si>
    <t>IT Core Development</t>
  </si>
  <si>
    <t>Source Code Core System Applications</t>
  </si>
  <si>
    <t>Dokumen Teknis Aplikasi Core</t>
  </si>
  <si>
    <t>Personel IT Core Development</t>
  </si>
  <si>
    <t>IT Application Production Support</t>
  </si>
  <si>
    <t>Personel IT Prod-Support</t>
  </si>
  <si>
    <t>Chief Technology &amp; Information Officer</t>
  </si>
  <si>
    <t>Dokumen IT Budget</t>
  </si>
  <si>
    <t>Dokumen Kebijakan &amp; Strategi Keamanan (ISMS)</t>
  </si>
  <si>
    <t>Job Desc Tim IT</t>
  </si>
  <si>
    <t>Dokumen project update</t>
  </si>
  <si>
    <t>Personel CTIO</t>
  </si>
  <si>
    <t>Data Analytics</t>
  </si>
  <si>
    <t>Dashboard Monitoring Tool</t>
  </si>
  <si>
    <t>Kumpulan Dataset Analitik</t>
  </si>
  <si>
    <t>Personel Data Analytics</t>
  </si>
  <si>
    <t>IT Governance</t>
  </si>
  <si>
    <t>SOP IT Department</t>
  </si>
  <si>
    <t>Form form pengajuan ke IT Department</t>
  </si>
  <si>
    <t>Dokumen Risk Appetite &amp; Risk Tolerance</t>
  </si>
  <si>
    <t>Personel IT Governance</t>
  </si>
  <si>
    <t>Matrix Hak Akses Istimewa</t>
  </si>
  <si>
    <t>RASCI MATRIX</t>
  </si>
  <si>
    <t>BCDRP Plan &amp; Scenario</t>
  </si>
  <si>
    <t>IT Vendor/Supplier Management</t>
  </si>
  <si>
    <t>Dokumen Kontrak Kerja Sama (PKS) &amp; NDA Vendor</t>
  </si>
  <si>
    <t>Laporan Service Level Agreement (SLA) Vendor</t>
  </si>
  <si>
    <t>Lisensi Layanan 3rd Party</t>
  </si>
  <si>
    <t>Personel IT Supplier Management</t>
  </si>
  <si>
    <t>Tenaga Alih Daya (Outsource IT dari Vendor)</t>
  </si>
  <si>
    <t>IT Security</t>
  </si>
  <si>
    <t>Laporan Cyber Threat Intelligence (CTI) &amp; Feeds</t>
  </si>
  <si>
    <t>Dokumen Incident Response Plan (IRP) &amp; Forensic Playbooks</t>
  </si>
  <si>
    <t>Sistem Security Information and Event Management (SIEM)</t>
  </si>
  <si>
    <t>Aplikasi/Sistem Identity and Access Management (IAM) &amp; PAM</t>
  </si>
  <si>
    <t>Matriks Hak Akses (Access Control Matrix) &amp; Log Review Akses</t>
  </si>
  <si>
    <t>Laporan Vulnerability Assessment &amp; Penetration Testing</t>
  </si>
  <si>
    <t>Modul Security Awareness &amp; Hasil Incident Simulation</t>
  </si>
  <si>
    <t>Jenis Aset</t>
  </si>
  <si>
    <t>CIA</t>
  </si>
  <si>
    <t>Kerahasiaan [C]</t>
  </si>
  <si>
    <t>Keutuhan [I]</t>
  </si>
  <si>
    <t>Ketersediaan [A]</t>
  </si>
  <si>
    <t>Aplikasi Identity and Access Management (IAM) &amp; PAM</t>
  </si>
  <si>
    <t>Jenis Risiko</t>
  </si>
  <si>
    <t>Strategis</t>
  </si>
  <si>
    <t>Operasional</t>
  </si>
  <si>
    <t>Kredit</t>
  </si>
  <si>
    <t>Pasar</t>
  </si>
  <si>
    <t>Likuiditas</t>
  </si>
  <si>
    <t>Hukum</t>
  </si>
  <si>
    <t>Kepatuhan</t>
  </si>
  <si>
    <t>Reputasi</t>
  </si>
  <si>
    <t>Asuransi</t>
  </si>
  <si>
    <t>Risiko/Peluang</t>
  </si>
  <si>
    <t>External</t>
  </si>
  <si>
    <t>Internal / Eksternal</t>
  </si>
  <si>
    <t>New - Open</t>
  </si>
  <si>
    <t>In Progress</t>
  </si>
  <si>
    <t>Closed</t>
  </si>
  <si>
    <t>Kerahasiaan [C] + Keutuhan [I]</t>
  </si>
  <si>
    <t>Kerahasiaan [C] + Ketersediaan [A]</t>
  </si>
  <si>
    <t>Keutuhan [I] + Ketersediaan [A]</t>
  </si>
  <si>
    <t>Semua (C - I - A)</t>
  </si>
  <si>
    <t>Respon Paska Kejadian</t>
  </si>
  <si>
    <t>Pencegahan</t>
  </si>
  <si>
    <t>Risk Owner</t>
  </si>
  <si>
    <t>INT/EX</t>
  </si>
  <si>
    <t>R / P</t>
  </si>
  <si>
    <t>Tingkat</t>
  </si>
  <si>
    <t>Appetite</t>
  </si>
  <si>
    <t>Tolerance</t>
  </si>
  <si>
    <t>Respon Kejadian</t>
  </si>
  <si>
    <t>Target</t>
  </si>
  <si>
    <t>Log Aplikasi / Log Server</t>
  </si>
  <si>
    <t>Personel IT Infra - Tech Support</t>
  </si>
  <si>
    <t>Personil</t>
  </si>
  <si>
    <t>IT Security Analyst</t>
  </si>
  <si>
    <t>Owner 2</t>
  </si>
  <si>
    <t>Owner 1</t>
  </si>
  <si>
    <t>IT Infrastructure (Head)</t>
  </si>
  <si>
    <t>Proses SDLC</t>
  </si>
  <si>
    <t>API Endpoint</t>
  </si>
  <si>
    <t>Budi Candra</t>
  </si>
  <si>
    <t>Iman Subarkah</t>
  </si>
  <si>
    <t>Proses ETL</t>
  </si>
  <si>
    <t>Dasboard Business Intelligence</t>
  </si>
  <si>
    <t>Arsitektur Aplikasi</t>
  </si>
  <si>
    <t>Aplikasi Mobile</t>
  </si>
  <si>
    <t>Aplikasi Web</t>
  </si>
  <si>
    <t>Aplikasi Core System</t>
  </si>
  <si>
    <t>Personel IT</t>
  </si>
  <si>
    <t>Personel Digital Strategy</t>
  </si>
  <si>
    <t>Data Internal Perusahaan</t>
  </si>
  <si>
    <t>Dokumen Cyber Threat Intelligence (CTI) &amp; Feeds</t>
  </si>
  <si>
    <t>Dokumen Vulnerability Assessment &amp; Penetration Testing</t>
  </si>
  <si>
    <t>Lisensi SSL</t>
  </si>
  <si>
    <t>Dokumen Matriks VLAN</t>
  </si>
  <si>
    <t>Dokumen Matrix Hak Akses Istimewa</t>
  </si>
  <si>
    <t>Dokumen Roadmap Digital</t>
  </si>
  <si>
    <t>Personel Tenaga Alih Daya (Outsource IT dari Vendor)</t>
  </si>
  <si>
    <t>Dokumen Konfigurasi Perangkat Jaringan</t>
  </si>
  <si>
    <t>Dokumen Konfigurasi Server</t>
  </si>
  <si>
    <t>Dokumen Topologi Jaringan</t>
  </si>
  <si>
    <t>Dokumen Training Security Awareness</t>
  </si>
  <si>
    <t>Dokumen Data Retention &amp; Disposal Rules</t>
  </si>
  <si>
    <t>Dokumen Hasil Incident Simulation</t>
  </si>
  <si>
    <t>Dokumen BCDRP Plan &amp; Scenario</t>
  </si>
  <si>
    <t>Dokumen Pemetaan Proses Bisnis (Business Process Mapping)</t>
  </si>
  <si>
    <t>Dokumen Riset Inovasi Teknologi</t>
  </si>
  <si>
    <t>Dokumen Katalog Layanan IT (IT Service Catalog)</t>
  </si>
  <si>
    <t>Dokumen Form Pengajuan ke IT Department</t>
  </si>
  <si>
    <t>Dokumen Job Desc Tim IT</t>
  </si>
  <si>
    <t>Penyebab / Faktor Pendorong</t>
  </si>
  <si>
    <t>Akibat / Manfaat</t>
  </si>
  <si>
    <t>Ancaman / Pendorong Eksternal</t>
  </si>
  <si>
    <t>Kerentanan / Hambatan Realisasi</t>
  </si>
  <si>
    <t>Pencegahan / Peluang</t>
  </si>
  <si>
    <t>Rencana Tinjauan
Q1</t>
  </si>
  <si>
    <t>Rencana Tinjauan
Q3</t>
  </si>
  <si>
    <t>Tinjauan Q1</t>
  </si>
  <si>
    <t>Tinjauan Q2</t>
  </si>
  <si>
    <t>Rencana Tinjauan
Q2</t>
  </si>
  <si>
    <t xml:space="preserve"> Q1 Review</t>
  </si>
  <si>
    <t>Q2 Review</t>
  </si>
  <si>
    <t>Q1 Hasil</t>
  </si>
  <si>
    <t>Q2 Hasil</t>
  </si>
  <si>
    <t>Tinjauan Q3</t>
  </si>
  <si>
    <t>Q3 Review</t>
  </si>
  <si>
    <t>Q3 Hasil</t>
  </si>
  <si>
    <t>Rencana Tinjauan
Q4</t>
  </si>
  <si>
    <t>Q4 Review</t>
  </si>
  <si>
    <t>Q4 Hasil</t>
  </si>
  <si>
    <t xml:space="preserve">:  </t>
  </si>
  <si>
    <t>XX</t>
  </si>
  <si>
    <t>xxxx xxxxx xxxxx</t>
  </si>
  <si>
    <t>Kepala Departemen A</t>
  </si>
  <si>
    <t>Kepala Departemen B</t>
  </si>
  <si>
    <t>Kepala Departemen C</t>
  </si>
  <si>
    <t>Direksi Terkait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</si>
</sst>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"/>
  </numFmts>
  <fonts count="26" x14ac:knownFonts="1">
    <font>
      <sz val="11"/>
      <color theme="1"/>
      <name val="Calibri"/>
      <scheme val="minor"/>
    </font>
    <font>
      <sz val="10"/>
      <color theme="1"/>
      <name val="Montserrat"/>
    </font>
    <font>
      <b/>
      <sz val="10"/>
      <color theme="1"/>
      <name val="Montserrat"/>
    </font>
    <font>
      <sz val="11"/>
      <name val="Calibri"/>
      <family val="2"/>
    </font>
    <font>
      <b/>
      <i/>
      <sz val="10"/>
      <color theme="1"/>
      <name val="Montserrat"/>
    </font>
    <font>
      <b/>
      <u/>
      <sz val="10"/>
      <color theme="1"/>
      <name val="Montserrat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9"/>
      <color theme="1"/>
      <name val="Times New Roman"/>
      <family val="1"/>
    </font>
    <font>
      <sz val="8"/>
      <color theme="1"/>
      <name val="Arial"/>
      <family val="2"/>
    </font>
    <font>
      <b/>
      <sz val="12"/>
      <color rgb="FF0070C0"/>
      <name val="Calibri"/>
      <family val="2"/>
    </font>
    <font>
      <b/>
      <sz val="12"/>
      <color theme="1"/>
      <name val="Raleway"/>
    </font>
    <font>
      <b/>
      <sz val="10"/>
      <color rgb="FFFFFFFF"/>
      <name val="Montserrat"/>
    </font>
    <font>
      <b/>
      <sz val="10"/>
      <name val="Montserrat"/>
    </font>
  </fonts>
  <fills count="2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theme="9"/>
        <bgColor theme="9"/>
      </patternFill>
    </fill>
    <fill>
      <patternFill patternType="solid">
        <fgColor rgb="FF595959"/>
        <bgColor rgb="FF595959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CC99FF"/>
        <bgColor rgb="FFCC99FF"/>
      </patternFill>
    </fill>
    <fill>
      <patternFill patternType="solid">
        <fgColor rgb="FF99CC00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339966"/>
        <bgColor rgb="FF339966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6DCE4"/>
        <bgColor rgb="FFD6DCE4"/>
      </patternFill>
    </fill>
    <fill>
      <patternFill patternType="solid">
        <fgColor rgb="FF366092"/>
        <bgColor rgb="FF366092"/>
      </patternFill>
    </fill>
    <fill>
      <patternFill patternType="solid">
        <fgColor theme="7" tint="0.59999389629810485"/>
        <bgColor indexed="64"/>
      </patternFill>
    </fill>
  </fills>
  <borders count="10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4" fillId="5" borderId="10" xfId="0" applyFont="1" applyFill="1" applyBorder="1" applyAlignment="1">
      <alignment horizontal="center" vertical="top" wrapText="1"/>
    </xf>
    <xf numFmtId="0" fontId="4" fillId="6" borderId="10" xfId="0" applyFont="1" applyFill="1" applyBorder="1" applyAlignment="1">
      <alignment horizontal="center" vertical="top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13" borderId="19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6" fillId="14" borderId="29" xfId="0" applyFont="1" applyFill="1" applyBorder="1" applyAlignment="1">
      <alignment horizontal="center"/>
    </xf>
    <xf numFmtId="0" fontId="13" fillId="11" borderId="29" xfId="0" applyFont="1" applyFill="1" applyBorder="1" applyAlignment="1">
      <alignment horizontal="center"/>
    </xf>
    <xf numFmtId="0" fontId="13" fillId="11" borderId="29" xfId="0" applyFont="1" applyFill="1" applyBorder="1" applyAlignment="1">
      <alignment horizontal="center" vertical="center" wrapText="1"/>
    </xf>
    <xf numFmtId="1" fontId="14" fillId="14" borderId="29" xfId="0" applyNumberFormat="1" applyFont="1" applyFill="1" applyBorder="1" applyAlignment="1">
      <alignment horizontal="center" vertical="center"/>
    </xf>
    <xf numFmtId="0" fontId="6" fillId="11" borderId="29" xfId="0" applyFont="1" applyFill="1" applyBorder="1" applyAlignment="1">
      <alignment vertical="center" wrapText="1"/>
    </xf>
    <xf numFmtId="1" fontId="15" fillId="15" borderId="29" xfId="0" applyNumberFormat="1" applyFont="1" applyFill="1" applyBorder="1" applyAlignment="1">
      <alignment horizontal="center"/>
    </xf>
    <xf numFmtId="1" fontId="15" fillId="16" borderId="29" xfId="0" applyNumberFormat="1" applyFont="1" applyFill="1" applyBorder="1" applyAlignment="1">
      <alignment horizontal="center"/>
    </xf>
    <xf numFmtId="1" fontId="15" fillId="17" borderId="29" xfId="0" applyNumberFormat="1" applyFont="1" applyFill="1" applyBorder="1" applyAlignment="1">
      <alignment horizontal="center"/>
    </xf>
    <xf numFmtId="1" fontId="15" fillId="9" borderId="29" xfId="0" applyNumberFormat="1" applyFont="1" applyFill="1" applyBorder="1" applyAlignment="1">
      <alignment horizontal="center"/>
    </xf>
    <xf numFmtId="1" fontId="13" fillId="15" borderId="29" xfId="0" applyNumberFormat="1" applyFont="1" applyFill="1" applyBorder="1" applyAlignment="1">
      <alignment horizontal="center" vertical="center" wrapText="1"/>
    </xf>
    <xf numFmtId="1" fontId="13" fillId="16" borderId="29" xfId="0" applyNumberFormat="1" applyFont="1" applyFill="1" applyBorder="1" applyAlignment="1">
      <alignment horizontal="center" vertical="center" wrapText="1"/>
    </xf>
    <xf numFmtId="1" fontId="13" fillId="17" borderId="29" xfId="0" applyNumberFormat="1" applyFont="1" applyFill="1" applyBorder="1" applyAlignment="1">
      <alignment horizontal="center" vertical="center" wrapText="1"/>
    </xf>
    <xf numFmtId="1" fontId="13" fillId="9" borderId="29" xfId="0" applyNumberFormat="1" applyFont="1" applyFill="1" applyBorder="1" applyAlignment="1">
      <alignment horizontal="center" vertical="center" wrapText="1"/>
    </xf>
    <xf numFmtId="0" fontId="15" fillId="0" borderId="0" xfId="0" applyFont="1"/>
    <xf numFmtId="1" fontId="15" fillId="18" borderId="29" xfId="0" applyNumberFormat="1" applyFont="1" applyFill="1" applyBorder="1" applyAlignment="1">
      <alignment horizontal="center"/>
    </xf>
    <xf numFmtId="1" fontId="13" fillId="18" borderId="29" xfId="0" applyNumberFormat="1" applyFont="1" applyFill="1" applyBorder="1" applyAlignment="1">
      <alignment horizontal="center" vertical="center" wrapText="1"/>
    </xf>
    <xf numFmtId="1" fontId="15" fillId="19" borderId="29" xfId="0" applyNumberFormat="1" applyFont="1" applyFill="1" applyBorder="1" applyAlignment="1">
      <alignment horizontal="center"/>
    </xf>
    <xf numFmtId="1" fontId="15" fillId="20" borderId="29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0" xfId="0" applyFont="1"/>
    <xf numFmtId="0" fontId="16" fillId="0" borderId="0" xfId="0" applyFont="1"/>
    <xf numFmtId="0" fontId="15" fillId="11" borderId="1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1" fontId="15" fillId="0" borderId="0" xfId="0" applyNumberFormat="1" applyFont="1" applyAlignment="1">
      <alignment horizontal="center"/>
    </xf>
    <xf numFmtId="0" fontId="6" fillId="15" borderId="10" xfId="0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center" vertical="center"/>
    </xf>
    <xf numFmtId="0" fontId="6" fillId="17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2" fontId="7" fillId="0" borderId="0" xfId="0" applyNumberFormat="1" applyFont="1"/>
    <xf numFmtId="0" fontId="6" fillId="11" borderId="10" xfId="0" applyFont="1" applyFill="1" applyBorder="1" applyAlignment="1">
      <alignment horizontal="center" wrapText="1"/>
    </xf>
    <xf numFmtId="1" fontId="15" fillId="18" borderId="10" xfId="0" applyNumberFormat="1" applyFont="1" applyFill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18" borderId="10" xfId="0" applyFont="1" applyFill="1" applyBorder="1" applyAlignment="1">
      <alignment horizontal="center" vertical="center"/>
    </xf>
    <xf numFmtId="1" fontId="15" fillId="15" borderId="10" xfId="0" applyNumberFormat="1" applyFont="1" applyFill="1" applyBorder="1" applyAlignment="1">
      <alignment horizontal="center"/>
    </xf>
    <xf numFmtId="1" fontId="15" fillId="16" borderId="10" xfId="0" applyNumberFormat="1" applyFont="1" applyFill="1" applyBorder="1" applyAlignment="1">
      <alignment horizontal="center"/>
    </xf>
    <xf numFmtId="1" fontId="15" fillId="17" borderId="10" xfId="0" applyNumberFormat="1" applyFont="1" applyFill="1" applyBorder="1" applyAlignment="1">
      <alignment horizontal="center"/>
    </xf>
    <xf numFmtId="1" fontId="15" fillId="9" borderId="10" xfId="0" applyNumberFormat="1" applyFont="1" applyFill="1" applyBorder="1" applyAlignment="1">
      <alignment horizontal="center"/>
    </xf>
    <xf numFmtId="0" fontId="12" fillId="0" borderId="0" xfId="0" applyFont="1"/>
    <xf numFmtId="0" fontId="7" fillId="13" borderId="37" xfId="0" applyFont="1" applyFill="1" applyBorder="1"/>
    <xf numFmtId="0" fontId="6" fillId="13" borderId="37" xfId="0" applyFont="1" applyFill="1" applyBorder="1"/>
    <xf numFmtId="0" fontId="18" fillId="4" borderId="10" xfId="0" applyFont="1" applyFill="1" applyBorder="1" applyAlignment="1">
      <alignment horizontal="center" vertical="top"/>
    </xf>
    <xf numFmtId="0" fontId="19" fillId="3" borderId="4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top"/>
    </xf>
    <xf numFmtId="0" fontId="20" fillId="0" borderId="10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top" wrapText="1"/>
    </xf>
    <xf numFmtId="0" fontId="7" fillId="13" borderId="37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left" vertical="center" wrapText="1"/>
    </xf>
    <xf numFmtId="0" fontId="9" fillId="13" borderId="11" xfId="0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left" vertical="center" wrapText="1"/>
    </xf>
    <xf numFmtId="0" fontId="1" fillId="0" borderId="56" xfId="0" applyFont="1" applyBorder="1" applyAlignment="1">
      <alignment horizontal="center" vertical="top"/>
    </xf>
    <xf numFmtId="0" fontId="1" fillId="0" borderId="57" xfId="0" applyFont="1" applyBorder="1" applyAlignment="1">
      <alignment horizontal="left" vertical="top"/>
    </xf>
    <xf numFmtId="0" fontId="1" fillId="0" borderId="58" xfId="0" applyFont="1" applyBorder="1" applyAlignment="1">
      <alignment horizontal="left" vertical="top" wrapText="1"/>
    </xf>
    <xf numFmtId="0" fontId="1" fillId="0" borderId="57" xfId="0" quotePrefix="1" applyFont="1" applyBorder="1" applyAlignment="1">
      <alignment horizontal="left" vertical="top" wrapText="1"/>
    </xf>
    <xf numFmtId="0" fontId="1" fillId="0" borderId="57" xfId="0" applyFont="1" applyBorder="1" applyAlignment="1">
      <alignment horizontal="center" vertical="top" wrapText="1"/>
    </xf>
    <xf numFmtId="0" fontId="1" fillId="0" borderId="60" xfId="0" applyFont="1" applyBorder="1" applyAlignment="1">
      <alignment horizontal="left" vertical="top"/>
    </xf>
    <xf numFmtId="0" fontId="1" fillId="0" borderId="45" xfId="0" applyFont="1" applyBorder="1" applyAlignment="1">
      <alignment horizontal="left" vertical="top"/>
    </xf>
    <xf numFmtId="0" fontId="1" fillId="0" borderId="45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3" borderId="40" xfId="0" applyFont="1" applyFill="1" applyBorder="1" applyAlignment="1">
      <alignment horizontal="center" vertical="top" wrapText="1"/>
    </xf>
    <xf numFmtId="0" fontId="2" fillId="4" borderId="40" xfId="0" applyFont="1" applyFill="1" applyBorder="1" applyAlignment="1">
      <alignment horizontal="center" vertical="top" wrapText="1"/>
    </xf>
    <xf numFmtId="0" fontId="24" fillId="22" borderId="50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50" xfId="0" applyFont="1" applyBorder="1" applyAlignment="1">
      <alignment vertical="top" wrapText="1"/>
    </xf>
    <xf numFmtId="0" fontId="2" fillId="7" borderId="61" xfId="0" applyFont="1" applyFill="1" applyBorder="1" applyAlignment="1">
      <alignment horizontal="center" vertical="top" wrapText="1"/>
    </xf>
    <xf numFmtId="0" fontId="2" fillId="7" borderId="49" xfId="0" applyFont="1" applyFill="1" applyBorder="1" applyAlignment="1">
      <alignment horizontal="center" vertical="top" wrapText="1"/>
    </xf>
    <xf numFmtId="0" fontId="2" fillId="7" borderId="44" xfId="0" applyFont="1" applyFill="1" applyBorder="1" applyAlignment="1">
      <alignment horizontal="center" vertical="top" wrapText="1"/>
    </xf>
    <xf numFmtId="0" fontId="2" fillId="7" borderId="46" xfId="0" applyFont="1" applyFill="1" applyBorder="1" applyAlignment="1">
      <alignment horizontal="center" vertical="top" wrapText="1"/>
    </xf>
    <xf numFmtId="0" fontId="2" fillId="7" borderId="62" xfId="0" applyFont="1" applyFill="1" applyBorder="1" applyAlignment="1">
      <alignment horizontal="center" vertical="top" wrapText="1"/>
    </xf>
    <xf numFmtId="0" fontId="1" fillId="0" borderId="50" xfId="0" applyFont="1" applyBorder="1" applyAlignment="1">
      <alignment horizontal="center" vertical="top" wrapText="1"/>
    </xf>
    <xf numFmtId="0" fontId="1" fillId="0" borderId="50" xfId="0" quotePrefix="1" applyFont="1" applyBorder="1" applyAlignment="1">
      <alignment horizontal="left" vertical="top" wrapText="1"/>
    </xf>
    <xf numFmtId="0" fontId="1" fillId="0" borderId="64" xfId="0" applyFont="1" applyBorder="1" applyAlignment="1">
      <alignment horizontal="center" vertical="top"/>
    </xf>
    <xf numFmtId="0" fontId="1" fillId="0" borderId="65" xfId="0" applyFont="1" applyBorder="1" applyAlignment="1">
      <alignment horizontal="left" vertical="top" wrapText="1"/>
    </xf>
    <xf numFmtId="0" fontId="1" fillId="0" borderId="65" xfId="0" applyFont="1" applyBorder="1" applyAlignment="1">
      <alignment horizontal="left" vertical="top"/>
    </xf>
    <xf numFmtId="0" fontId="1" fillId="0" borderId="66" xfId="0" applyFont="1" applyBorder="1" applyAlignment="1">
      <alignment horizontal="center" vertical="top" wrapText="1"/>
    </xf>
    <xf numFmtId="0" fontId="1" fillId="0" borderId="67" xfId="0" applyFont="1" applyBorder="1" applyAlignment="1">
      <alignment horizontal="center" vertical="top" wrapText="1"/>
    </xf>
    <xf numFmtId="49" fontId="1" fillId="8" borderId="65" xfId="0" applyNumberFormat="1" applyFont="1" applyFill="1" applyBorder="1" applyAlignment="1">
      <alignment horizontal="center" vertical="top" wrapText="1"/>
    </xf>
    <xf numFmtId="49" fontId="1" fillId="8" borderId="64" xfId="0" applyNumberFormat="1" applyFont="1" applyFill="1" applyBorder="1" applyAlignment="1">
      <alignment horizontal="center" vertical="top" wrapText="1"/>
    </xf>
    <xf numFmtId="49" fontId="1" fillId="8" borderId="56" xfId="0" applyNumberFormat="1" applyFont="1" applyFill="1" applyBorder="1" applyAlignment="1">
      <alignment horizontal="center" vertical="top" wrapText="1"/>
    </xf>
    <xf numFmtId="49" fontId="1" fillId="8" borderId="60" xfId="0" applyNumberFormat="1" applyFont="1" applyFill="1" applyBorder="1" applyAlignment="1">
      <alignment horizontal="center" vertical="top"/>
    </xf>
    <xf numFmtId="0" fontId="2" fillId="3" borderId="63" xfId="0" applyFont="1" applyFill="1" applyBorder="1" applyAlignment="1">
      <alignment horizontal="center" vertical="top"/>
    </xf>
    <xf numFmtId="0" fontId="1" fillId="0" borderId="66" xfId="0" applyFont="1" applyBorder="1" applyAlignment="1">
      <alignment horizontal="left" vertical="top" wrapText="1"/>
    </xf>
    <xf numFmtId="0" fontId="1" fillId="0" borderId="58" xfId="0" applyFont="1" applyBorder="1" applyAlignment="1">
      <alignment horizontal="left" vertical="top"/>
    </xf>
    <xf numFmtId="0" fontId="1" fillId="0" borderId="64" xfId="0" applyFont="1" applyBorder="1" applyAlignment="1">
      <alignment horizontal="left" vertical="top" wrapText="1"/>
    </xf>
    <xf numFmtId="0" fontId="1" fillId="0" borderId="64" xfId="0" quotePrefix="1" applyFont="1" applyBorder="1" applyAlignment="1">
      <alignment horizontal="left" vertical="top" wrapText="1"/>
    </xf>
    <xf numFmtId="0" fontId="1" fillId="0" borderId="56" xfId="0" quotePrefix="1" applyFont="1" applyBorder="1" applyAlignment="1">
      <alignment horizontal="left" vertical="top" wrapText="1"/>
    </xf>
    <xf numFmtId="0" fontId="2" fillId="3" borderId="69" xfId="0" applyFont="1" applyFill="1" applyBorder="1" applyAlignment="1">
      <alignment horizontal="center" vertical="top"/>
    </xf>
    <xf numFmtId="0" fontId="1" fillId="0" borderId="67" xfId="0" applyFont="1" applyBorder="1" applyAlignment="1">
      <alignment horizontal="left" vertical="top" wrapText="1"/>
    </xf>
    <xf numFmtId="0" fontId="1" fillId="0" borderId="59" xfId="0" applyFont="1" applyBorder="1" applyAlignment="1">
      <alignment horizontal="left" vertical="top"/>
    </xf>
    <xf numFmtId="0" fontId="2" fillId="3" borderId="74" xfId="0" applyFont="1" applyFill="1" applyBorder="1" applyAlignment="1">
      <alignment horizontal="center" vertical="top" wrapText="1"/>
    </xf>
    <xf numFmtId="0" fontId="2" fillId="3" borderId="55" xfId="0" applyFont="1" applyFill="1" applyBorder="1" applyAlignment="1">
      <alignment horizontal="center" vertical="top" wrapText="1"/>
    </xf>
    <xf numFmtId="0" fontId="2" fillId="4" borderId="74" xfId="0" applyFont="1" applyFill="1" applyBorder="1" applyAlignment="1">
      <alignment horizontal="center" vertical="top" wrapText="1"/>
    </xf>
    <xf numFmtId="0" fontId="3" fillId="0" borderId="75" xfId="0" applyFont="1" applyBorder="1"/>
    <xf numFmtId="0" fontId="2" fillId="3" borderId="79" xfId="0" applyFont="1" applyFill="1" applyBorder="1" applyAlignment="1">
      <alignment horizontal="center" vertical="top" wrapText="1"/>
    </xf>
    <xf numFmtId="0" fontId="2" fillId="3" borderId="77" xfId="0" applyFont="1" applyFill="1" applyBorder="1" applyAlignment="1">
      <alignment horizontal="center" vertical="top" wrapText="1"/>
    </xf>
    <xf numFmtId="0" fontId="2" fillId="3" borderId="80" xfId="0" applyFont="1" applyFill="1" applyBorder="1" applyAlignment="1">
      <alignment horizontal="center" vertical="top" wrapText="1"/>
    </xf>
    <xf numFmtId="0" fontId="2" fillId="4" borderId="79" xfId="0" applyFont="1" applyFill="1" applyBorder="1" applyAlignment="1">
      <alignment horizontal="center" vertical="top" wrapText="1"/>
    </xf>
    <xf numFmtId="0" fontId="2" fillId="4" borderId="77" xfId="0" applyFont="1" applyFill="1" applyBorder="1" applyAlignment="1">
      <alignment horizontal="center" vertical="top" wrapText="1"/>
    </xf>
    <xf numFmtId="0" fontId="25" fillId="0" borderId="77" xfId="0" applyFont="1" applyBorder="1" applyAlignment="1">
      <alignment horizontal="center"/>
    </xf>
    <xf numFmtId="0" fontId="25" fillId="0" borderId="78" xfId="0" applyFont="1" applyBorder="1" applyAlignment="1">
      <alignment horizontal="center"/>
    </xf>
    <xf numFmtId="0" fontId="25" fillId="0" borderId="76" xfId="0" applyFont="1" applyBorder="1" applyAlignment="1">
      <alignment horizontal="center"/>
    </xf>
    <xf numFmtId="0" fontId="25" fillId="0" borderId="80" xfId="0" applyFont="1" applyBorder="1" applyAlignment="1">
      <alignment horizontal="center"/>
    </xf>
    <xf numFmtId="14" fontId="1" fillId="0" borderId="50" xfId="0" applyNumberFormat="1" applyFont="1" applyBorder="1" applyAlignment="1">
      <alignment horizontal="left" vertical="top" wrapText="1"/>
    </xf>
    <xf numFmtId="0" fontId="3" fillId="0" borderId="76" xfId="0" applyFont="1" applyBorder="1" applyAlignment="1">
      <alignment horizontal="center"/>
    </xf>
    <xf numFmtId="0" fontId="2" fillId="0" borderId="66" xfId="0" applyFont="1" applyBorder="1" applyAlignment="1">
      <alignment horizontal="center" vertical="top" wrapText="1"/>
    </xf>
    <xf numFmtId="0" fontId="1" fillId="0" borderId="58" xfId="0" applyFont="1" applyBorder="1" applyAlignment="1">
      <alignment horizontal="center" vertical="top" wrapText="1"/>
    </xf>
    <xf numFmtId="0" fontId="23" fillId="0" borderId="81" xfId="0" applyFont="1" applyBorder="1" applyAlignment="1">
      <alignment horizontal="center" vertical="top" wrapText="1"/>
    </xf>
    <xf numFmtId="0" fontId="23" fillId="0" borderId="8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2" fillId="4" borderId="55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78" xfId="0" applyFont="1" applyFill="1" applyBorder="1" applyAlignment="1">
      <alignment horizontal="center" vertical="top" wrapText="1"/>
    </xf>
    <xf numFmtId="14" fontId="2" fillId="0" borderId="66" xfId="0" applyNumberFormat="1" applyFont="1" applyBorder="1" applyAlignment="1">
      <alignment horizontal="center" vertical="top" wrapText="1"/>
    </xf>
    <xf numFmtId="164" fontId="2" fillId="0" borderId="58" xfId="0" applyNumberFormat="1" applyFont="1" applyBorder="1" applyAlignment="1">
      <alignment horizontal="center" vertical="top" wrapText="1"/>
    </xf>
    <xf numFmtId="0" fontId="2" fillId="7" borderId="84" xfId="0" applyFont="1" applyFill="1" applyBorder="1" applyAlignment="1">
      <alignment horizontal="center" vertical="top" wrapText="1"/>
    </xf>
    <xf numFmtId="0" fontId="2" fillId="4" borderId="61" xfId="0" applyFont="1" applyFill="1" applyBorder="1" applyAlignment="1">
      <alignment horizontal="center" vertical="top" wrapText="1"/>
    </xf>
    <xf numFmtId="0" fontId="2" fillId="4" borderId="62" xfId="0" applyFont="1" applyFill="1" applyBorder="1" applyAlignment="1">
      <alignment horizontal="center" vertical="top" wrapText="1"/>
    </xf>
    <xf numFmtId="0" fontId="2" fillId="4" borderId="80" xfId="0" applyFont="1" applyFill="1" applyBorder="1" applyAlignment="1">
      <alignment horizontal="center" vertical="top" wrapText="1"/>
    </xf>
    <xf numFmtId="0" fontId="2" fillId="7" borderId="87" xfId="0" applyFont="1" applyFill="1" applyBorder="1" applyAlignment="1">
      <alignment horizontal="center" vertical="top" wrapText="1"/>
    </xf>
    <xf numFmtId="14" fontId="2" fillId="0" borderId="64" xfId="0" applyNumberFormat="1" applyFont="1" applyBorder="1" applyAlignment="1">
      <alignment horizontal="center" vertical="top" wrapText="1"/>
    </xf>
    <xf numFmtId="14" fontId="1" fillId="0" borderId="64" xfId="0" applyNumberFormat="1" applyFont="1" applyBorder="1" applyAlignment="1">
      <alignment horizontal="center" vertical="top" wrapText="1"/>
    </xf>
    <xf numFmtId="0" fontId="1" fillId="0" borderId="60" xfId="0" applyFont="1" applyBorder="1" applyAlignment="1">
      <alignment horizontal="left" vertical="top" wrapText="1"/>
    </xf>
    <xf numFmtId="0" fontId="2" fillId="0" borderId="67" xfId="0" applyFont="1" applyBorder="1" applyAlignment="1">
      <alignment horizontal="center" vertical="top" wrapText="1"/>
    </xf>
    <xf numFmtId="0" fontId="23" fillId="0" borderId="88" xfId="0" applyFont="1" applyBorder="1" applyAlignment="1">
      <alignment horizontal="center" vertical="top" wrapText="1"/>
    </xf>
    <xf numFmtId="0" fontId="1" fillId="0" borderId="64" xfId="0" applyFont="1" applyBorder="1" applyAlignment="1">
      <alignment horizontal="center" vertical="top" wrapText="1"/>
    </xf>
    <xf numFmtId="0" fontId="1" fillId="0" borderId="56" xfId="0" applyFont="1" applyBorder="1" applyAlignment="1">
      <alignment horizontal="center" vertical="top" wrapText="1"/>
    </xf>
    <xf numFmtId="0" fontId="2" fillId="0" borderId="66" xfId="0" applyFont="1" applyBorder="1" applyAlignment="1">
      <alignment horizontal="center" vertical="top"/>
    </xf>
    <xf numFmtId="0" fontId="25" fillId="0" borderId="83" xfId="0" applyFont="1" applyBorder="1" applyAlignment="1">
      <alignment horizontal="center"/>
    </xf>
    <xf numFmtId="0" fontId="1" fillId="23" borderId="81" xfId="0" applyFont="1" applyFill="1" applyBorder="1" applyAlignment="1">
      <alignment horizontal="center" vertical="top" wrapText="1"/>
    </xf>
    <xf numFmtId="0" fontId="1" fillId="23" borderId="100" xfId="0" applyFont="1" applyFill="1" applyBorder="1" applyAlignment="1">
      <alignment horizontal="center" vertical="top" wrapText="1"/>
    </xf>
    <xf numFmtId="0" fontId="25" fillId="0" borderId="79" xfId="0" applyFont="1" applyBorder="1" applyAlignment="1">
      <alignment horizontal="center"/>
    </xf>
    <xf numFmtId="0" fontId="1" fillId="0" borderId="65" xfId="0" applyFont="1" applyBorder="1" applyAlignment="1">
      <alignment horizontal="center" vertical="top" wrapText="1"/>
    </xf>
    <xf numFmtId="0" fontId="1" fillId="0" borderId="56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2" borderId="89" xfId="0" applyFont="1" applyFill="1" applyBorder="1" applyAlignment="1">
      <alignment horizontal="center" vertical="top" wrapText="1"/>
    </xf>
    <xf numFmtId="0" fontId="3" fillId="0" borderId="92" xfId="0" applyFont="1" applyBorder="1"/>
    <xf numFmtId="0" fontId="2" fillId="2" borderId="90" xfId="0" applyFont="1" applyFill="1" applyBorder="1" applyAlignment="1">
      <alignment horizontal="center" vertical="top" wrapText="1"/>
    </xf>
    <xf numFmtId="0" fontId="3" fillId="0" borderId="91" xfId="0" applyFont="1" applyBorder="1"/>
    <xf numFmtId="0" fontId="0" fillId="0" borderId="0" xfId="0" applyAlignment="1">
      <alignment horizontal="center"/>
    </xf>
    <xf numFmtId="0" fontId="2" fillId="3" borderId="93" xfId="0" applyFont="1" applyFill="1" applyBorder="1" applyAlignment="1">
      <alignment horizontal="center" vertical="top" wrapText="1"/>
    </xf>
    <xf numFmtId="0" fontId="3" fillId="0" borderId="87" xfId="0" applyFont="1" applyBorder="1"/>
    <xf numFmtId="0" fontId="2" fillId="4" borderId="90" xfId="0" applyFont="1" applyFill="1" applyBorder="1" applyAlignment="1">
      <alignment horizontal="center" vertical="top" wrapText="1"/>
    </xf>
    <xf numFmtId="0" fontId="2" fillId="4" borderId="89" xfId="0" applyFont="1" applyFill="1" applyBorder="1" applyAlignment="1">
      <alignment horizontal="center" vertical="top" wrapText="1"/>
    </xf>
    <xf numFmtId="0" fontId="2" fillId="2" borderId="70" xfId="0" applyFont="1" applyFill="1" applyBorder="1" applyAlignment="1">
      <alignment horizontal="center" vertical="top"/>
    </xf>
    <xf numFmtId="0" fontId="3" fillId="0" borderId="53" xfId="0" applyFont="1" applyBorder="1"/>
    <xf numFmtId="0" fontId="2" fillId="3" borderId="70" xfId="0" applyFont="1" applyFill="1" applyBorder="1" applyAlignment="1">
      <alignment horizontal="center" vertical="top"/>
    </xf>
    <xf numFmtId="0" fontId="3" fillId="0" borderId="71" xfId="0" applyFont="1" applyBorder="1"/>
    <xf numFmtId="0" fontId="2" fillId="4" borderId="51" xfId="0" applyFont="1" applyFill="1" applyBorder="1" applyAlignment="1">
      <alignment horizontal="center" vertical="top"/>
    </xf>
    <xf numFmtId="0" fontId="3" fillId="0" borderId="52" xfId="0" applyFont="1" applyBorder="1"/>
    <xf numFmtId="0" fontId="3" fillId="0" borderId="53" xfId="0" applyFont="1" applyBorder="1" applyAlignment="1">
      <alignment horizontal="center"/>
    </xf>
    <xf numFmtId="0" fontId="2" fillId="2" borderId="70" xfId="0" applyFont="1" applyFill="1" applyBorder="1" applyAlignment="1">
      <alignment horizontal="center" vertical="top" wrapText="1"/>
    </xf>
    <xf numFmtId="0" fontId="3" fillId="0" borderId="94" xfId="0" applyFont="1" applyBorder="1"/>
    <xf numFmtId="0" fontId="3" fillId="0" borderId="95" xfId="0" applyFont="1" applyBorder="1"/>
    <xf numFmtId="0" fontId="3" fillId="0" borderId="96" xfId="0" applyFont="1" applyBorder="1"/>
    <xf numFmtId="0" fontId="2" fillId="2" borderId="97" xfId="0" applyFont="1" applyFill="1" applyBorder="1" applyAlignment="1">
      <alignment horizontal="center" vertical="top" wrapText="1"/>
    </xf>
    <xf numFmtId="0" fontId="3" fillId="0" borderId="98" xfId="0" applyFont="1" applyBorder="1"/>
    <xf numFmtId="0" fontId="2" fillId="2" borderId="94" xfId="0" applyFont="1" applyFill="1" applyBorder="1" applyAlignment="1">
      <alignment horizontal="center" vertical="top" wrapText="1"/>
    </xf>
    <xf numFmtId="0" fontId="2" fillId="3" borderId="72" xfId="0" applyFont="1" applyFill="1" applyBorder="1" applyAlignment="1">
      <alignment horizontal="center" vertical="top" wrapText="1"/>
    </xf>
    <xf numFmtId="0" fontId="3" fillId="0" borderId="4" xfId="0" applyFont="1" applyBorder="1"/>
    <xf numFmtId="0" fontId="2" fillId="3" borderId="5" xfId="0" applyFont="1" applyFill="1" applyBorder="1" applyAlignment="1">
      <alignment horizontal="center" vertical="top" wrapText="1"/>
    </xf>
    <xf numFmtId="0" fontId="3" fillId="0" borderId="49" xfId="0" applyFont="1" applyBorder="1"/>
    <xf numFmtId="0" fontId="2" fillId="3" borderId="1" xfId="0" applyFont="1" applyFill="1" applyBorder="1" applyAlignment="1">
      <alignment horizontal="center" vertical="top" wrapText="1"/>
    </xf>
    <xf numFmtId="0" fontId="3" fillId="0" borderId="46" xfId="0" applyFont="1" applyBorder="1"/>
    <xf numFmtId="0" fontId="2" fillId="3" borderId="3" xfId="0" applyFont="1" applyFill="1" applyBorder="1" applyAlignment="1">
      <alignment horizontal="center" vertical="top" wrapText="1"/>
    </xf>
    <xf numFmtId="0" fontId="3" fillId="0" borderId="44" xfId="0" applyFont="1" applyBorder="1"/>
    <xf numFmtId="0" fontId="2" fillId="4" borderId="51" xfId="0" applyFont="1" applyFill="1" applyBorder="1" applyAlignment="1">
      <alignment horizontal="center" vertical="top" wrapText="1"/>
    </xf>
    <xf numFmtId="0" fontId="3" fillId="0" borderId="52" xfId="0" applyFont="1" applyBorder="1" applyAlignment="1">
      <alignment horizontal="center"/>
    </xf>
    <xf numFmtId="0" fontId="2" fillId="4" borderId="68" xfId="0" applyFont="1" applyFill="1" applyBorder="1" applyAlignment="1">
      <alignment horizontal="center" vertical="top" wrapText="1"/>
    </xf>
    <xf numFmtId="0" fontId="2" fillId="4" borderId="16" xfId="0" applyFont="1" applyFill="1" applyBorder="1" applyAlignment="1">
      <alignment horizontal="center" vertical="top" wrapText="1"/>
    </xf>
    <xf numFmtId="0" fontId="2" fillId="4" borderId="85" xfId="0" applyFont="1" applyFill="1" applyBorder="1" applyAlignment="1">
      <alignment horizontal="center" vertical="top" wrapText="1"/>
    </xf>
    <xf numFmtId="0" fontId="2" fillId="4" borderId="86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51" xfId="0" applyFont="1" applyFill="1" applyBorder="1" applyAlignment="1">
      <alignment horizontal="center" vertical="top" wrapText="1"/>
    </xf>
    <xf numFmtId="0" fontId="3" fillId="0" borderId="54" xfId="0" applyFont="1" applyBorder="1"/>
    <xf numFmtId="0" fontId="3" fillId="0" borderId="99" xfId="0" applyFont="1" applyBorder="1"/>
    <xf numFmtId="0" fontId="2" fillId="3" borderId="73" xfId="0" applyFont="1" applyFill="1" applyBorder="1" applyAlignment="1">
      <alignment horizontal="center" vertical="top" wrapText="1"/>
    </xf>
    <xf numFmtId="0" fontId="3" fillId="0" borderId="62" xfId="0" applyFont="1" applyBorder="1"/>
    <xf numFmtId="0" fontId="11" fillId="10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3" fillId="0" borderId="27" xfId="0" applyFont="1" applyBorder="1"/>
    <xf numFmtId="0" fontId="0" fillId="0" borderId="0" xfId="0"/>
    <xf numFmtId="0" fontId="3" fillId="0" borderId="28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12" fillId="14" borderId="24" xfId="0" applyFont="1" applyFill="1" applyBorder="1" applyAlignment="1">
      <alignment horizontal="center" vertical="center"/>
    </xf>
    <xf numFmtId="0" fontId="3" fillId="0" borderId="25" xfId="0" applyFont="1" applyBorder="1"/>
    <xf numFmtId="0" fontId="3" fillId="0" borderId="26" xfId="0" applyFont="1" applyBorder="1"/>
    <xf numFmtId="0" fontId="14" fillId="14" borderId="33" xfId="0" applyFont="1" applyFill="1" applyBorder="1" applyAlignment="1">
      <alignment horizontal="center" vertical="center" textRotation="90"/>
    </xf>
    <xf numFmtId="0" fontId="3" fillId="0" borderId="34" xfId="0" applyFont="1" applyBorder="1"/>
    <xf numFmtId="0" fontId="3" fillId="0" borderId="35" xfId="0" applyFont="1" applyBorder="1"/>
    <xf numFmtId="0" fontId="6" fillId="11" borderId="9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6" fillId="12" borderId="2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10" borderId="9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8" fillId="10" borderId="12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6" fillId="12" borderId="9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/>
    </xf>
    <xf numFmtId="0" fontId="3" fillId="0" borderId="16" xfId="0" applyFont="1" applyBorder="1"/>
    <xf numFmtId="0" fontId="17" fillId="13" borderId="3" xfId="0" applyFont="1" applyFill="1" applyBorder="1" applyAlignment="1">
      <alignment horizontal="center" vertical="center"/>
    </xf>
    <xf numFmtId="0" fontId="3" fillId="0" borderId="36" xfId="0" applyFont="1" applyBorder="1"/>
    <xf numFmtId="0" fontId="3" fillId="0" borderId="1" xfId="0" applyFont="1" applyBorder="1"/>
    <xf numFmtId="0" fontId="3" fillId="0" borderId="38" xfId="0" applyFont="1" applyBorder="1"/>
    <xf numFmtId="0" fontId="3" fillId="0" borderId="39" xfId="0" applyFont="1" applyBorder="1"/>
    <xf numFmtId="0" fontId="3" fillId="0" borderId="41" xfId="0" applyFont="1" applyBorder="1"/>
    <xf numFmtId="0" fontId="3" fillId="0" borderId="43" xfId="0" applyFont="1" applyBorder="1"/>
    <xf numFmtId="0" fontId="3" fillId="0" borderId="42" xfId="0" applyFont="1" applyBorder="1"/>
    <xf numFmtId="0" fontId="22" fillId="13" borderId="44" xfId="0" applyFont="1" applyFill="1" applyBorder="1" applyAlignment="1">
      <alignment horizontal="center" vertical="center"/>
    </xf>
    <xf numFmtId="0" fontId="3" fillId="0" borderId="45" xfId="0" applyFont="1" applyBorder="1"/>
    <xf numFmtId="0" fontId="12" fillId="13" borderId="9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/>
    </xf>
    <xf numFmtId="0" fontId="9" fillId="13" borderId="9" xfId="0" quotePrefix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3" fillId="0" borderId="47" xfId="0" applyFont="1" applyBorder="1"/>
    <xf numFmtId="0" fontId="3" fillId="0" borderId="48" xfId="0" applyFont="1" applyBorder="1"/>
    <xf numFmtId="0" fontId="9" fillId="0" borderId="47" xfId="0" applyFont="1" applyBorder="1"/>
    <xf numFmtId="0" fontId="9" fillId="21" borderId="49" xfId="0" applyFont="1" applyFill="1" applyBorder="1"/>
    <xf numFmtId="0" fontId="12" fillId="4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top"/>
    </xf>
    <xf numFmtId="0" fontId="18" fillId="3" borderId="9" xfId="0" applyFont="1" applyFill="1" applyBorder="1" applyAlignment="1">
      <alignment horizontal="center" vertical="top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5"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>
          <bgColor rgb="FF3399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00"/>
        </patternFill>
      </fill>
    </dxf>
    <dxf>
      <fill>
        <patternFill>
          <bgColor rgb="FF99CC00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>
          <bgColor rgb="FF3399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00"/>
        </patternFill>
      </fill>
    </dxf>
    <dxf>
      <fill>
        <patternFill>
          <bgColor rgb="FF99C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U50"/>
  <sheetViews>
    <sheetView showGridLines="0" zoomScale="85" zoomScaleNormal="85" workbookViewId="0">
      <selection activeCell="H38" sqref="H38"/>
    </sheetView>
  </sheetViews>
  <sheetFormatPr defaultColWidth="14.44140625" defaultRowHeight="14.4" x14ac:dyDescent="0.3"/>
  <cols>
    <col min="1" max="1" width="5.77734375" customWidth="1"/>
    <col min="2" max="2" width="4.44140625" style="100" customWidth="1"/>
    <col min="3" max="4" width="40.77734375" customWidth="1"/>
    <col min="5" max="8" width="20.77734375" customWidth="1"/>
    <col min="9" max="10" width="41" customWidth="1"/>
    <col min="11" max="13" width="42" customWidth="1"/>
    <col min="14" max="14" width="31.21875" customWidth="1"/>
    <col min="15" max="16" width="25.21875" customWidth="1"/>
    <col min="17" max="17" width="14.33203125" customWidth="1"/>
    <col min="18" max="18" width="17" customWidth="1"/>
    <col min="19" max="19" width="10" customWidth="1"/>
    <col min="20" max="20" width="12.44140625" customWidth="1"/>
    <col min="21" max="22" width="49.5546875" customWidth="1"/>
    <col min="23" max="23" width="68.6640625" customWidth="1"/>
    <col min="24" max="24" width="56.33203125" customWidth="1"/>
    <col min="25" max="26" width="26.88671875" customWidth="1"/>
    <col min="27" max="27" width="81.21875" customWidth="1"/>
    <col min="28" max="28" width="26.88671875" customWidth="1"/>
    <col min="29" max="29" width="13.6640625" style="100" bestFit="1" customWidth="1"/>
    <col min="30" max="30" width="13.77734375" style="100" bestFit="1" customWidth="1"/>
    <col min="31" max="31" width="43" customWidth="1"/>
    <col min="32" max="32" width="13.77734375" style="100" hidden="1" customWidth="1"/>
    <col min="33" max="33" width="43" hidden="1" customWidth="1"/>
    <col min="34" max="34" width="13.77734375" style="100" hidden="1" customWidth="1"/>
    <col min="35" max="35" width="43" hidden="1" customWidth="1"/>
    <col min="36" max="36" width="13.77734375" style="100" hidden="1" customWidth="1"/>
    <col min="37" max="37" width="43" hidden="1" customWidth="1"/>
    <col min="38" max="38" width="10.77734375" style="100" customWidth="1"/>
    <col min="39" max="39" width="13.77734375" style="100" customWidth="1"/>
    <col min="40" max="40" width="10.77734375" style="100" customWidth="1"/>
    <col min="41" max="41" width="14.5546875" customWidth="1"/>
    <col min="42" max="42" width="21.88671875" customWidth="1"/>
    <col min="43" max="43" width="32.88671875" customWidth="1"/>
    <col min="44" max="66" width="10.77734375" customWidth="1"/>
  </cols>
  <sheetData>
    <row r="2" spans="1:47" ht="18" x14ac:dyDescent="0.3">
      <c r="A2" s="3"/>
      <c r="B2" s="2"/>
      <c r="C2" s="4" t="s">
        <v>0</v>
      </c>
      <c r="D2" s="5" t="s">
        <v>449</v>
      </c>
      <c r="E2" s="6"/>
      <c r="G2" s="2"/>
      <c r="H2" s="2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2"/>
      <c r="AD2" s="2"/>
      <c r="AE2" s="3"/>
      <c r="AF2" s="2"/>
      <c r="AG2" s="3"/>
      <c r="AH2" s="2"/>
      <c r="AI2" s="3"/>
      <c r="AJ2" s="2"/>
      <c r="AK2" s="3"/>
      <c r="AL2" s="2"/>
      <c r="AM2" s="2"/>
      <c r="AN2" s="2"/>
      <c r="AO2" s="3"/>
      <c r="AP2" s="3"/>
      <c r="AQ2" s="3"/>
      <c r="AR2" s="3"/>
      <c r="AS2" s="3"/>
      <c r="AT2" s="3"/>
      <c r="AU2" s="3"/>
    </row>
    <row r="3" spans="1:47" ht="18" x14ac:dyDescent="0.3">
      <c r="A3" s="3"/>
      <c r="B3" s="2"/>
      <c r="C3" s="4" t="s">
        <v>1</v>
      </c>
      <c r="D3" s="5" t="s">
        <v>2</v>
      </c>
      <c r="E3" s="6"/>
      <c r="G3" s="2"/>
      <c r="H3" s="2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3"/>
      <c r="U3" s="3"/>
      <c r="V3" s="3"/>
      <c r="W3" s="3"/>
      <c r="X3" s="3"/>
      <c r="Y3" s="3"/>
      <c r="Z3" s="3"/>
      <c r="AA3" s="3"/>
      <c r="AB3" s="3"/>
      <c r="AC3" s="2"/>
      <c r="AD3" s="2"/>
      <c r="AE3" s="3"/>
      <c r="AF3" s="2"/>
      <c r="AG3" s="3"/>
      <c r="AH3" s="2"/>
      <c r="AI3" s="3"/>
      <c r="AJ3" s="2"/>
      <c r="AK3" s="3"/>
      <c r="AL3" s="2"/>
      <c r="AM3" s="2"/>
      <c r="AN3" s="2"/>
      <c r="AO3" s="3"/>
      <c r="AP3" s="3"/>
      <c r="AQ3" s="3"/>
      <c r="AR3" s="3"/>
      <c r="AS3" s="3"/>
      <c r="AT3" s="3"/>
      <c r="AU3" s="3"/>
    </row>
    <row r="4" spans="1:47" ht="18" x14ac:dyDescent="0.3">
      <c r="A4" s="3"/>
      <c r="B4" s="2"/>
      <c r="C4" s="4"/>
      <c r="D4" s="5"/>
      <c r="E4" s="6"/>
      <c r="G4" s="2"/>
      <c r="H4" s="2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3"/>
      <c r="U4" s="3"/>
      <c r="V4" s="3"/>
      <c r="W4" s="3"/>
      <c r="X4" s="3"/>
      <c r="Y4" s="3"/>
      <c r="Z4" s="3"/>
      <c r="AA4" s="3"/>
      <c r="AB4" s="3"/>
      <c r="AC4" s="2"/>
      <c r="AD4" s="2"/>
      <c r="AE4" s="3"/>
      <c r="AF4" s="2"/>
      <c r="AG4" s="3"/>
      <c r="AH4" s="2"/>
      <c r="AI4" s="3"/>
      <c r="AJ4" s="2"/>
      <c r="AK4" s="3"/>
      <c r="AL4" s="2"/>
      <c r="AM4" s="2"/>
      <c r="AN4" s="2"/>
      <c r="AO4" s="3"/>
      <c r="AP4" s="3"/>
      <c r="AQ4" s="3"/>
      <c r="AR4" s="3"/>
      <c r="AS4" s="3"/>
      <c r="AT4" s="3"/>
      <c r="AU4" s="3"/>
    </row>
    <row r="5" spans="1:47" ht="18" x14ac:dyDescent="0.3">
      <c r="A5" s="3"/>
      <c r="B5" s="2"/>
      <c r="C5" s="4"/>
      <c r="D5" s="5"/>
      <c r="E5" s="6"/>
      <c r="G5" s="2"/>
      <c r="H5" s="2"/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3"/>
      <c r="U5" s="3"/>
      <c r="V5" s="3"/>
      <c r="W5" s="3"/>
      <c r="X5" s="3"/>
      <c r="Y5" s="3"/>
      <c r="Z5" s="3"/>
      <c r="AA5" s="3"/>
      <c r="AB5" s="3"/>
      <c r="AC5" s="2"/>
      <c r="AD5" s="2"/>
      <c r="AE5" s="3"/>
      <c r="AF5" s="2"/>
      <c r="AG5" s="3"/>
      <c r="AH5" s="2"/>
      <c r="AI5" s="3"/>
      <c r="AJ5" s="2"/>
      <c r="AK5" s="3"/>
      <c r="AL5" s="2"/>
      <c r="AM5" s="2"/>
      <c r="AN5" s="2"/>
      <c r="AR5" s="3"/>
      <c r="AS5" s="3"/>
      <c r="AT5" s="3"/>
      <c r="AU5" s="3"/>
    </row>
    <row r="6" spans="1:47" ht="18" x14ac:dyDescent="0.3">
      <c r="A6" s="3"/>
      <c r="B6" s="2"/>
      <c r="C6" s="4"/>
      <c r="D6" s="5"/>
      <c r="E6" s="6"/>
      <c r="G6" s="2"/>
      <c r="H6" s="2"/>
      <c r="I6" s="3"/>
      <c r="J6" s="3"/>
      <c r="K6" s="3"/>
      <c r="L6" s="3"/>
      <c r="M6" s="3"/>
      <c r="N6" s="3"/>
      <c r="O6" s="2"/>
      <c r="P6" s="2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2"/>
      <c r="AD6" s="2"/>
      <c r="AE6" s="3"/>
      <c r="AF6" s="2"/>
      <c r="AG6" s="3"/>
      <c r="AH6" s="2"/>
      <c r="AI6" s="3"/>
      <c r="AJ6" s="2"/>
      <c r="AK6" s="3"/>
      <c r="AL6" s="2"/>
      <c r="AM6" s="2"/>
      <c r="AN6" s="2"/>
      <c r="AO6" s="3"/>
      <c r="AP6" s="3"/>
      <c r="AQ6" s="3"/>
      <c r="AR6" s="3"/>
      <c r="AS6" s="3"/>
      <c r="AT6" s="3"/>
      <c r="AU6" s="3"/>
    </row>
    <row r="7" spans="1:47" ht="18" customHeight="1" x14ac:dyDescent="0.3">
      <c r="A7" s="3"/>
      <c r="B7" s="2"/>
      <c r="C7" s="7" t="s">
        <v>3</v>
      </c>
      <c r="D7" s="7" t="s">
        <v>449</v>
      </c>
      <c r="E7" s="7"/>
      <c r="G7" s="7"/>
      <c r="H7" s="7"/>
      <c r="I7" s="4"/>
      <c r="J7" s="3"/>
      <c r="K7" s="3"/>
      <c r="L7" s="3"/>
      <c r="M7" s="3"/>
      <c r="N7" s="3"/>
      <c r="O7" s="2"/>
      <c r="P7" s="2"/>
      <c r="Q7" s="2"/>
      <c r="R7" s="2"/>
      <c r="S7" s="2"/>
      <c r="T7" s="3"/>
      <c r="U7" s="3"/>
      <c r="V7" s="3"/>
      <c r="W7" s="3"/>
      <c r="X7" s="3"/>
      <c r="Y7" s="3"/>
      <c r="Z7" s="3"/>
      <c r="AA7" s="3"/>
      <c r="AB7" s="3"/>
      <c r="AC7" s="2"/>
      <c r="AD7" s="2"/>
      <c r="AE7" s="3"/>
      <c r="AF7" s="2"/>
      <c r="AG7" s="3"/>
      <c r="AH7" s="2"/>
      <c r="AI7" s="3"/>
      <c r="AJ7" s="2"/>
      <c r="AK7" s="3"/>
      <c r="AL7" s="2"/>
      <c r="AM7" s="2"/>
      <c r="AN7" s="2"/>
      <c r="AO7" s="3"/>
      <c r="AP7" s="3"/>
      <c r="AQ7" s="3"/>
      <c r="AR7" s="3"/>
      <c r="AS7" s="3"/>
      <c r="AT7" s="3"/>
      <c r="AU7" s="3"/>
    </row>
    <row r="8" spans="1:47" ht="18" x14ac:dyDescent="0.3">
      <c r="A8" s="1"/>
      <c r="B8" s="2"/>
      <c r="C8" s="5" t="s">
        <v>4</v>
      </c>
      <c r="D8" s="5" t="s">
        <v>246</v>
      </c>
      <c r="E8" s="2"/>
      <c r="G8" s="2"/>
      <c r="H8" s="2"/>
      <c r="I8" s="1"/>
      <c r="J8" s="1"/>
      <c r="K8" s="1"/>
      <c r="L8" s="1"/>
      <c r="M8" s="1"/>
      <c r="N8" s="1"/>
      <c r="O8" s="2"/>
      <c r="P8" s="2"/>
      <c r="Q8" s="2"/>
      <c r="R8" s="2"/>
      <c r="S8" s="2"/>
      <c r="T8" s="1"/>
      <c r="U8" s="1"/>
      <c r="V8" s="1"/>
      <c r="W8" s="1"/>
      <c r="X8" s="1"/>
      <c r="Y8" s="1"/>
      <c r="Z8" s="1"/>
      <c r="AA8" s="1"/>
      <c r="AB8" s="1"/>
      <c r="AC8" s="2"/>
      <c r="AD8" s="2"/>
      <c r="AE8" s="1"/>
      <c r="AF8" s="2"/>
      <c r="AG8" s="1"/>
      <c r="AH8" s="2"/>
      <c r="AI8" s="1"/>
      <c r="AJ8" s="2"/>
      <c r="AK8" s="1"/>
      <c r="AL8" s="2"/>
      <c r="AM8" s="2"/>
      <c r="AN8" s="2"/>
      <c r="AO8" s="1"/>
      <c r="AP8" s="1"/>
      <c r="AQ8" s="1"/>
      <c r="AR8" s="1"/>
      <c r="AS8" s="1"/>
      <c r="AT8" s="1"/>
      <c r="AU8" s="1"/>
    </row>
    <row r="9" spans="1:47" ht="18.600000000000001" thickBot="1" x14ac:dyDescent="0.35">
      <c r="A9" s="98"/>
      <c r="B9" s="99"/>
      <c r="C9" s="98"/>
      <c r="D9" s="99"/>
      <c r="E9" s="99"/>
      <c r="F9" s="99"/>
      <c r="G9" s="99"/>
      <c r="H9" s="99"/>
      <c r="I9" s="98"/>
      <c r="J9" s="98"/>
      <c r="K9" s="98"/>
      <c r="L9" s="98"/>
      <c r="M9" s="98"/>
      <c r="N9" s="98"/>
      <c r="O9" s="99"/>
      <c r="P9" s="99"/>
      <c r="Q9" s="99"/>
      <c r="R9" s="99"/>
      <c r="S9" s="99"/>
      <c r="T9" s="98"/>
      <c r="U9" s="98"/>
      <c r="V9" s="98"/>
      <c r="W9" s="98"/>
      <c r="X9" s="98"/>
      <c r="Y9" s="98"/>
      <c r="Z9" s="98"/>
      <c r="AA9" s="98"/>
      <c r="AB9" s="98"/>
      <c r="AC9" s="99"/>
      <c r="AD9" s="99"/>
      <c r="AE9" s="98"/>
      <c r="AF9" s="99"/>
      <c r="AG9" s="98"/>
      <c r="AH9" s="99"/>
      <c r="AI9" s="98"/>
      <c r="AJ9" s="99"/>
      <c r="AK9" s="98"/>
      <c r="AL9" s="99"/>
      <c r="AM9" s="99"/>
      <c r="AN9" s="99"/>
      <c r="AO9" s="98"/>
      <c r="AP9" s="98"/>
      <c r="AQ9" s="98"/>
      <c r="AR9" s="1"/>
      <c r="AS9" s="1"/>
      <c r="AT9" s="1"/>
      <c r="AU9" s="1"/>
    </row>
    <row r="10" spans="1:47" ht="18.600000000000001" thickBot="1" x14ac:dyDescent="0.35">
      <c r="A10" s="186" t="s">
        <v>5</v>
      </c>
      <c r="B10" s="187"/>
      <c r="C10" s="187"/>
      <c r="D10" s="187"/>
      <c r="E10" s="187"/>
      <c r="F10" s="187"/>
      <c r="G10" s="187"/>
      <c r="H10" s="187"/>
      <c r="I10" s="188" t="s">
        <v>6</v>
      </c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9"/>
      <c r="U10" s="128"/>
      <c r="V10" s="122"/>
      <c r="W10" s="122"/>
      <c r="X10" s="122"/>
      <c r="Y10" s="122"/>
      <c r="Z10" s="122"/>
      <c r="AA10" s="190" t="s">
        <v>7</v>
      </c>
      <c r="AB10" s="191"/>
      <c r="AC10" s="191"/>
      <c r="AD10" s="187"/>
      <c r="AE10" s="187"/>
      <c r="AF10" s="187"/>
      <c r="AG10" s="187"/>
      <c r="AH10" s="187"/>
      <c r="AI10" s="187"/>
      <c r="AJ10" s="187"/>
      <c r="AK10" s="187"/>
      <c r="AL10" s="192"/>
      <c r="AM10" s="192"/>
      <c r="AN10" s="192"/>
      <c r="AO10" s="187"/>
      <c r="AP10" s="187"/>
      <c r="AQ10" s="189"/>
      <c r="AR10" s="1"/>
      <c r="AS10" s="1"/>
      <c r="AT10" s="1"/>
      <c r="AU10" s="1"/>
    </row>
    <row r="11" spans="1:47" ht="18" customHeight="1" x14ac:dyDescent="0.3">
      <c r="A11" s="193" t="s">
        <v>8</v>
      </c>
      <c r="B11" s="194"/>
      <c r="C11" s="197" t="s">
        <v>9</v>
      </c>
      <c r="D11" s="179" t="s">
        <v>12</v>
      </c>
      <c r="E11" s="177" t="s">
        <v>13</v>
      </c>
      <c r="F11" s="199" t="s">
        <v>10</v>
      </c>
      <c r="G11" s="197" t="s">
        <v>11</v>
      </c>
      <c r="H11" s="182" t="s">
        <v>20</v>
      </c>
      <c r="I11" s="200" t="s">
        <v>14</v>
      </c>
      <c r="J11" s="201"/>
      <c r="K11" s="202" t="s">
        <v>15</v>
      </c>
      <c r="L11" s="202" t="s">
        <v>16</v>
      </c>
      <c r="M11" s="202" t="s">
        <v>17</v>
      </c>
      <c r="N11" s="214" t="s">
        <v>18</v>
      </c>
      <c r="O11" s="215" t="s">
        <v>19</v>
      </c>
      <c r="P11" s="216"/>
      <c r="Q11" s="202" t="s">
        <v>21</v>
      </c>
      <c r="R11" s="202" t="s">
        <v>22</v>
      </c>
      <c r="S11" s="202" t="s">
        <v>23</v>
      </c>
      <c r="T11" s="218" t="s">
        <v>24</v>
      </c>
      <c r="U11" s="204" t="s">
        <v>25</v>
      </c>
      <c r="V11" s="206" t="s">
        <v>26</v>
      </c>
      <c r="W11" s="206" t="s">
        <v>380</v>
      </c>
      <c r="X11" s="206" t="s">
        <v>381</v>
      </c>
      <c r="Y11" s="206" t="s">
        <v>382</v>
      </c>
      <c r="Z11" s="206" t="s">
        <v>382</v>
      </c>
      <c r="AA11" s="210" t="s">
        <v>27</v>
      </c>
      <c r="AB11" s="211"/>
      <c r="AC11" s="211"/>
      <c r="AD11" s="212" t="s">
        <v>436</v>
      </c>
      <c r="AE11" s="213"/>
      <c r="AF11" s="212" t="s">
        <v>437</v>
      </c>
      <c r="AG11" s="213"/>
      <c r="AH11" s="212" t="s">
        <v>443</v>
      </c>
      <c r="AI11" s="213"/>
      <c r="AJ11" s="212" t="s">
        <v>443</v>
      </c>
      <c r="AK11" s="213"/>
      <c r="AL11" s="208" t="s">
        <v>28</v>
      </c>
      <c r="AM11" s="209"/>
      <c r="AN11" s="209"/>
      <c r="AO11" s="182" t="s">
        <v>24</v>
      </c>
      <c r="AP11" s="184" t="s">
        <v>29</v>
      </c>
      <c r="AQ11" s="185" t="s">
        <v>30</v>
      </c>
      <c r="AR11" s="1"/>
    </row>
    <row r="12" spans="1:47" ht="72.599999999999994" thickBot="1" x14ac:dyDescent="0.35">
      <c r="A12" s="195"/>
      <c r="B12" s="196"/>
      <c r="C12" s="198"/>
      <c r="D12" s="180"/>
      <c r="E12" s="178"/>
      <c r="F12" s="196"/>
      <c r="G12" s="198"/>
      <c r="H12" s="217"/>
      <c r="I12" s="131" t="s">
        <v>32</v>
      </c>
      <c r="J12" s="101" t="s">
        <v>33</v>
      </c>
      <c r="K12" s="203"/>
      <c r="L12" s="203"/>
      <c r="M12" s="203"/>
      <c r="N12" s="207"/>
      <c r="O12" s="131" t="s">
        <v>34</v>
      </c>
      <c r="P12" s="132" t="s">
        <v>35</v>
      </c>
      <c r="Q12" s="203"/>
      <c r="R12" s="203"/>
      <c r="S12" s="203"/>
      <c r="T12" s="219"/>
      <c r="U12" s="205"/>
      <c r="V12" s="207"/>
      <c r="W12" s="207"/>
      <c r="X12" s="207"/>
      <c r="Y12" s="207"/>
      <c r="Z12" s="207"/>
      <c r="AA12" s="133" t="s">
        <v>36</v>
      </c>
      <c r="AB12" s="102" t="s">
        <v>37</v>
      </c>
      <c r="AC12" s="152" t="s">
        <v>38</v>
      </c>
      <c r="AD12" s="157" t="s">
        <v>434</v>
      </c>
      <c r="AE12" s="158" t="s">
        <v>40</v>
      </c>
      <c r="AF12" s="133" t="s">
        <v>438</v>
      </c>
      <c r="AG12" s="151" t="s">
        <v>40</v>
      </c>
      <c r="AH12" s="133" t="s">
        <v>435</v>
      </c>
      <c r="AI12" s="151" t="s">
        <v>40</v>
      </c>
      <c r="AJ12" s="133" t="s">
        <v>446</v>
      </c>
      <c r="AK12" s="151" t="s">
        <v>40</v>
      </c>
      <c r="AL12" s="133" t="s">
        <v>41</v>
      </c>
      <c r="AM12" s="102" t="s">
        <v>42</v>
      </c>
      <c r="AN12" s="152" t="s">
        <v>43</v>
      </c>
      <c r="AO12" s="183"/>
      <c r="AP12" s="180"/>
      <c r="AQ12" s="178"/>
      <c r="AR12" s="1"/>
      <c r="AS12" s="8" t="s">
        <v>245</v>
      </c>
      <c r="AT12" s="9" t="s">
        <v>31</v>
      </c>
      <c r="AU12" s="9" t="s">
        <v>244</v>
      </c>
    </row>
    <row r="13" spans="1:47" ht="18.600000000000001" thickBot="1" x14ac:dyDescent="0.6">
      <c r="A13" s="134"/>
      <c r="B13" s="145"/>
      <c r="C13" s="141" t="s">
        <v>9</v>
      </c>
      <c r="D13" s="172" t="s">
        <v>188</v>
      </c>
      <c r="E13" s="143" t="s">
        <v>189</v>
      </c>
      <c r="F13" s="142" t="s">
        <v>10</v>
      </c>
      <c r="G13" s="141" t="s">
        <v>383</v>
      </c>
      <c r="H13" s="169" t="s">
        <v>384</v>
      </c>
      <c r="I13" s="135" t="s">
        <v>429</v>
      </c>
      <c r="J13" s="136" t="s">
        <v>430</v>
      </c>
      <c r="K13" s="140" t="s">
        <v>431</v>
      </c>
      <c r="L13" s="140" t="s">
        <v>432</v>
      </c>
      <c r="M13" s="140" t="s">
        <v>17</v>
      </c>
      <c r="N13" s="141" t="s">
        <v>355</v>
      </c>
      <c r="O13" s="135" t="s">
        <v>34</v>
      </c>
      <c r="P13" s="137" t="s">
        <v>35</v>
      </c>
      <c r="Q13" s="140" t="s">
        <v>41</v>
      </c>
      <c r="R13" s="140" t="s">
        <v>42</v>
      </c>
      <c r="S13" s="140" t="s">
        <v>54</v>
      </c>
      <c r="T13" s="143" t="s">
        <v>385</v>
      </c>
      <c r="U13" s="142" t="s">
        <v>386</v>
      </c>
      <c r="V13" s="141" t="s">
        <v>387</v>
      </c>
      <c r="W13" s="141" t="s">
        <v>388</v>
      </c>
      <c r="X13" s="141" t="s">
        <v>433</v>
      </c>
      <c r="Y13" s="141" t="s">
        <v>395</v>
      </c>
      <c r="Z13" s="141" t="s">
        <v>394</v>
      </c>
      <c r="AA13" s="138" t="s">
        <v>36</v>
      </c>
      <c r="AB13" s="139" t="s">
        <v>37</v>
      </c>
      <c r="AC13" s="153" t="s">
        <v>389</v>
      </c>
      <c r="AD13" s="138" t="s">
        <v>439</v>
      </c>
      <c r="AE13" s="159" t="s">
        <v>441</v>
      </c>
      <c r="AF13" s="138" t="s">
        <v>440</v>
      </c>
      <c r="AG13" s="159" t="s">
        <v>442</v>
      </c>
      <c r="AH13" s="138" t="s">
        <v>444</v>
      </c>
      <c r="AI13" s="159" t="s">
        <v>445</v>
      </c>
      <c r="AJ13" s="138" t="s">
        <v>447</v>
      </c>
      <c r="AK13" s="159" t="s">
        <v>448</v>
      </c>
      <c r="AL13" s="138" t="s">
        <v>41</v>
      </c>
      <c r="AM13" s="139" t="s">
        <v>42</v>
      </c>
      <c r="AN13" s="153" t="s">
        <v>54</v>
      </c>
      <c r="AO13" s="169" t="s">
        <v>385</v>
      </c>
      <c r="AP13" s="142" t="s">
        <v>29</v>
      </c>
      <c r="AQ13" s="143" t="s">
        <v>30</v>
      </c>
      <c r="AR13" s="1"/>
      <c r="AS13" s="1"/>
      <c r="AT13" s="1"/>
      <c r="AU13" s="1"/>
    </row>
    <row r="14" spans="1:47" ht="18" x14ac:dyDescent="0.3">
      <c r="A14" s="106">
        <v>1</v>
      </c>
      <c r="B14" s="107">
        <f t="shared" ref="B14" si="0">A14+1</f>
        <v>2</v>
      </c>
      <c r="C14" s="108">
        <f t="shared" ref="C14:X14" si="1">B14+1</f>
        <v>3</v>
      </c>
      <c r="D14" s="106">
        <f t="shared" si="1"/>
        <v>4</v>
      </c>
      <c r="E14" s="110">
        <f t="shared" si="1"/>
        <v>5</v>
      </c>
      <c r="F14" s="109">
        <f t="shared" si="1"/>
        <v>6</v>
      </c>
      <c r="G14" s="108">
        <f t="shared" si="1"/>
        <v>7</v>
      </c>
      <c r="H14" s="160">
        <f t="shared" si="1"/>
        <v>8</v>
      </c>
      <c r="I14" s="106">
        <f t="shared" si="1"/>
        <v>9</v>
      </c>
      <c r="J14" s="107">
        <f t="shared" si="1"/>
        <v>10</v>
      </c>
      <c r="K14" s="107">
        <f t="shared" si="1"/>
        <v>11</v>
      </c>
      <c r="L14" s="107">
        <f t="shared" si="1"/>
        <v>12</v>
      </c>
      <c r="M14" s="107">
        <f t="shared" si="1"/>
        <v>13</v>
      </c>
      <c r="N14" s="108">
        <f t="shared" si="1"/>
        <v>14</v>
      </c>
      <c r="O14" s="106">
        <f t="shared" si="1"/>
        <v>15</v>
      </c>
      <c r="P14" s="110">
        <f t="shared" si="1"/>
        <v>16</v>
      </c>
      <c r="Q14" s="107">
        <f t="shared" si="1"/>
        <v>17</v>
      </c>
      <c r="R14" s="107">
        <f t="shared" si="1"/>
        <v>18</v>
      </c>
      <c r="S14" s="107">
        <f t="shared" si="1"/>
        <v>19</v>
      </c>
      <c r="T14" s="110">
        <f t="shared" si="1"/>
        <v>20</v>
      </c>
      <c r="U14" s="110">
        <f t="shared" si="1"/>
        <v>21</v>
      </c>
      <c r="V14" s="110">
        <f t="shared" si="1"/>
        <v>22</v>
      </c>
      <c r="W14" s="110">
        <f t="shared" si="1"/>
        <v>23</v>
      </c>
      <c r="X14" s="110">
        <f t="shared" si="1"/>
        <v>24</v>
      </c>
      <c r="Y14" s="110">
        <f>W14+1</f>
        <v>24</v>
      </c>
      <c r="Z14" s="110">
        <f>X14+1</f>
        <v>25</v>
      </c>
      <c r="AA14" s="110">
        <f t="shared" ref="AA14:AQ14" si="2">Z14+1</f>
        <v>26</v>
      </c>
      <c r="AB14" s="110">
        <f t="shared" si="2"/>
        <v>27</v>
      </c>
      <c r="AC14" s="108">
        <f t="shared" si="2"/>
        <v>28</v>
      </c>
      <c r="AD14" s="160">
        <f t="shared" si="2"/>
        <v>29</v>
      </c>
      <c r="AE14" s="110">
        <f t="shared" si="2"/>
        <v>30</v>
      </c>
      <c r="AF14" s="160">
        <f t="shared" si="2"/>
        <v>31</v>
      </c>
      <c r="AG14" s="110">
        <f t="shared" si="2"/>
        <v>32</v>
      </c>
      <c r="AH14" s="160">
        <f t="shared" si="2"/>
        <v>33</v>
      </c>
      <c r="AI14" s="110">
        <f t="shared" si="2"/>
        <v>34</v>
      </c>
      <c r="AJ14" s="160">
        <f t="shared" si="2"/>
        <v>35</v>
      </c>
      <c r="AK14" s="110">
        <f t="shared" si="2"/>
        <v>36</v>
      </c>
      <c r="AL14" s="160">
        <f t="shared" si="2"/>
        <v>37</v>
      </c>
      <c r="AM14" s="110">
        <f t="shared" si="2"/>
        <v>38</v>
      </c>
      <c r="AN14" s="108">
        <f t="shared" si="2"/>
        <v>39</v>
      </c>
      <c r="AO14" s="160">
        <f t="shared" si="2"/>
        <v>40</v>
      </c>
      <c r="AP14" s="156">
        <f t="shared" si="2"/>
        <v>41</v>
      </c>
      <c r="AQ14" s="110">
        <f t="shared" si="2"/>
        <v>42</v>
      </c>
      <c r="AR14" s="1"/>
      <c r="AS14" s="1"/>
      <c r="AT14" s="1"/>
      <c r="AU14" s="1"/>
    </row>
    <row r="15" spans="1:47" ht="19.2" x14ac:dyDescent="0.3">
      <c r="A15" s="113" t="s">
        <v>450</v>
      </c>
      <c r="B15" s="111">
        <f t="shared" ref="B15:B24" si="3">ROW()-ROW($B$14)</f>
        <v>1</v>
      </c>
      <c r="C15" s="123"/>
      <c r="D15" s="166"/>
      <c r="E15" s="173" t="s">
        <v>251</v>
      </c>
      <c r="F15" s="117" t="s">
        <v>362</v>
      </c>
      <c r="G15" s="116" t="s">
        <v>44</v>
      </c>
      <c r="H15" s="170" t="s">
        <v>45</v>
      </c>
      <c r="I15" s="126"/>
      <c r="J15" s="112"/>
      <c r="K15" s="112"/>
      <c r="L15" s="112"/>
      <c r="M15" s="112"/>
      <c r="N15" s="116"/>
      <c r="O15" s="119"/>
      <c r="P15" s="118"/>
      <c r="Q15" s="111">
        <v>1</v>
      </c>
      <c r="R15" s="111">
        <v>1</v>
      </c>
      <c r="S15" s="146">
        <f t="shared" ref="S15:S22" si="4">Q15*R15</f>
        <v>1</v>
      </c>
      <c r="T15" s="148" t="str">
        <f>_xlfn.IFNA(VLOOKUP(S15,Parameter!$D$53:$E$77,2),"")</f>
        <v>RENDAH</v>
      </c>
      <c r="U15" s="129"/>
      <c r="V15" s="123"/>
      <c r="W15" s="123"/>
      <c r="X15" s="123"/>
      <c r="Y15" s="123"/>
      <c r="Z15" s="123"/>
      <c r="AA15" s="125"/>
      <c r="AB15" s="144"/>
      <c r="AC15" s="154">
        <v>46387</v>
      </c>
      <c r="AD15" s="161">
        <v>46102</v>
      </c>
      <c r="AE15" s="114"/>
      <c r="AF15" s="162"/>
      <c r="AG15" s="114"/>
      <c r="AH15" s="162"/>
      <c r="AI15" s="114"/>
      <c r="AJ15" s="162"/>
      <c r="AK15" s="114"/>
      <c r="AL15" s="166">
        <f t="shared" ref="AL15:AL22" si="5">Q15</f>
        <v>1</v>
      </c>
      <c r="AM15" s="111">
        <f t="shared" ref="AM15:AM22" si="6">R15</f>
        <v>1</v>
      </c>
      <c r="AN15" s="168">
        <f t="shared" ref="AN15:AN22" si="7">AL15*AM15</f>
        <v>1</v>
      </c>
      <c r="AO15" s="148" t="str">
        <f>_xlfn.IFNA(VLOOKUP(AN15,Parameter!$D$53:$E$77,2),"")</f>
        <v>RENDAH</v>
      </c>
      <c r="AP15" s="164" t="s">
        <v>373</v>
      </c>
      <c r="AQ15" s="115"/>
    </row>
    <row r="16" spans="1:47" ht="19.2" x14ac:dyDescent="0.3">
      <c r="A16" s="113" t="s">
        <v>450</v>
      </c>
      <c r="B16" s="111">
        <f t="shared" si="3"/>
        <v>2</v>
      </c>
      <c r="C16" s="123"/>
      <c r="D16" s="166"/>
      <c r="E16" s="173" t="s">
        <v>251</v>
      </c>
      <c r="F16" s="117" t="s">
        <v>362</v>
      </c>
      <c r="G16" s="116" t="s">
        <v>44</v>
      </c>
      <c r="H16" s="170" t="s">
        <v>45</v>
      </c>
      <c r="I16" s="126"/>
      <c r="J16" s="112"/>
      <c r="K16" s="112"/>
      <c r="L16" s="112"/>
      <c r="M16" s="112"/>
      <c r="N16" s="116"/>
      <c r="O16" s="119"/>
      <c r="P16" s="118"/>
      <c r="Q16" s="111">
        <v>1</v>
      </c>
      <c r="R16" s="111">
        <v>1</v>
      </c>
      <c r="S16" s="146">
        <f t="shared" ref="S16:S19" si="8">Q16*R16</f>
        <v>1</v>
      </c>
      <c r="T16" s="148" t="str">
        <f>_xlfn.IFNA(VLOOKUP(S16,Parameter!$D$53:$E$77,2),"")</f>
        <v>RENDAH</v>
      </c>
      <c r="U16" s="129"/>
      <c r="V16" s="123"/>
      <c r="W16" s="123"/>
      <c r="X16" s="123"/>
      <c r="Y16" s="123"/>
      <c r="Z16" s="123"/>
      <c r="AA16" s="125"/>
      <c r="AB16" s="144"/>
      <c r="AC16" s="154">
        <v>46387</v>
      </c>
      <c r="AD16" s="161">
        <v>46102</v>
      </c>
      <c r="AE16" s="114"/>
      <c r="AF16" s="162"/>
      <c r="AG16" s="114"/>
      <c r="AH16" s="162"/>
      <c r="AI16" s="114"/>
      <c r="AJ16" s="162"/>
      <c r="AK16" s="114"/>
      <c r="AL16" s="166">
        <f t="shared" ref="AL16:AL19" si="9">Q16</f>
        <v>1</v>
      </c>
      <c r="AM16" s="111">
        <f t="shared" ref="AM16:AM19" si="10">R16</f>
        <v>1</v>
      </c>
      <c r="AN16" s="168">
        <f t="shared" ref="AN16:AN19" si="11">AL16*AM16</f>
        <v>1</v>
      </c>
      <c r="AO16" s="148" t="str">
        <f>_xlfn.IFNA(VLOOKUP(AN16,Parameter!$D$53:$E$77,2),"")</f>
        <v>RENDAH</v>
      </c>
      <c r="AP16" s="164" t="s">
        <v>373</v>
      </c>
      <c r="AQ16" s="115"/>
    </row>
    <row r="17" spans="1:43" ht="19.2" x14ac:dyDescent="0.3">
      <c r="A17" s="113" t="s">
        <v>450</v>
      </c>
      <c r="B17" s="111">
        <f t="shared" si="3"/>
        <v>3</v>
      </c>
      <c r="C17" s="123"/>
      <c r="D17" s="166"/>
      <c r="E17" s="173" t="s">
        <v>251</v>
      </c>
      <c r="F17" s="117" t="s">
        <v>362</v>
      </c>
      <c r="G17" s="116" t="s">
        <v>44</v>
      </c>
      <c r="H17" s="170" t="s">
        <v>45</v>
      </c>
      <c r="I17" s="126"/>
      <c r="J17" s="112"/>
      <c r="K17" s="112"/>
      <c r="L17" s="112"/>
      <c r="M17" s="112"/>
      <c r="N17" s="116"/>
      <c r="O17" s="119"/>
      <c r="P17" s="118"/>
      <c r="Q17" s="111">
        <v>1</v>
      </c>
      <c r="R17" s="111">
        <v>1</v>
      </c>
      <c r="S17" s="146">
        <f t="shared" si="8"/>
        <v>1</v>
      </c>
      <c r="T17" s="148" t="str">
        <f>_xlfn.IFNA(VLOOKUP(S17,Parameter!$D$53:$E$77,2),"")</f>
        <v>RENDAH</v>
      </c>
      <c r="U17" s="129"/>
      <c r="V17" s="123"/>
      <c r="W17" s="123"/>
      <c r="X17" s="123"/>
      <c r="Y17" s="123"/>
      <c r="Z17" s="123"/>
      <c r="AA17" s="125"/>
      <c r="AB17" s="144"/>
      <c r="AC17" s="154">
        <v>46387</v>
      </c>
      <c r="AD17" s="161">
        <v>46102</v>
      </c>
      <c r="AE17" s="114"/>
      <c r="AF17" s="162"/>
      <c r="AG17" s="114"/>
      <c r="AH17" s="162"/>
      <c r="AI17" s="114"/>
      <c r="AJ17" s="162"/>
      <c r="AK17" s="114"/>
      <c r="AL17" s="166">
        <f t="shared" si="9"/>
        <v>1</v>
      </c>
      <c r="AM17" s="111">
        <f t="shared" si="10"/>
        <v>1</v>
      </c>
      <c r="AN17" s="168">
        <f t="shared" si="11"/>
        <v>1</v>
      </c>
      <c r="AO17" s="148" t="str">
        <f>_xlfn.IFNA(VLOOKUP(AN17,Parameter!$D$53:$E$77,2),"")</f>
        <v>RENDAH</v>
      </c>
      <c r="AP17" s="164" t="s">
        <v>373</v>
      </c>
      <c r="AQ17" s="115"/>
    </row>
    <row r="18" spans="1:43" ht="19.2" x14ac:dyDescent="0.3">
      <c r="A18" s="113" t="s">
        <v>450</v>
      </c>
      <c r="B18" s="111">
        <f t="shared" si="3"/>
        <v>4</v>
      </c>
      <c r="C18" s="123"/>
      <c r="D18" s="166"/>
      <c r="E18" s="173" t="s">
        <v>251</v>
      </c>
      <c r="F18" s="117" t="s">
        <v>362</v>
      </c>
      <c r="G18" s="116" t="s">
        <v>44</v>
      </c>
      <c r="H18" s="170" t="s">
        <v>45</v>
      </c>
      <c r="I18" s="126"/>
      <c r="J18" s="112"/>
      <c r="K18" s="112"/>
      <c r="L18" s="112"/>
      <c r="M18" s="112"/>
      <c r="N18" s="116"/>
      <c r="O18" s="119"/>
      <c r="P18" s="118"/>
      <c r="Q18" s="111">
        <v>1</v>
      </c>
      <c r="R18" s="111">
        <v>1</v>
      </c>
      <c r="S18" s="146">
        <f t="shared" si="8"/>
        <v>1</v>
      </c>
      <c r="T18" s="148" t="str">
        <f>_xlfn.IFNA(VLOOKUP(S18,Parameter!$D$53:$E$77,2),"")</f>
        <v>RENDAH</v>
      </c>
      <c r="U18" s="129"/>
      <c r="V18" s="123"/>
      <c r="W18" s="123"/>
      <c r="X18" s="123"/>
      <c r="Y18" s="123"/>
      <c r="Z18" s="123"/>
      <c r="AA18" s="125"/>
      <c r="AB18" s="144"/>
      <c r="AC18" s="154">
        <v>46387</v>
      </c>
      <c r="AD18" s="161">
        <v>46102</v>
      </c>
      <c r="AE18" s="114"/>
      <c r="AF18" s="162"/>
      <c r="AG18" s="114"/>
      <c r="AH18" s="162"/>
      <c r="AI18" s="114"/>
      <c r="AJ18" s="162"/>
      <c r="AK18" s="114"/>
      <c r="AL18" s="166">
        <f t="shared" si="9"/>
        <v>1</v>
      </c>
      <c r="AM18" s="111">
        <f t="shared" si="10"/>
        <v>1</v>
      </c>
      <c r="AN18" s="168">
        <f t="shared" si="11"/>
        <v>1</v>
      </c>
      <c r="AO18" s="148" t="str">
        <f>_xlfn.IFNA(VLOOKUP(AN18,Parameter!$D$53:$E$77,2),"")</f>
        <v>RENDAH</v>
      </c>
      <c r="AP18" s="164" t="s">
        <v>373</v>
      </c>
      <c r="AQ18" s="115"/>
    </row>
    <row r="19" spans="1:43" ht="19.2" x14ac:dyDescent="0.3">
      <c r="A19" s="113" t="s">
        <v>450</v>
      </c>
      <c r="B19" s="111">
        <f t="shared" si="3"/>
        <v>5</v>
      </c>
      <c r="C19" s="123"/>
      <c r="D19" s="166"/>
      <c r="E19" s="173" t="s">
        <v>251</v>
      </c>
      <c r="F19" s="117" t="s">
        <v>362</v>
      </c>
      <c r="G19" s="116" t="s">
        <v>44</v>
      </c>
      <c r="H19" s="170" t="s">
        <v>45</v>
      </c>
      <c r="I19" s="126"/>
      <c r="J19" s="112"/>
      <c r="K19" s="112"/>
      <c r="L19" s="112"/>
      <c r="M19" s="112"/>
      <c r="N19" s="116"/>
      <c r="O19" s="119"/>
      <c r="P19" s="118"/>
      <c r="Q19" s="111">
        <v>1</v>
      </c>
      <c r="R19" s="111">
        <v>1</v>
      </c>
      <c r="S19" s="146">
        <f t="shared" si="8"/>
        <v>1</v>
      </c>
      <c r="T19" s="148" t="str">
        <f>_xlfn.IFNA(VLOOKUP(S19,Parameter!$D$53:$E$77,2),"")</f>
        <v>RENDAH</v>
      </c>
      <c r="U19" s="129"/>
      <c r="V19" s="123"/>
      <c r="W19" s="123"/>
      <c r="X19" s="123"/>
      <c r="Y19" s="123"/>
      <c r="Z19" s="123"/>
      <c r="AA19" s="125"/>
      <c r="AB19" s="144"/>
      <c r="AC19" s="154">
        <v>46387</v>
      </c>
      <c r="AD19" s="161">
        <v>46102</v>
      </c>
      <c r="AE19" s="114"/>
      <c r="AF19" s="162"/>
      <c r="AG19" s="114"/>
      <c r="AH19" s="162"/>
      <c r="AI19" s="114"/>
      <c r="AJ19" s="162"/>
      <c r="AK19" s="114"/>
      <c r="AL19" s="166">
        <f t="shared" si="9"/>
        <v>1</v>
      </c>
      <c r="AM19" s="111">
        <f t="shared" si="10"/>
        <v>1</v>
      </c>
      <c r="AN19" s="168">
        <f t="shared" si="11"/>
        <v>1</v>
      </c>
      <c r="AO19" s="148" t="str">
        <f>_xlfn.IFNA(VLOOKUP(AN19,Parameter!$D$53:$E$77,2),"")</f>
        <v>RENDAH</v>
      </c>
      <c r="AP19" s="164" t="s">
        <v>373</v>
      </c>
      <c r="AQ19" s="115"/>
    </row>
    <row r="20" spans="1:43" ht="19.2" x14ac:dyDescent="0.3">
      <c r="A20" s="113" t="s">
        <v>450</v>
      </c>
      <c r="B20" s="111">
        <f t="shared" si="3"/>
        <v>6</v>
      </c>
      <c r="C20" s="123"/>
      <c r="D20" s="166"/>
      <c r="E20" s="173" t="s">
        <v>251</v>
      </c>
      <c r="F20" s="117" t="s">
        <v>362</v>
      </c>
      <c r="G20" s="116" t="s">
        <v>44</v>
      </c>
      <c r="H20" s="170" t="s">
        <v>45</v>
      </c>
      <c r="I20" s="126"/>
      <c r="J20" s="112"/>
      <c r="K20" s="112"/>
      <c r="L20" s="112"/>
      <c r="M20" s="112"/>
      <c r="N20" s="116"/>
      <c r="O20" s="119"/>
      <c r="P20" s="118"/>
      <c r="Q20" s="111">
        <v>1</v>
      </c>
      <c r="R20" s="111">
        <v>1</v>
      </c>
      <c r="S20" s="146">
        <f t="shared" ref="S20" si="12">Q20*R20</f>
        <v>1</v>
      </c>
      <c r="T20" s="148" t="str">
        <f>_xlfn.IFNA(VLOOKUP(S20,Parameter!$D$53:$E$77,2),"")</f>
        <v>RENDAH</v>
      </c>
      <c r="U20" s="129"/>
      <c r="V20" s="123"/>
      <c r="W20" s="123"/>
      <c r="X20" s="123"/>
      <c r="Y20" s="123"/>
      <c r="Z20" s="123"/>
      <c r="AA20" s="125"/>
      <c r="AB20" s="144"/>
      <c r="AC20" s="154">
        <v>46387</v>
      </c>
      <c r="AD20" s="161">
        <v>46102</v>
      </c>
      <c r="AE20" s="114"/>
      <c r="AF20" s="162"/>
      <c r="AG20" s="114"/>
      <c r="AH20" s="162"/>
      <c r="AI20" s="114"/>
      <c r="AJ20" s="162"/>
      <c r="AK20" s="114"/>
      <c r="AL20" s="166">
        <f t="shared" ref="AL20" si="13">Q20</f>
        <v>1</v>
      </c>
      <c r="AM20" s="111">
        <f t="shared" ref="AM20" si="14">R20</f>
        <v>1</v>
      </c>
      <c r="AN20" s="168">
        <f t="shared" ref="AN20" si="15">AL20*AM20</f>
        <v>1</v>
      </c>
      <c r="AO20" s="148" t="str">
        <f>_xlfn.IFNA(VLOOKUP(AN20,Parameter!$D$53:$E$77,2),"")</f>
        <v>RENDAH</v>
      </c>
      <c r="AP20" s="164" t="s">
        <v>373</v>
      </c>
      <c r="AQ20" s="115"/>
    </row>
    <row r="21" spans="1:43" ht="19.2" x14ac:dyDescent="0.3">
      <c r="A21" s="113" t="s">
        <v>450</v>
      </c>
      <c r="B21" s="111">
        <f t="shared" si="3"/>
        <v>7</v>
      </c>
      <c r="C21" s="123"/>
      <c r="D21" s="166"/>
      <c r="E21" s="173" t="s">
        <v>251</v>
      </c>
      <c r="F21" s="117" t="s">
        <v>362</v>
      </c>
      <c r="G21" s="116" t="s">
        <v>44</v>
      </c>
      <c r="H21" s="170" t="s">
        <v>45</v>
      </c>
      <c r="I21" s="126"/>
      <c r="J21" s="112"/>
      <c r="K21" s="112"/>
      <c r="L21" s="112"/>
      <c r="M21" s="112"/>
      <c r="N21" s="116"/>
      <c r="O21" s="119"/>
      <c r="P21" s="118"/>
      <c r="Q21" s="111">
        <v>1</v>
      </c>
      <c r="R21" s="111">
        <v>1</v>
      </c>
      <c r="S21" s="146">
        <f t="shared" si="4"/>
        <v>1</v>
      </c>
      <c r="T21" s="148" t="str">
        <f>_xlfn.IFNA(VLOOKUP(S21,Parameter!$D$53:$E$77,2),"")</f>
        <v>RENDAH</v>
      </c>
      <c r="U21" s="129"/>
      <c r="V21" s="123"/>
      <c r="W21" s="123"/>
      <c r="X21" s="123"/>
      <c r="Y21" s="123"/>
      <c r="Z21" s="123"/>
      <c r="AA21" s="125"/>
      <c r="AB21" s="144"/>
      <c r="AC21" s="154">
        <v>46387</v>
      </c>
      <c r="AD21" s="161">
        <v>46102</v>
      </c>
      <c r="AE21" s="114"/>
      <c r="AF21" s="162"/>
      <c r="AG21" s="114"/>
      <c r="AH21" s="162"/>
      <c r="AI21" s="114"/>
      <c r="AJ21" s="162"/>
      <c r="AK21" s="114"/>
      <c r="AL21" s="166">
        <f t="shared" si="5"/>
        <v>1</v>
      </c>
      <c r="AM21" s="111">
        <f t="shared" si="6"/>
        <v>1</v>
      </c>
      <c r="AN21" s="168">
        <f t="shared" si="7"/>
        <v>1</v>
      </c>
      <c r="AO21" s="148" t="str">
        <f>_xlfn.IFNA(VLOOKUP(AN21,Parameter!$D$53:$E$77,2),"")</f>
        <v>RENDAH</v>
      </c>
      <c r="AP21" s="164" t="s">
        <v>373</v>
      </c>
      <c r="AQ21" s="115"/>
    </row>
    <row r="22" spans="1:43" ht="19.2" x14ac:dyDescent="0.3">
      <c r="A22" s="113" t="s">
        <v>450</v>
      </c>
      <c r="B22" s="111">
        <f t="shared" si="3"/>
        <v>8</v>
      </c>
      <c r="C22" s="123"/>
      <c r="D22" s="166"/>
      <c r="E22" s="173" t="s">
        <v>251</v>
      </c>
      <c r="F22" s="117" t="s">
        <v>362</v>
      </c>
      <c r="G22" s="116" t="s">
        <v>44</v>
      </c>
      <c r="H22" s="170" t="s">
        <v>45</v>
      </c>
      <c r="I22" s="126"/>
      <c r="J22" s="112"/>
      <c r="K22" s="112"/>
      <c r="L22" s="112"/>
      <c r="M22" s="112"/>
      <c r="N22" s="116"/>
      <c r="O22" s="119"/>
      <c r="P22" s="118"/>
      <c r="Q22" s="111">
        <v>1</v>
      </c>
      <c r="R22" s="111">
        <v>1</v>
      </c>
      <c r="S22" s="146">
        <f t="shared" si="4"/>
        <v>1</v>
      </c>
      <c r="T22" s="148" t="str">
        <f>_xlfn.IFNA(VLOOKUP(S22,Parameter!$D$53:$E$77,2),"")</f>
        <v>RENDAH</v>
      </c>
      <c r="U22" s="129"/>
      <c r="V22" s="123"/>
      <c r="W22" s="123"/>
      <c r="X22" s="123"/>
      <c r="Y22" s="123"/>
      <c r="Z22" s="123"/>
      <c r="AA22" s="125"/>
      <c r="AB22" s="144"/>
      <c r="AC22" s="154">
        <v>46387</v>
      </c>
      <c r="AD22" s="161">
        <v>46102</v>
      </c>
      <c r="AE22" s="114"/>
      <c r="AF22" s="162"/>
      <c r="AG22" s="114"/>
      <c r="AH22" s="162"/>
      <c r="AI22" s="114"/>
      <c r="AJ22" s="162"/>
      <c r="AK22" s="114"/>
      <c r="AL22" s="166">
        <f t="shared" si="5"/>
        <v>1</v>
      </c>
      <c r="AM22" s="111">
        <f t="shared" si="6"/>
        <v>1</v>
      </c>
      <c r="AN22" s="168">
        <f t="shared" si="7"/>
        <v>1</v>
      </c>
      <c r="AO22" s="148" t="str">
        <f>_xlfn.IFNA(VLOOKUP(AN22,Parameter!$D$53:$E$77,2),"")</f>
        <v>RENDAH</v>
      </c>
      <c r="AP22" s="164" t="s">
        <v>373</v>
      </c>
      <c r="AQ22" s="115"/>
    </row>
    <row r="23" spans="1:43" ht="19.2" x14ac:dyDescent="0.3">
      <c r="A23" s="113" t="s">
        <v>450</v>
      </c>
      <c r="B23" s="111">
        <f t="shared" si="3"/>
        <v>9</v>
      </c>
      <c r="C23" s="123"/>
      <c r="D23" s="166"/>
      <c r="E23" s="173" t="s">
        <v>251</v>
      </c>
      <c r="F23" s="117" t="s">
        <v>362</v>
      </c>
      <c r="G23" s="116" t="s">
        <v>44</v>
      </c>
      <c r="H23" s="170" t="s">
        <v>45</v>
      </c>
      <c r="I23" s="126"/>
      <c r="J23" s="112"/>
      <c r="K23" s="112"/>
      <c r="L23" s="112"/>
      <c r="M23" s="112"/>
      <c r="N23" s="116"/>
      <c r="O23" s="119"/>
      <c r="P23" s="118"/>
      <c r="Q23" s="111">
        <v>1</v>
      </c>
      <c r="R23" s="111">
        <v>1</v>
      </c>
      <c r="S23" s="146">
        <f t="shared" ref="S23" si="16">Q23*R23</f>
        <v>1</v>
      </c>
      <c r="T23" s="148" t="str">
        <f>_xlfn.IFNA(VLOOKUP(S23,Parameter!$D$53:$E$77,2),"")</f>
        <v>RENDAH</v>
      </c>
      <c r="U23" s="129"/>
      <c r="V23" s="123"/>
      <c r="W23" s="123"/>
      <c r="X23" s="123"/>
      <c r="Y23" s="123"/>
      <c r="Z23" s="123"/>
      <c r="AA23" s="125"/>
      <c r="AB23" s="144"/>
      <c r="AC23" s="154">
        <v>46387</v>
      </c>
      <c r="AD23" s="161">
        <v>46102</v>
      </c>
      <c r="AE23" s="114"/>
      <c r="AF23" s="162"/>
      <c r="AG23" s="114"/>
      <c r="AH23" s="162"/>
      <c r="AI23" s="114"/>
      <c r="AJ23" s="162"/>
      <c r="AK23" s="114"/>
      <c r="AL23" s="166">
        <f t="shared" ref="AL23" si="17">Q23</f>
        <v>1</v>
      </c>
      <c r="AM23" s="111">
        <f t="shared" ref="AM23" si="18">R23</f>
        <v>1</v>
      </c>
      <c r="AN23" s="168">
        <f t="shared" ref="AN23" si="19">AL23*AM23</f>
        <v>1</v>
      </c>
      <c r="AO23" s="148" t="str">
        <f>_xlfn.IFNA(VLOOKUP(AN23,Parameter!$D$53:$E$77,2),"")</f>
        <v>RENDAH</v>
      </c>
      <c r="AP23" s="164" t="s">
        <v>373</v>
      </c>
      <c r="AQ23" s="115"/>
    </row>
    <row r="24" spans="1:43" ht="19.2" x14ac:dyDescent="0.3">
      <c r="A24" s="113" t="s">
        <v>450</v>
      </c>
      <c r="B24" s="111">
        <f t="shared" si="3"/>
        <v>10</v>
      </c>
      <c r="C24" s="123"/>
      <c r="D24" s="166"/>
      <c r="E24" s="173" t="s">
        <v>251</v>
      </c>
      <c r="F24" s="117" t="s">
        <v>362</v>
      </c>
      <c r="G24" s="116" t="s">
        <v>44</v>
      </c>
      <c r="H24" s="170" t="s">
        <v>45</v>
      </c>
      <c r="I24" s="126"/>
      <c r="J24" s="112"/>
      <c r="K24" s="112"/>
      <c r="L24" s="112"/>
      <c r="M24" s="112"/>
      <c r="N24" s="116"/>
      <c r="O24" s="119"/>
      <c r="P24" s="118"/>
      <c r="Q24" s="111">
        <v>1</v>
      </c>
      <c r="R24" s="111">
        <v>1</v>
      </c>
      <c r="S24" s="146">
        <f t="shared" ref="S24" si="20">Q24*R24</f>
        <v>1</v>
      </c>
      <c r="T24" s="148" t="str">
        <f>_xlfn.IFNA(VLOOKUP(S24,Parameter!$D$53:$E$77,2),"")</f>
        <v>RENDAH</v>
      </c>
      <c r="U24" s="129"/>
      <c r="V24" s="123"/>
      <c r="W24" s="123"/>
      <c r="X24" s="123"/>
      <c r="Y24" s="123"/>
      <c r="Z24" s="123"/>
      <c r="AA24" s="125"/>
      <c r="AB24" s="144"/>
      <c r="AC24" s="154">
        <v>46387</v>
      </c>
      <c r="AD24" s="161">
        <v>46102</v>
      </c>
      <c r="AE24" s="114"/>
      <c r="AF24" s="162"/>
      <c r="AG24" s="114"/>
      <c r="AH24" s="162"/>
      <c r="AI24" s="114"/>
      <c r="AJ24" s="162"/>
      <c r="AK24" s="114"/>
      <c r="AL24" s="166">
        <f t="shared" ref="AL24" si="21">Q24</f>
        <v>1</v>
      </c>
      <c r="AM24" s="111">
        <f t="shared" ref="AM24" si="22">R24</f>
        <v>1</v>
      </c>
      <c r="AN24" s="168">
        <f t="shared" ref="AN24" si="23">AL24*AM24</f>
        <v>1</v>
      </c>
      <c r="AO24" s="148" t="str">
        <f>_xlfn.IFNA(VLOOKUP(AN24,Parameter!$D$53:$E$77,2),"")</f>
        <v>RENDAH</v>
      </c>
      <c r="AP24" s="164" t="s">
        <v>373</v>
      </c>
      <c r="AQ24" s="115"/>
    </row>
    <row r="25" spans="1:43" ht="19.8" thickBot="1" x14ac:dyDescent="0.35">
      <c r="A25" s="92"/>
      <c r="B25" s="96"/>
      <c r="C25" s="94"/>
      <c r="D25" s="174"/>
      <c r="E25" s="163"/>
      <c r="F25" s="130"/>
      <c r="G25" s="94"/>
      <c r="H25" s="171"/>
      <c r="I25" s="127"/>
      <c r="J25" s="95"/>
      <c r="K25" s="95"/>
      <c r="L25" s="95"/>
      <c r="M25" s="95"/>
      <c r="N25" s="94"/>
      <c r="O25" s="120"/>
      <c r="P25" s="121"/>
      <c r="Q25" s="96"/>
      <c r="R25" s="96"/>
      <c r="S25" s="147"/>
      <c r="T25" s="149"/>
      <c r="U25" s="130"/>
      <c r="V25" s="124"/>
      <c r="W25" s="124"/>
      <c r="X25" s="124"/>
      <c r="Y25" s="124"/>
      <c r="Z25" s="124"/>
      <c r="AA25" s="127"/>
      <c r="AB25" s="93"/>
      <c r="AC25" s="155"/>
      <c r="AD25" s="92"/>
      <c r="AE25" s="163"/>
      <c r="AF25" s="92"/>
      <c r="AG25" s="163"/>
      <c r="AH25" s="92"/>
      <c r="AI25" s="163"/>
      <c r="AJ25" s="92"/>
      <c r="AK25" s="163"/>
      <c r="AL25" s="167"/>
      <c r="AM25" s="96"/>
      <c r="AN25" s="147"/>
      <c r="AO25" s="149"/>
      <c r="AP25" s="165"/>
      <c r="AQ25" s="97"/>
    </row>
    <row r="26" spans="1:43" ht="18" x14ac:dyDescent="0.3">
      <c r="A26" s="1"/>
      <c r="B26" s="6">
        <f>SUBTOTAL(3, B15:B24)</f>
        <v>10</v>
      </c>
      <c r="C26" s="1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2"/>
      <c r="P26" s="2"/>
      <c r="Q26" s="2"/>
      <c r="R26" s="2"/>
      <c r="S26" s="2"/>
      <c r="T26" s="1"/>
      <c r="U26" s="1"/>
      <c r="V26" s="1"/>
      <c r="W26" s="1"/>
      <c r="X26" s="1"/>
      <c r="Y26" s="1"/>
      <c r="Z26" s="1"/>
      <c r="AA26" s="1"/>
      <c r="AB26" s="1"/>
      <c r="AC26" s="2"/>
      <c r="AD26" s="2"/>
      <c r="AE26" s="1"/>
      <c r="AF26" s="2"/>
      <c r="AG26" s="1"/>
      <c r="AH26" s="2"/>
      <c r="AI26" s="1"/>
      <c r="AJ26" s="2"/>
      <c r="AK26" s="1"/>
      <c r="AL26" s="2"/>
      <c r="AM26" s="2"/>
      <c r="AN26" s="2"/>
      <c r="AO26" s="1"/>
      <c r="AP26" s="1"/>
      <c r="AQ26" s="1"/>
    </row>
    <row r="27" spans="1:43" ht="18" x14ac:dyDescent="0.3">
      <c r="A27" s="1"/>
      <c r="B27" s="2"/>
      <c r="C27" s="176"/>
      <c r="D27" s="176"/>
      <c r="E27" s="176"/>
      <c r="F27" s="176"/>
      <c r="G27" s="181"/>
      <c r="H27" s="181"/>
      <c r="I27" s="176"/>
      <c r="J27" s="1"/>
      <c r="K27" s="1"/>
      <c r="L27" s="1"/>
      <c r="M27" s="1"/>
      <c r="N27" s="1"/>
      <c r="O27" s="2"/>
      <c r="P27" s="2"/>
      <c r="Q27" s="2"/>
      <c r="R27" s="2"/>
      <c r="S27" s="2"/>
      <c r="T27" s="1"/>
      <c r="U27" s="1"/>
      <c r="V27" s="1"/>
      <c r="W27" s="1"/>
      <c r="X27" s="1"/>
      <c r="Y27" s="1"/>
      <c r="Z27" s="1"/>
      <c r="AA27" s="1"/>
      <c r="AB27" s="1"/>
      <c r="AC27" s="2"/>
      <c r="AD27" s="2"/>
      <c r="AE27" s="1"/>
      <c r="AF27" s="2"/>
      <c r="AG27" s="1"/>
      <c r="AH27" s="2"/>
      <c r="AI27" s="1"/>
      <c r="AJ27" s="2"/>
      <c r="AK27" s="1"/>
      <c r="AL27" s="2"/>
      <c r="AM27" s="2"/>
      <c r="AN27" s="2"/>
      <c r="AO27" s="1"/>
      <c r="AP27" s="1"/>
      <c r="AQ27" s="1"/>
    </row>
    <row r="28" spans="1:43" ht="18" x14ac:dyDescent="0.3">
      <c r="A28" s="1"/>
      <c r="B28" s="2"/>
      <c r="C28" s="176"/>
      <c r="D28" s="176"/>
      <c r="E28" s="176"/>
      <c r="F28" s="176"/>
      <c r="G28" s="181"/>
      <c r="H28" s="181"/>
      <c r="I28" s="176"/>
      <c r="J28" s="1"/>
      <c r="K28" s="1"/>
      <c r="L28" s="1"/>
      <c r="M28" s="1"/>
      <c r="N28" s="1"/>
      <c r="O28" s="2"/>
      <c r="P28" s="2"/>
      <c r="Q28" s="2"/>
      <c r="R28" s="2"/>
      <c r="S28" s="2"/>
      <c r="T28" s="1"/>
      <c r="U28" s="1"/>
      <c r="V28" s="1"/>
      <c r="W28" s="1"/>
      <c r="X28" s="1"/>
      <c r="Y28" s="1"/>
      <c r="Z28" s="1"/>
      <c r="AA28" s="1"/>
      <c r="AB28" s="1"/>
      <c r="AC28" s="2"/>
      <c r="AD28" s="2"/>
      <c r="AE28" s="1"/>
      <c r="AF28" s="2"/>
      <c r="AG28" s="1"/>
      <c r="AH28" s="2"/>
      <c r="AI28" s="1"/>
      <c r="AJ28" s="2"/>
      <c r="AK28" s="1"/>
      <c r="AL28" s="2"/>
      <c r="AM28" s="2"/>
      <c r="AN28" s="2"/>
      <c r="AO28" s="1"/>
      <c r="AP28" s="1"/>
      <c r="AQ28" s="1"/>
    </row>
    <row r="29" spans="1:43" ht="18" x14ac:dyDescent="0.3">
      <c r="A29" s="1"/>
      <c r="B29" s="2"/>
      <c r="C29" s="176"/>
      <c r="D29" s="176"/>
      <c r="E29" s="176"/>
      <c r="F29" s="176"/>
      <c r="G29" s="181"/>
      <c r="H29" s="181"/>
      <c r="I29" s="176"/>
      <c r="J29" s="1"/>
      <c r="K29" s="1"/>
      <c r="L29" s="1"/>
      <c r="M29" s="1"/>
      <c r="N29" s="1"/>
      <c r="O29" s="2"/>
      <c r="P29" s="2"/>
      <c r="Q29" s="2"/>
      <c r="R29" s="2"/>
      <c r="S29" s="2"/>
      <c r="T29" s="1"/>
      <c r="U29" s="1"/>
      <c r="V29" s="1"/>
      <c r="W29" s="1"/>
      <c r="X29" s="1"/>
      <c r="Y29" s="1"/>
      <c r="Z29" s="1"/>
      <c r="AA29" s="1"/>
      <c r="AB29" s="1"/>
      <c r="AC29" s="2"/>
      <c r="AD29" s="2"/>
      <c r="AE29" s="1"/>
      <c r="AF29" s="2"/>
      <c r="AG29" s="1"/>
      <c r="AH29" s="2"/>
      <c r="AI29" s="1"/>
      <c r="AJ29" s="2"/>
      <c r="AK29" s="1"/>
      <c r="AL29" s="2"/>
      <c r="AM29" s="2"/>
      <c r="AN29" s="2"/>
      <c r="AO29" s="1"/>
      <c r="AP29" s="1"/>
      <c r="AQ29" s="1"/>
    </row>
    <row r="30" spans="1:43" ht="18" x14ac:dyDescent="0.3">
      <c r="A30" s="1"/>
      <c r="B30" s="2"/>
      <c r="C30" s="176"/>
      <c r="D30" s="176"/>
      <c r="E30" s="176"/>
      <c r="F30" s="176"/>
      <c r="G30" s="181"/>
      <c r="H30" s="181"/>
      <c r="I30" s="176"/>
      <c r="J30" s="1"/>
      <c r="K30" s="1"/>
      <c r="L30" s="1"/>
      <c r="M30" s="1"/>
      <c r="N30" s="1"/>
      <c r="O30" s="2"/>
      <c r="P30" s="2"/>
      <c r="Q30" s="2"/>
      <c r="R30" s="2"/>
      <c r="S30" s="2"/>
      <c r="T30" s="1"/>
      <c r="U30" s="1"/>
      <c r="V30" s="1"/>
      <c r="W30" s="1"/>
      <c r="X30" s="1"/>
      <c r="Y30" s="1"/>
      <c r="Z30" s="1"/>
      <c r="AA30" s="1"/>
      <c r="AB30" s="1"/>
      <c r="AC30" s="2"/>
      <c r="AD30" s="2"/>
      <c r="AE30" s="1"/>
      <c r="AF30" s="2"/>
      <c r="AG30" s="1"/>
      <c r="AH30" s="2"/>
      <c r="AI30" s="1"/>
      <c r="AJ30" s="2"/>
      <c r="AK30" s="1"/>
      <c r="AL30" s="2"/>
      <c r="AM30" s="2"/>
      <c r="AN30" s="2"/>
      <c r="AO30" s="1"/>
      <c r="AP30" s="1"/>
      <c r="AQ30" s="1"/>
    </row>
    <row r="31" spans="1:43" ht="18" x14ac:dyDescent="0.3">
      <c r="A31" s="1"/>
      <c r="B31" s="2"/>
      <c r="C31" s="150" t="s">
        <v>451</v>
      </c>
      <c r="D31" s="150" t="s">
        <v>451</v>
      </c>
      <c r="E31" s="175" t="s">
        <v>451</v>
      </c>
      <c r="F31" s="175"/>
      <c r="G31" s="175" t="s">
        <v>451</v>
      </c>
      <c r="H31" s="175"/>
      <c r="J31" s="1"/>
      <c r="K31" s="1"/>
      <c r="L31" s="1"/>
      <c r="M31" s="1"/>
      <c r="N31" s="1"/>
      <c r="O31" s="2"/>
      <c r="P31" s="2"/>
      <c r="Q31" s="2"/>
      <c r="R31" s="2"/>
      <c r="S31" s="2"/>
      <c r="T31" s="1"/>
      <c r="U31" s="1"/>
      <c r="V31" s="1"/>
      <c r="W31" s="1"/>
      <c r="X31" s="1"/>
      <c r="Y31" s="1"/>
      <c r="Z31" s="1"/>
      <c r="AA31" s="1"/>
      <c r="AB31" s="1"/>
      <c r="AC31" s="2"/>
      <c r="AD31" s="2"/>
      <c r="AE31" s="1"/>
      <c r="AF31" s="2"/>
      <c r="AG31" s="1"/>
      <c r="AH31" s="2"/>
      <c r="AI31" s="1"/>
      <c r="AJ31" s="2"/>
      <c r="AK31" s="1"/>
      <c r="AL31" s="2"/>
      <c r="AM31" s="2"/>
      <c r="AN31" s="2"/>
      <c r="AO31" s="1"/>
      <c r="AP31" s="1"/>
      <c r="AQ31" s="1"/>
    </row>
    <row r="32" spans="1:43" ht="18" x14ac:dyDescent="0.3">
      <c r="A32" s="1"/>
      <c r="B32" s="2"/>
      <c r="C32" s="150" t="s">
        <v>452</v>
      </c>
      <c r="D32" s="150" t="s">
        <v>453</v>
      </c>
      <c r="E32" s="175" t="s">
        <v>454</v>
      </c>
      <c r="F32" s="175"/>
      <c r="G32" s="175" t="s">
        <v>455</v>
      </c>
      <c r="H32" s="175"/>
      <c r="J32" s="1"/>
      <c r="K32" s="1"/>
      <c r="L32" s="1"/>
      <c r="M32" s="1"/>
      <c r="N32" s="1"/>
      <c r="O32" s="2"/>
      <c r="P32" s="2"/>
      <c r="Q32" s="2"/>
      <c r="R32" s="2"/>
      <c r="S32" s="2"/>
      <c r="T32" s="1"/>
      <c r="U32" s="1"/>
      <c r="V32" s="1"/>
      <c r="W32" s="1"/>
      <c r="X32" s="1"/>
      <c r="Y32" s="1"/>
      <c r="Z32" s="1"/>
      <c r="AA32" s="1"/>
      <c r="AB32" s="1"/>
      <c r="AC32" s="2"/>
      <c r="AD32" s="2"/>
      <c r="AE32" s="1"/>
      <c r="AF32" s="2"/>
      <c r="AG32" s="1"/>
      <c r="AH32" s="2"/>
      <c r="AI32" s="1"/>
      <c r="AJ32" s="2"/>
      <c r="AK32" s="1"/>
      <c r="AL32" s="2"/>
      <c r="AM32" s="2"/>
      <c r="AN32" s="2"/>
      <c r="AO32" s="1"/>
      <c r="AP32" s="1"/>
      <c r="AQ32" s="1"/>
    </row>
    <row r="33" spans="3:8" x14ac:dyDescent="0.3">
      <c r="E33" s="181"/>
      <c r="F33" s="181"/>
      <c r="H33" s="100"/>
    </row>
    <row r="34" spans="3:8" x14ac:dyDescent="0.3">
      <c r="E34" s="181"/>
      <c r="F34" s="181"/>
      <c r="H34" s="100"/>
    </row>
    <row r="35" spans="3:8" ht="18" x14ac:dyDescent="0.3">
      <c r="C35" s="176"/>
      <c r="D35" s="176"/>
      <c r="E35" s="181"/>
      <c r="F35" s="181"/>
      <c r="H35" s="2"/>
    </row>
    <row r="36" spans="3:8" ht="18" x14ac:dyDescent="0.3">
      <c r="C36" s="176"/>
      <c r="D36" s="176"/>
      <c r="E36" s="181"/>
      <c r="F36" s="181"/>
      <c r="H36" s="2"/>
    </row>
    <row r="37" spans="3:8" ht="18" x14ac:dyDescent="0.3">
      <c r="C37" s="176"/>
      <c r="D37" s="176"/>
      <c r="E37" s="181"/>
      <c r="F37" s="181"/>
      <c r="H37" s="2"/>
    </row>
    <row r="38" spans="3:8" ht="18" x14ac:dyDescent="0.3">
      <c r="C38" s="176"/>
      <c r="D38" s="176"/>
      <c r="E38" s="181"/>
      <c r="F38" s="181"/>
      <c r="H38" s="2"/>
    </row>
    <row r="39" spans="3:8" ht="18" x14ac:dyDescent="0.3">
      <c r="C39" s="150"/>
      <c r="D39" s="150"/>
      <c r="E39" s="175"/>
      <c r="F39" s="175"/>
      <c r="H39" s="150"/>
    </row>
    <row r="40" spans="3:8" ht="18" x14ac:dyDescent="0.3">
      <c r="C40" s="150"/>
      <c r="D40" s="150"/>
      <c r="E40" s="175"/>
      <c r="F40" s="175"/>
      <c r="H40" s="150"/>
    </row>
    <row r="41" spans="3:8" ht="18" x14ac:dyDescent="0.3">
      <c r="C41" s="1"/>
      <c r="D41" s="2"/>
      <c r="F41" s="176"/>
      <c r="G41" s="176"/>
      <c r="H41" s="2"/>
    </row>
    <row r="42" spans="3:8" ht="18" x14ac:dyDescent="0.3">
      <c r="C42" s="1"/>
      <c r="D42" s="2"/>
      <c r="F42" s="176"/>
      <c r="G42" s="176"/>
      <c r="H42" s="2"/>
    </row>
    <row r="43" spans="3:8" ht="18" x14ac:dyDescent="0.3">
      <c r="C43" s="176"/>
      <c r="D43" s="176"/>
      <c r="F43" s="176"/>
      <c r="G43" s="176"/>
      <c r="H43" s="2"/>
    </row>
    <row r="44" spans="3:8" ht="18" x14ac:dyDescent="0.3">
      <c r="C44" s="176"/>
      <c r="D44" s="176"/>
      <c r="F44" s="176"/>
      <c r="G44" s="176"/>
      <c r="H44" s="2"/>
    </row>
    <row r="45" spans="3:8" ht="18" x14ac:dyDescent="0.3">
      <c r="C45" s="176"/>
      <c r="D45" s="176"/>
      <c r="F45" s="176"/>
      <c r="G45" s="176"/>
      <c r="H45" s="2"/>
    </row>
    <row r="46" spans="3:8" ht="18" x14ac:dyDescent="0.3">
      <c r="C46" s="176"/>
      <c r="D46" s="176"/>
      <c r="F46" s="176"/>
      <c r="G46" s="176"/>
      <c r="H46" s="2"/>
    </row>
    <row r="47" spans="3:8" ht="18" x14ac:dyDescent="0.3">
      <c r="C47" s="150" t="s">
        <v>399</v>
      </c>
      <c r="D47" s="150"/>
      <c r="F47" s="175" t="s">
        <v>400</v>
      </c>
      <c r="G47" s="175"/>
      <c r="H47" s="150"/>
    </row>
    <row r="48" spans="3:8" ht="18" x14ac:dyDescent="0.3">
      <c r="C48" s="150" t="s">
        <v>328</v>
      </c>
      <c r="D48" s="150"/>
      <c r="F48" s="175" t="s">
        <v>274</v>
      </c>
      <c r="G48" s="175"/>
      <c r="H48" s="150"/>
    </row>
    <row r="49" spans="6:8" x14ac:dyDescent="0.3">
      <c r="F49" s="181"/>
      <c r="G49" s="181"/>
      <c r="H49" s="100"/>
    </row>
    <row r="50" spans="6:8" x14ac:dyDescent="0.3">
      <c r="F50" s="181"/>
      <c r="G50" s="181"/>
      <c r="H50" s="100"/>
    </row>
  </sheetData>
  <autoFilter ref="A14:AQ25" xr:uid="{00000000-0009-0000-0000-000000000000}"/>
  <sortState xmlns:xlrd2="http://schemas.microsoft.com/office/spreadsheetml/2017/richdata2" ref="C14:AQ14">
    <sortCondition ref="D14"/>
    <sortCondition descending="1" ref="S14"/>
  </sortState>
  <mergeCells count="56">
    <mergeCell ref="F49:G50"/>
    <mergeCell ref="W11:W12"/>
    <mergeCell ref="V11:V12"/>
    <mergeCell ref="N11:N12"/>
    <mergeCell ref="O11:P11"/>
    <mergeCell ref="I27:I30"/>
    <mergeCell ref="F48:G48"/>
    <mergeCell ref="F47:G47"/>
    <mergeCell ref="H11:H12"/>
    <mergeCell ref="R11:R12"/>
    <mergeCell ref="S11:S12"/>
    <mergeCell ref="T11:T12"/>
    <mergeCell ref="E39:F39"/>
    <mergeCell ref="E40:F40"/>
    <mergeCell ref="G27:H30"/>
    <mergeCell ref="G31:H31"/>
    <mergeCell ref="X11:X12"/>
    <mergeCell ref="Z11:Z12"/>
    <mergeCell ref="Y11:Y12"/>
    <mergeCell ref="AL11:AN11"/>
    <mergeCell ref="AA11:AC11"/>
    <mergeCell ref="AD11:AE11"/>
    <mergeCell ref="AF11:AG11"/>
    <mergeCell ref="AH11:AI11"/>
    <mergeCell ref="AJ11:AK11"/>
    <mergeCell ref="AO11:AO12"/>
    <mergeCell ref="AP11:AP12"/>
    <mergeCell ref="AQ11:AQ12"/>
    <mergeCell ref="A10:H10"/>
    <mergeCell ref="I10:T10"/>
    <mergeCell ref="AA10:AQ10"/>
    <mergeCell ref="A11:B12"/>
    <mergeCell ref="C11:C12"/>
    <mergeCell ref="F11:F12"/>
    <mergeCell ref="G11:G12"/>
    <mergeCell ref="I11:J11"/>
    <mergeCell ref="K11:K12"/>
    <mergeCell ref="L11:L12"/>
    <mergeCell ref="M11:M12"/>
    <mergeCell ref="U11:U12"/>
    <mergeCell ref="Q11:Q12"/>
    <mergeCell ref="E11:E12"/>
    <mergeCell ref="D11:D12"/>
    <mergeCell ref="C27:C30"/>
    <mergeCell ref="C35:C38"/>
    <mergeCell ref="D27:D30"/>
    <mergeCell ref="D35:D38"/>
    <mergeCell ref="E27:F30"/>
    <mergeCell ref="E31:F31"/>
    <mergeCell ref="E32:F32"/>
    <mergeCell ref="E33:F38"/>
    <mergeCell ref="G32:H32"/>
    <mergeCell ref="C43:C46"/>
    <mergeCell ref="F43:G46"/>
    <mergeCell ref="F41:G42"/>
    <mergeCell ref="D43:D46"/>
  </mergeCells>
  <conditionalFormatting sqref="T15:T25 AO15:AO25">
    <cfRule type="containsText" dxfId="64" priority="767" stopIfTrue="1" operator="containsText" text="SEDANG-RENDAH">
      <formula>NOT(ISERROR(SEARCH("SEDANG-RENDAH",T15)))</formula>
    </cfRule>
    <cfRule type="containsText" dxfId="63" priority="768" stopIfTrue="1" operator="containsText" text="SEDANG-TINGGI">
      <formula>NOT(ISERROR(SEARCH("SEDANG-TINGGI",T15)))</formula>
    </cfRule>
    <cfRule type="containsText" dxfId="62" priority="769" stopIfTrue="1" operator="containsText" text="SEDANG">
      <formula>NOT(ISERROR(SEARCH("SEDANG",T15)))</formula>
    </cfRule>
    <cfRule type="containsText" dxfId="61" priority="770" stopIfTrue="1" operator="containsText" text="TINGGI">
      <formula>NOT(ISERROR(SEARCH("TINGGI",T15)))</formula>
    </cfRule>
    <cfRule type="containsText" dxfId="60" priority="771" stopIfTrue="1" operator="containsText" text="RENDAH">
      <formula>NOT(ISERROR(SEARCH("RENDAH",T15)))</formula>
    </cfRule>
  </conditionalFormatting>
  <conditionalFormatting sqref="Y15:Y24">
    <cfRule type="containsText" dxfId="59" priority="16" stopIfTrue="1" operator="containsText" text="SEDANG-RENDAH">
      <formula>NOT(ISERROR(SEARCH(("SEDANG-RENDAH"),(Y15))))</formula>
    </cfRule>
    <cfRule type="containsText" dxfId="58" priority="17" stopIfTrue="1" operator="containsText" text="SEDANG-TINGGI">
      <formula>NOT(ISERROR(SEARCH(("SEDANG-TINGGI"),(Y15))))</formula>
    </cfRule>
    <cfRule type="containsText" dxfId="57" priority="18" stopIfTrue="1" operator="containsText" text="SEDANG">
      <formula>NOT(ISERROR(SEARCH(("SEDANG"),(Y15))))</formula>
    </cfRule>
    <cfRule type="containsText" dxfId="56" priority="19" stopIfTrue="1" operator="containsText" text="TINGGI">
      <formula>NOT(ISERROR(SEARCH(("TINGGI"),(Y15))))</formula>
    </cfRule>
    <cfRule type="containsText" dxfId="55" priority="20" stopIfTrue="1" operator="containsText" text="RENDAH">
      <formula>NOT(ISERROR(SEARCH(("RENDAH"),(Y15))))</formula>
    </cfRule>
    <cfRule type="containsText" dxfId="54" priority="376" stopIfTrue="1" operator="containsText" text="SEDANG-RENDAH">
      <formula>NOT(ISERROR(SEARCH(("SEDANG-RENDAH"),(Y15))))</formula>
    </cfRule>
    <cfRule type="containsText" dxfId="53" priority="377" stopIfTrue="1" operator="containsText" text="SEDANG-TINGGI">
      <formula>NOT(ISERROR(SEARCH(("SEDANG-TINGGI"),(Y15))))</formula>
    </cfRule>
    <cfRule type="containsText" dxfId="52" priority="378" stopIfTrue="1" operator="containsText" text="SEDANG">
      <formula>NOT(ISERROR(SEARCH(("SEDANG"),(Y15))))</formula>
    </cfRule>
    <cfRule type="containsText" dxfId="51" priority="379" stopIfTrue="1" operator="containsText" text="TINGGI">
      <formula>NOT(ISERROR(SEARCH(("TINGGI"),(Y15))))</formula>
    </cfRule>
    <cfRule type="containsText" dxfId="50" priority="380" stopIfTrue="1" operator="containsText" text="RENDAH">
      <formula>NOT(ISERROR(SEARCH(("RENDAH"),(Y15))))</formula>
    </cfRule>
  </conditionalFormatting>
  <conditionalFormatting sqref="Y15:Y24">
    <cfRule type="containsText" dxfId="49" priority="332" stopIfTrue="1" operator="containsText" text="SEDANG-TINGGI">
      <formula>NOT(ISERROR(SEARCH(("SEDANG-TINGGI"),(Y15))))</formula>
    </cfRule>
  </conditionalFormatting>
  <conditionalFormatting sqref="Y15:Y24">
    <cfRule type="containsText" dxfId="48" priority="333" stopIfTrue="1" operator="containsText" text="SEDANG">
      <formula>NOT(ISERROR(SEARCH(("SEDANG"),(Y15))))</formula>
    </cfRule>
    <cfRule type="containsText" dxfId="47" priority="334" stopIfTrue="1" operator="containsText" text="TINGGI">
      <formula>NOT(ISERROR(SEARCH(("TINGGI"),(Y15))))</formula>
    </cfRule>
    <cfRule type="containsText" dxfId="46" priority="335" stopIfTrue="1" operator="containsText" text="RENDAH">
      <formula>NOT(ISERROR(SEARCH(("RENDAH"),(Y15))))</formula>
    </cfRule>
  </conditionalFormatting>
  <conditionalFormatting sqref="X15:Y24">
    <cfRule type="containsText" dxfId="45" priority="782" stopIfTrue="1" operator="containsText" text="SEDANG-RENDAH">
      <formula>NOT(ISERROR(SEARCH(("SEDANG-RENDAH"),(X15))))</formula>
    </cfRule>
  </conditionalFormatting>
  <conditionalFormatting sqref="X15:X24">
    <cfRule type="containsText" dxfId="44" priority="783" stopIfTrue="1" operator="containsText" text="SEDANG-TINGGI">
      <formula>NOT(ISERROR(SEARCH(("SEDANG-TINGGI"),(X15))))</formula>
    </cfRule>
    <cfRule type="containsText" dxfId="43" priority="784" stopIfTrue="1" operator="containsText" text="SEDANG">
      <formula>NOT(ISERROR(SEARCH(("SEDANG"),(X15))))</formula>
    </cfRule>
    <cfRule type="containsText" dxfId="42" priority="785" stopIfTrue="1" operator="containsText" text="TINGGI">
      <formula>NOT(ISERROR(SEARCH(("TINGGI"),(X15))))</formula>
    </cfRule>
    <cfRule type="containsText" dxfId="41" priority="786" stopIfTrue="1" operator="containsText" text="RENDAH">
      <formula>NOT(ISERROR(SEARCH(("RENDAH"),(X15))))</formula>
    </cfRule>
  </conditionalFormatting>
  <conditionalFormatting sqref="Z15:Z24">
    <cfRule type="containsText" dxfId="40" priority="26" stopIfTrue="1" operator="containsText" text="SEDANG-RENDAH">
      <formula>NOT(ISERROR(SEARCH(("SEDANG-RENDAH"),(Z15))))</formula>
    </cfRule>
    <cfRule type="containsText" dxfId="39" priority="27" stopIfTrue="1" operator="containsText" text="SEDANG-TINGGI">
      <formula>NOT(ISERROR(SEARCH(("SEDANG-TINGGI"),(Z15))))</formula>
    </cfRule>
    <cfRule type="containsText" dxfId="38" priority="28" stopIfTrue="1" operator="containsText" text="SEDANG">
      <formula>NOT(ISERROR(SEARCH(("SEDANG"),(Z15))))</formula>
    </cfRule>
    <cfRule type="containsText" dxfId="37" priority="29" stopIfTrue="1" operator="containsText" text="TINGGI">
      <formula>NOT(ISERROR(SEARCH(("TINGGI"),(Z15))))</formula>
    </cfRule>
    <cfRule type="containsText" dxfId="36" priority="30" stopIfTrue="1" operator="containsText" text="RENDAH">
      <formula>NOT(ISERROR(SEARCH(("RENDAH"),(Z15))))</formula>
    </cfRule>
    <cfRule type="containsText" dxfId="35" priority="31" stopIfTrue="1" operator="containsText" text="SEDANG-RENDAH">
      <formula>NOT(ISERROR(SEARCH(("SEDANG-RENDAH"),(Z15))))</formula>
    </cfRule>
    <cfRule type="containsText" dxfId="34" priority="32" stopIfTrue="1" operator="containsText" text="SEDANG-TINGGI">
      <formula>NOT(ISERROR(SEARCH(("SEDANG-TINGGI"),(Z15))))</formula>
    </cfRule>
    <cfRule type="containsText" dxfId="33" priority="33" stopIfTrue="1" operator="containsText" text="SEDANG">
      <formula>NOT(ISERROR(SEARCH(("SEDANG"),(Z15))))</formula>
    </cfRule>
    <cfRule type="containsText" dxfId="32" priority="34" stopIfTrue="1" operator="containsText" text="TINGGI">
      <formula>NOT(ISERROR(SEARCH(("TINGGI"),(Z15))))</formula>
    </cfRule>
    <cfRule type="containsText" dxfId="31" priority="35" stopIfTrue="1" operator="containsText" text="RENDAH">
      <formula>NOT(ISERROR(SEARCH(("RENDAH"),(Z15))))</formula>
    </cfRule>
    <cfRule type="containsText" dxfId="30" priority="36" stopIfTrue="1" operator="containsText" text="SEDANG-RENDAH">
      <formula>NOT(ISERROR(SEARCH(("SEDANG-RENDAH"),(Z15))))</formula>
    </cfRule>
    <cfRule type="containsText" dxfId="29" priority="37" stopIfTrue="1" operator="containsText" text="SEDANG-TINGGI">
      <formula>NOT(ISERROR(SEARCH(("SEDANG-TINGGI"),(Z15))))</formula>
    </cfRule>
    <cfRule type="containsText" dxfId="28" priority="38" stopIfTrue="1" operator="containsText" text="SEDANG">
      <formula>NOT(ISERROR(SEARCH(("SEDANG"),(Z15))))</formula>
    </cfRule>
    <cfRule type="containsText" dxfId="27" priority="39" stopIfTrue="1" operator="containsText" text="TINGGI">
      <formula>NOT(ISERROR(SEARCH(("TINGGI"),(Z15))))</formula>
    </cfRule>
    <cfRule type="containsText" dxfId="26" priority="40" stopIfTrue="1" operator="containsText" text="RENDAH">
      <formula>NOT(ISERROR(SEARCH(("RENDAH"),(Z15))))</formula>
    </cfRule>
    <cfRule type="containsText" dxfId="25" priority="41" stopIfTrue="1" operator="containsText" text="SEDANG-RENDAH">
      <formula>NOT(ISERROR(SEARCH(("SEDANG-RENDAH"),(Z15))))</formula>
    </cfRule>
    <cfRule type="containsText" dxfId="24" priority="42" stopIfTrue="1" operator="containsText" text="SEDANG-TINGGI">
      <formula>NOT(ISERROR(SEARCH(("SEDANG-TINGGI"),(Z15))))</formula>
    </cfRule>
    <cfRule type="containsText" dxfId="23" priority="43" stopIfTrue="1" operator="containsText" text="SEDANG">
      <formula>NOT(ISERROR(SEARCH(("SEDANG"),(Z15))))</formula>
    </cfRule>
    <cfRule type="containsText" dxfId="22" priority="44" stopIfTrue="1" operator="containsText" text="TINGGI">
      <formula>NOT(ISERROR(SEARCH(("TINGGI"),(Z15))))</formula>
    </cfRule>
    <cfRule type="containsText" dxfId="21" priority="45" stopIfTrue="1" operator="containsText" text="RENDAH">
      <formula>NOT(ISERROR(SEARCH(("RENDAH"),(Z15))))</formula>
    </cfRule>
    <cfRule type="containsText" dxfId="20" priority="46" stopIfTrue="1" operator="containsText" text="SEDANG-RENDAH">
      <formula>NOT(ISERROR(SEARCH(("SEDANG-RENDAH"),(Z15))))</formula>
    </cfRule>
    <cfRule type="containsText" dxfId="19" priority="47" stopIfTrue="1" operator="containsText" text="SEDANG-TINGGI">
      <formula>NOT(ISERROR(SEARCH(("SEDANG-TINGGI"),(Z15))))</formula>
    </cfRule>
    <cfRule type="containsText" dxfId="18" priority="48" stopIfTrue="1" operator="containsText" text="SEDANG">
      <formula>NOT(ISERROR(SEARCH(("SEDANG"),(Z15))))</formula>
    </cfRule>
    <cfRule type="containsText" dxfId="17" priority="49" stopIfTrue="1" operator="containsText" text="TINGGI">
      <formula>NOT(ISERROR(SEARCH(("TINGGI"),(Z15))))</formula>
    </cfRule>
    <cfRule type="containsText" dxfId="16" priority="50" stopIfTrue="1" operator="containsText" text="RENDAH">
      <formula>NOT(ISERROR(SEARCH(("RENDAH"),(Z15))))</formula>
    </cfRule>
  </conditionalFormatting>
  <conditionalFormatting sqref="AP15:AP24">
    <cfRule type="cellIs" dxfId="15" priority="761" operator="equal">
      <formula>"Closed"</formula>
    </cfRule>
  </conditionalFormatting>
  <conditionalFormatting sqref="AP25">
    <cfRule type="containsText" dxfId="14" priority="762" stopIfTrue="1" operator="containsText" text="SEDANG-RENDAH">
      <formula>NOT(ISERROR(SEARCH("SEDANG-RENDAH",AP25)))</formula>
    </cfRule>
    <cfRule type="containsText" dxfId="13" priority="763" stopIfTrue="1" operator="containsText" text="SEDANG-TINGGI">
      <formula>NOT(ISERROR(SEARCH("SEDANG-TINGGI",AP25)))</formula>
    </cfRule>
    <cfRule type="containsText" dxfId="12" priority="764" stopIfTrue="1" operator="containsText" text="SEDANG">
      <formula>NOT(ISERROR(SEARCH("SEDANG",AP25)))</formula>
    </cfRule>
    <cfRule type="containsText" dxfId="11" priority="765" stopIfTrue="1" operator="containsText" text="TINGGI">
      <formula>NOT(ISERROR(SEARCH("TINGGI",AP25)))</formula>
    </cfRule>
    <cfRule type="containsText" dxfId="10" priority="766" stopIfTrue="1" operator="containsText" text="RENDAH">
      <formula>NOT(ISERROR(SEARCH("RENDAH",AP25)))</formula>
    </cfRule>
  </conditionalFormatting>
  <pageMargins left="0.7" right="0.7" top="0.75" bottom="0.75" header="0" footer="0"/>
  <pageSetup paperSize="8" orientation="landscape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000-000002000000}">
          <x14:formula1>
            <xm:f>Parameter!$A$89:$A$90</xm:f>
          </x14:formula1>
          <xm:sqref>H25</xm:sqref>
        </x14:dataValidation>
        <x14:dataValidation type="list" allowBlank="1" showInputMessage="1" showErrorMessage="1" xr:uid="{D4AFA6C7-004F-457D-8AE7-443BB80394E2}">
          <x14:formula1>
            <xm:f>REF!$O$2:$O$18</xm:f>
          </x14:formula1>
          <xm:sqref>Y15:Z24</xm:sqref>
        </x14:dataValidation>
        <x14:dataValidation type="list" allowBlank="1" showInputMessage="1" showErrorMessage="1" xr:uid="{61089F03-3E2B-4339-AB86-3BAC6BB8B011}">
          <x14:formula1>
            <xm:f>REF!$G$2:$G$11</xm:f>
          </x14:formula1>
          <xm:sqref>F15:F24</xm:sqref>
        </x14:dataValidation>
        <x14:dataValidation type="list" allowBlank="1" showErrorMessage="1" xr:uid="{50D9309F-5527-4C92-8084-61371336F397}">
          <x14:formula1>
            <xm:f>REF!$K$2:$K$3</xm:f>
          </x14:formula1>
          <xm:sqref>G15:G24</xm:sqref>
        </x14:dataValidation>
        <x14:dataValidation type="list" allowBlank="1" showErrorMessage="1" xr:uid="{6044AD9C-A94D-45F9-9318-FCB40E5ACD76}">
          <x14:formula1>
            <xm:f>REF!$E$2:$E$6</xm:f>
          </x14:formula1>
          <xm:sqref>E15:E24</xm:sqref>
        </x14:dataValidation>
        <x14:dataValidation type="list" allowBlank="1" showErrorMessage="1" xr:uid="{B3AA3C08-93A7-47AC-912E-446138F08CB0}">
          <x14:formula1>
            <xm:f>REF!$C$2:$C$8</xm:f>
          </x14:formula1>
          <xm:sqref>N15:N24</xm:sqref>
        </x14:dataValidation>
        <x14:dataValidation type="list" allowBlank="1" showErrorMessage="1" xr:uid="{682D2285-9450-47D2-A221-C6AEBD1B0983}">
          <x14:formula1>
            <xm:f>REF!$I$2:$I$3</xm:f>
          </x14:formula1>
          <xm:sqref>H15:H24</xm:sqref>
        </x14:dataValidation>
        <x14:dataValidation type="list" allowBlank="1" showInputMessage="1" showErrorMessage="1" xr:uid="{69C19577-5CAE-476E-A0E7-FC5F04034A83}">
          <x14:formula1>
            <xm:f>REF!$M$2:$M$4</xm:f>
          </x14:formula1>
          <xm:sqref>AP15:AP24</xm:sqref>
        </x14:dataValidation>
        <x14:dataValidation type="list" allowBlank="1" showInputMessage="1" showErrorMessage="1" xr:uid="{84BA5E52-2379-4376-A683-B071518C070B}">
          <x14:formula1>
            <xm:f>REF!$A$2:$A$100</xm:f>
          </x14:formula1>
          <xm:sqref>D15:D24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4396-D409-4106-8C68-3F1030953D8F}">
  <dimension ref="A1:O100"/>
  <sheetViews>
    <sheetView tabSelected="1" zoomScale="85" zoomScaleNormal="85" workbookViewId="0">
      <selection activeCell="A4" sqref="A4"/>
    </sheetView>
  </sheetViews>
  <sheetFormatPr defaultRowHeight="14.4" x14ac:dyDescent="0.3"/>
  <cols>
    <col min="1" max="1" width="62.44140625" customWidth="1"/>
    <col min="2" max="2" width="2.77734375" customWidth="1"/>
    <col min="3" max="3" width="36.21875" customWidth="1"/>
    <col min="4" max="4" width="2.77734375" customWidth="1"/>
    <col min="5" max="5" width="28" customWidth="1"/>
    <col min="6" max="6" width="2.77734375" customWidth="1"/>
    <col min="7" max="7" width="31.77734375" customWidth="1"/>
    <col min="8" max="8" width="2.77734375" customWidth="1"/>
    <col min="9" max="9" width="21.21875" customWidth="1"/>
    <col min="10" max="10" width="2.77734375" customWidth="1"/>
    <col min="11" max="11" width="21.77734375" customWidth="1"/>
    <col min="12" max="12" width="2.77734375" customWidth="1"/>
    <col min="13" max="13" width="21.77734375" customWidth="1"/>
    <col min="14" max="14" width="2.77734375" customWidth="1"/>
    <col min="15" max="15" width="51.5546875" customWidth="1"/>
  </cols>
  <sheetData>
    <row r="1" spans="1:15" ht="18" x14ac:dyDescent="0.3">
      <c r="A1" s="103" t="s">
        <v>354</v>
      </c>
      <c r="C1" s="103" t="s">
        <v>355</v>
      </c>
      <c r="E1" s="103" t="s">
        <v>189</v>
      </c>
      <c r="G1" s="103" t="s">
        <v>360</v>
      </c>
      <c r="I1" s="103" t="s">
        <v>370</v>
      </c>
      <c r="K1" s="103" t="s">
        <v>372</v>
      </c>
      <c r="M1" s="103" t="s">
        <v>29</v>
      </c>
      <c r="O1" s="103" t="s">
        <v>392</v>
      </c>
    </row>
    <row r="2" spans="1:15" ht="18" x14ac:dyDescent="0.3">
      <c r="A2" s="105" t="s">
        <v>398</v>
      </c>
      <c r="C2" s="105" t="s">
        <v>356</v>
      </c>
      <c r="E2" s="105" t="s">
        <v>251</v>
      </c>
      <c r="G2" s="105" t="s">
        <v>361</v>
      </c>
      <c r="I2" s="105" t="s">
        <v>45</v>
      </c>
      <c r="K2" s="105" t="s">
        <v>44</v>
      </c>
      <c r="M2" s="105" t="s">
        <v>373</v>
      </c>
      <c r="O2" s="105" t="s">
        <v>257</v>
      </c>
    </row>
    <row r="3" spans="1:15" ht="18" x14ac:dyDescent="0.3">
      <c r="A3" s="105" t="s">
        <v>256</v>
      </c>
      <c r="C3" s="105" t="s">
        <v>357</v>
      </c>
      <c r="E3" s="105" t="s">
        <v>47</v>
      </c>
      <c r="G3" s="105" t="s">
        <v>362</v>
      </c>
      <c r="I3" s="105" t="s">
        <v>185</v>
      </c>
      <c r="K3" s="105" t="s">
        <v>371</v>
      </c>
      <c r="M3" s="105" t="s">
        <v>374</v>
      </c>
      <c r="O3" s="105" t="s">
        <v>322</v>
      </c>
    </row>
    <row r="4" spans="1:15" ht="18" x14ac:dyDescent="0.3">
      <c r="A4" s="105" t="s">
        <v>406</v>
      </c>
      <c r="C4" s="105" t="s">
        <v>358</v>
      </c>
      <c r="E4" s="105" t="s">
        <v>184</v>
      </c>
      <c r="G4" s="105" t="s">
        <v>363</v>
      </c>
      <c r="M4" s="105" t="s">
        <v>375</v>
      </c>
      <c r="O4" s="105" t="s">
        <v>328</v>
      </c>
    </row>
    <row r="5" spans="1:15" ht="18" x14ac:dyDescent="0.3">
      <c r="A5" s="105" t="s">
        <v>359</v>
      </c>
      <c r="C5" s="105" t="s">
        <v>376</v>
      </c>
      <c r="E5" s="105" t="s">
        <v>255</v>
      </c>
      <c r="G5" s="105" t="s">
        <v>364</v>
      </c>
      <c r="O5" s="105" t="s">
        <v>274</v>
      </c>
    </row>
    <row r="6" spans="1:15" ht="18" x14ac:dyDescent="0.3">
      <c r="A6" s="105" t="s">
        <v>404</v>
      </c>
      <c r="C6" s="105" t="s">
        <v>377</v>
      </c>
      <c r="E6" s="105" t="s">
        <v>52</v>
      </c>
      <c r="G6" s="105" t="s">
        <v>365</v>
      </c>
      <c r="O6" s="105" t="s">
        <v>285</v>
      </c>
    </row>
    <row r="7" spans="1:15" ht="18" x14ac:dyDescent="0.3">
      <c r="A7" s="105" t="s">
        <v>314</v>
      </c>
      <c r="C7" s="105" t="s">
        <v>378</v>
      </c>
      <c r="G7" s="105" t="s">
        <v>366</v>
      </c>
      <c r="O7" s="105" t="s">
        <v>249</v>
      </c>
    </row>
    <row r="8" spans="1:15" ht="18" x14ac:dyDescent="0.3">
      <c r="A8" s="105" t="s">
        <v>314</v>
      </c>
      <c r="C8" s="105" t="s">
        <v>379</v>
      </c>
      <c r="G8" s="105" t="s">
        <v>367</v>
      </c>
      <c r="O8" s="105" t="s">
        <v>268</v>
      </c>
    </row>
    <row r="9" spans="1:15" ht="18" x14ac:dyDescent="0.3">
      <c r="A9" s="105" t="s">
        <v>405</v>
      </c>
      <c r="G9" s="105" t="s">
        <v>365</v>
      </c>
      <c r="O9" s="105" t="s">
        <v>320</v>
      </c>
    </row>
    <row r="10" spans="1:15" ht="18" x14ac:dyDescent="0.3">
      <c r="A10" s="105" t="s">
        <v>403</v>
      </c>
      <c r="G10" s="105" t="s">
        <v>368</v>
      </c>
      <c r="O10" s="105" t="s">
        <v>316</v>
      </c>
    </row>
    <row r="11" spans="1:15" ht="18" x14ac:dyDescent="0.3">
      <c r="A11" s="105" t="s">
        <v>265</v>
      </c>
      <c r="G11" s="105" t="s">
        <v>369</v>
      </c>
      <c r="O11" s="105" t="s">
        <v>332</v>
      </c>
    </row>
    <row r="12" spans="1:15" ht="18" x14ac:dyDescent="0.3">
      <c r="A12" s="105" t="s">
        <v>303</v>
      </c>
      <c r="O12" s="105" t="s">
        <v>305</v>
      </c>
    </row>
    <row r="13" spans="1:15" ht="18" x14ac:dyDescent="0.3">
      <c r="A13" s="105" t="s">
        <v>402</v>
      </c>
      <c r="O13" s="105" t="s">
        <v>292</v>
      </c>
    </row>
    <row r="14" spans="1:15" ht="18" x14ac:dyDescent="0.3">
      <c r="A14" s="105" t="s">
        <v>329</v>
      </c>
      <c r="O14" s="105" t="s">
        <v>396</v>
      </c>
    </row>
    <row r="15" spans="1:15" ht="18" x14ac:dyDescent="0.3">
      <c r="A15" s="105" t="s">
        <v>301</v>
      </c>
      <c r="O15" s="105" t="s">
        <v>312</v>
      </c>
    </row>
    <row r="16" spans="1:15" ht="18" x14ac:dyDescent="0.3">
      <c r="A16" s="105" t="s">
        <v>297</v>
      </c>
      <c r="O16" s="105" t="s">
        <v>393</v>
      </c>
    </row>
    <row r="17" spans="1:15" ht="18" x14ac:dyDescent="0.3">
      <c r="A17" s="105" t="s">
        <v>264</v>
      </c>
      <c r="O17" s="105" t="s">
        <v>340</v>
      </c>
    </row>
    <row r="18" spans="1:15" ht="18" x14ac:dyDescent="0.3">
      <c r="A18" s="105" t="s">
        <v>409</v>
      </c>
      <c r="O18" s="105" t="s">
        <v>262</v>
      </c>
    </row>
    <row r="19" spans="1:15" ht="18" x14ac:dyDescent="0.3">
      <c r="A19" s="105" t="s">
        <v>288</v>
      </c>
    </row>
    <row r="20" spans="1:15" ht="18" x14ac:dyDescent="0.3">
      <c r="A20" s="105" t="s">
        <v>275</v>
      </c>
    </row>
    <row r="21" spans="1:15" ht="18" x14ac:dyDescent="0.3">
      <c r="A21" s="105" t="s">
        <v>277</v>
      </c>
    </row>
    <row r="22" spans="1:15" ht="18" x14ac:dyDescent="0.3">
      <c r="A22" s="105" t="s">
        <v>276</v>
      </c>
    </row>
    <row r="23" spans="1:15" ht="18" x14ac:dyDescent="0.3">
      <c r="A23" s="105" t="s">
        <v>252</v>
      </c>
    </row>
    <row r="24" spans="1:15" ht="18" x14ac:dyDescent="0.3">
      <c r="A24" s="105" t="s">
        <v>278</v>
      </c>
    </row>
    <row r="25" spans="1:15" ht="18" x14ac:dyDescent="0.3">
      <c r="A25" s="105" t="s">
        <v>300</v>
      </c>
    </row>
    <row r="26" spans="1:15" ht="18" x14ac:dyDescent="0.3">
      <c r="A26" s="105" t="s">
        <v>423</v>
      </c>
    </row>
    <row r="27" spans="1:15" ht="18" x14ac:dyDescent="0.3">
      <c r="A27" s="105" t="s">
        <v>258</v>
      </c>
    </row>
    <row r="28" spans="1:15" ht="18" x14ac:dyDescent="0.3">
      <c r="A28" s="105" t="s">
        <v>410</v>
      </c>
    </row>
    <row r="29" spans="1:15" ht="18" x14ac:dyDescent="0.3">
      <c r="A29" s="105" t="s">
        <v>421</v>
      </c>
    </row>
    <row r="30" spans="1:15" ht="18" x14ac:dyDescent="0.3">
      <c r="A30" s="105" t="s">
        <v>284</v>
      </c>
    </row>
    <row r="31" spans="1:15" ht="18" x14ac:dyDescent="0.3">
      <c r="A31" s="105" t="s">
        <v>427</v>
      </c>
    </row>
    <row r="32" spans="1:15" ht="18" x14ac:dyDescent="0.3">
      <c r="A32" s="105" t="s">
        <v>422</v>
      </c>
    </row>
    <row r="33" spans="1:1" ht="18" x14ac:dyDescent="0.3">
      <c r="A33" s="105" t="s">
        <v>348</v>
      </c>
    </row>
    <row r="34" spans="1:1" ht="18" x14ac:dyDescent="0.3">
      <c r="A34" s="105" t="s">
        <v>323</v>
      </c>
    </row>
    <row r="35" spans="1:1" ht="18" x14ac:dyDescent="0.3">
      <c r="A35" s="105" t="s">
        <v>428</v>
      </c>
    </row>
    <row r="36" spans="1:1" ht="18" x14ac:dyDescent="0.3">
      <c r="A36" s="105" t="s">
        <v>426</v>
      </c>
    </row>
    <row r="37" spans="1:1" ht="18" x14ac:dyDescent="0.3">
      <c r="A37" s="105" t="s">
        <v>324</v>
      </c>
    </row>
    <row r="38" spans="1:1" ht="18" x14ac:dyDescent="0.3">
      <c r="A38" s="105" t="s">
        <v>417</v>
      </c>
    </row>
    <row r="39" spans="1:1" ht="18" x14ac:dyDescent="0.3">
      <c r="A39" s="105" t="s">
        <v>418</v>
      </c>
    </row>
    <row r="40" spans="1:1" ht="18" x14ac:dyDescent="0.3">
      <c r="A40" s="105" t="s">
        <v>341</v>
      </c>
    </row>
    <row r="41" spans="1:1" ht="18" x14ac:dyDescent="0.3">
      <c r="A41" s="105" t="s">
        <v>413</v>
      </c>
    </row>
    <row r="42" spans="1:1" ht="18" x14ac:dyDescent="0.3">
      <c r="A42" s="105" t="s">
        <v>414</v>
      </c>
    </row>
    <row r="43" spans="1:1" ht="18" x14ac:dyDescent="0.3">
      <c r="A43" s="105" t="s">
        <v>424</v>
      </c>
    </row>
    <row r="44" spans="1:1" ht="18" x14ac:dyDescent="0.3">
      <c r="A44" s="105" t="s">
        <v>326</v>
      </c>
    </row>
    <row r="45" spans="1:1" ht="18" x14ac:dyDescent="0.3">
      <c r="A45" s="105" t="s">
        <v>425</v>
      </c>
    </row>
    <row r="46" spans="1:1" ht="18" x14ac:dyDescent="0.3">
      <c r="A46" s="105" t="s">
        <v>335</v>
      </c>
    </row>
    <row r="47" spans="1:1" ht="18" x14ac:dyDescent="0.3">
      <c r="A47" s="105" t="s">
        <v>415</v>
      </c>
    </row>
    <row r="48" spans="1:1" ht="18" x14ac:dyDescent="0.3">
      <c r="A48" s="105" t="s">
        <v>283</v>
      </c>
    </row>
    <row r="49" spans="1:1" ht="18" x14ac:dyDescent="0.3">
      <c r="A49" s="105" t="s">
        <v>318</v>
      </c>
    </row>
    <row r="50" spans="1:1" ht="18" x14ac:dyDescent="0.3">
      <c r="A50" s="105" t="s">
        <v>419</v>
      </c>
    </row>
    <row r="51" spans="1:1" ht="18" x14ac:dyDescent="0.3">
      <c r="A51" s="105" t="s">
        <v>420</v>
      </c>
    </row>
    <row r="52" spans="1:1" ht="18" x14ac:dyDescent="0.3">
      <c r="A52" s="105" t="s">
        <v>411</v>
      </c>
    </row>
    <row r="53" spans="1:1" ht="18" x14ac:dyDescent="0.3">
      <c r="A53" s="105" t="s">
        <v>313</v>
      </c>
    </row>
    <row r="54" spans="1:1" ht="18" x14ac:dyDescent="0.3">
      <c r="A54" s="105" t="s">
        <v>272</v>
      </c>
    </row>
    <row r="55" spans="1:1" ht="18" x14ac:dyDescent="0.3">
      <c r="A55" s="105" t="s">
        <v>253</v>
      </c>
    </row>
    <row r="56" spans="1:1" ht="18" x14ac:dyDescent="0.3">
      <c r="A56" s="105" t="s">
        <v>273</v>
      </c>
    </row>
    <row r="57" spans="1:1" ht="18" x14ac:dyDescent="0.3">
      <c r="A57" s="105" t="s">
        <v>330</v>
      </c>
    </row>
    <row r="58" spans="1:1" ht="18" x14ac:dyDescent="0.3">
      <c r="A58" s="105" t="s">
        <v>343</v>
      </c>
    </row>
    <row r="59" spans="1:1" ht="18" x14ac:dyDescent="0.3">
      <c r="A59" s="105" t="s">
        <v>309</v>
      </c>
    </row>
    <row r="60" spans="1:1" ht="18" x14ac:dyDescent="0.3">
      <c r="A60" s="105" t="s">
        <v>299</v>
      </c>
    </row>
    <row r="61" spans="1:1" ht="18" x14ac:dyDescent="0.3">
      <c r="A61" s="105" t="s">
        <v>412</v>
      </c>
    </row>
    <row r="62" spans="1:1" ht="18" x14ac:dyDescent="0.3">
      <c r="A62" s="105" t="s">
        <v>390</v>
      </c>
    </row>
    <row r="63" spans="1:1" ht="18" x14ac:dyDescent="0.3">
      <c r="A63" s="105" t="s">
        <v>302</v>
      </c>
    </row>
    <row r="64" spans="1:1" ht="18" x14ac:dyDescent="0.3">
      <c r="A64" s="105" t="s">
        <v>281</v>
      </c>
    </row>
    <row r="65" spans="1:1" ht="18" x14ac:dyDescent="0.3">
      <c r="A65" s="105" t="s">
        <v>310</v>
      </c>
    </row>
    <row r="66" spans="1:1" ht="18" x14ac:dyDescent="0.3">
      <c r="A66" s="105" t="s">
        <v>351</v>
      </c>
    </row>
    <row r="67" spans="1:1" ht="18" x14ac:dyDescent="0.3">
      <c r="A67" s="105" t="s">
        <v>261</v>
      </c>
    </row>
    <row r="68" spans="1:1" ht="18" x14ac:dyDescent="0.3">
      <c r="A68" s="105" t="s">
        <v>291</v>
      </c>
    </row>
    <row r="69" spans="1:1" ht="18" x14ac:dyDescent="0.3">
      <c r="A69" s="105" t="s">
        <v>306</v>
      </c>
    </row>
    <row r="70" spans="1:1" ht="18" x14ac:dyDescent="0.3">
      <c r="A70" s="105" t="s">
        <v>293</v>
      </c>
    </row>
    <row r="71" spans="1:1" ht="18" x14ac:dyDescent="0.3">
      <c r="A71" s="105" t="s">
        <v>260</v>
      </c>
    </row>
    <row r="72" spans="1:1" ht="18" x14ac:dyDescent="0.3">
      <c r="A72" s="105" t="s">
        <v>327</v>
      </c>
    </row>
    <row r="73" spans="1:1" ht="18" x14ac:dyDescent="0.3">
      <c r="A73" s="105" t="s">
        <v>331</v>
      </c>
    </row>
    <row r="74" spans="1:1" ht="18" x14ac:dyDescent="0.3">
      <c r="A74" s="105" t="s">
        <v>279</v>
      </c>
    </row>
    <row r="75" spans="1:1" ht="18" x14ac:dyDescent="0.3">
      <c r="A75" s="105" t="s">
        <v>280</v>
      </c>
    </row>
    <row r="76" spans="1:1" ht="18" x14ac:dyDescent="0.3">
      <c r="A76" s="105" t="s">
        <v>289</v>
      </c>
    </row>
    <row r="77" spans="1:1" ht="18" x14ac:dyDescent="0.3">
      <c r="A77" s="105" t="s">
        <v>408</v>
      </c>
    </row>
    <row r="78" spans="1:1" ht="18" x14ac:dyDescent="0.3">
      <c r="A78" s="105" t="s">
        <v>407</v>
      </c>
    </row>
    <row r="79" spans="1:1" ht="18" x14ac:dyDescent="0.3">
      <c r="A79" s="105" t="s">
        <v>319</v>
      </c>
    </row>
    <row r="80" spans="1:1" ht="18" x14ac:dyDescent="0.3">
      <c r="A80" s="105" t="s">
        <v>336</v>
      </c>
    </row>
    <row r="81" spans="1:1" ht="18" x14ac:dyDescent="0.3">
      <c r="A81" s="105" t="s">
        <v>308</v>
      </c>
    </row>
    <row r="82" spans="1:1" ht="18" x14ac:dyDescent="0.3">
      <c r="A82" s="105" t="s">
        <v>298</v>
      </c>
    </row>
    <row r="83" spans="1:1" ht="18" x14ac:dyDescent="0.3">
      <c r="A83" s="105" t="s">
        <v>391</v>
      </c>
    </row>
    <row r="84" spans="1:1" ht="18" x14ac:dyDescent="0.3">
      <c r="A84" s="105" t="s">
        <v>321</v>
      </c>
    </row>
    <row r="85" spans="1:1" ht="18" x14ac:dyDescent="0.3">
      <c r="A85" s="105" t="s">
        <v>344</v>
      </c>
    </row>
    <row r="86" spans="1:1" ht="18" x14ac:dyDescent="0.3">
      <c r="A86" s="105" t="s">
        <v>266</v>
      </c>
    </row>
    <row r="87" spans="1:1" ht="18" x14ac:dyDescent="0.3">
      <c r="A87" s="105" t="s">
        <v>290</v>
      </c>
    </row>
    <row r="88" spans="1:1" ht="18" x14ac:dyDescent="0.3">
      <c r="A88" s="105" t="s">
        <v>416</v>
      </c>
    </row>
    <row r="89" spans="1:1" ht="18" x14ac:dyDescent="0.3">
      <c r="A89" s="105" t="s">
        <v>401</v>
      </c>
    </row>
    <row r="90" spans="1:1" ht="18" x14ac:dyDescent="0.3">
      <c r="A90" s="105" t="s">
        <v>397</v>
      </c>
    </row>
    <row r="91" spans="1:1" ht="18" x14ac:dyDescent="0.3">
      <c r="A91" s="105" t="s">
        <v>338</v>
      </c>
    </row>
    <row r="92" spans="1:1" ht="18" x14ac:dyDescent="0.3">
      <c r="A92" s="105" t="s">
        <v>286</v>
      </c>
    </row>
    <row r="93" spans="1:1" ht="18" x14ac:dyDescent="0.3">
      <c r="A93" s="105" t="s">
        <v>294</v>
      </c>
    </row>
    <row r="94" spans="1:1" ht="18" x14ac:dyDescent="0.3">
      <c r="A94" s="105" t="s">
        <v>349</v>
      </c>
    </row>
    <row r="95" spans="1:1" ht="18" x14ac:dyDescent="0.3">
      <c r="A95" s="105" t="s">
        <v>333</v>
      </c>
    </row>
    <row r="96" spans="1:1" ht="18" x14ac:dyDescent="0.3">
      <c r="A96" s="105" t="s">
        <v>250</v>
      </c>
    </row>
    <row r="97" spans="1:1" ht="18" x14ac:dyDescent="0.3">
      <c r="A97" s="105" t="s">
        <v>317</v>
      </c>
    </row>
    <row r="98" spans="1:1" ht="18" x14ac:dyDescent="0.3">
      <c r="A98" s="105" t="s">
        <v>263</v>
      </c>
    </row>
    <row r="99" spans="1:1" ht="18" x14ac:dyDescent="0.3">
      <c r="A99" s="105" t="s">
        <v>267</v>
      </c>
    </row>
    <row r="100" spans="1:1" ht="18" x14ac:dyDescent="0.3">
      <c r="A100" s="105" t="s">
        <v>287</v>
      </c>
    </row>
  </sheetData>
  <sortState xmlns:xlrd2="http://schemas.microsoft.com/office/spreadsheetml/2017/richdata2" ref="A2:A100">
    <sortCondition ref="A2:A10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4065-31C4-4867-B32A-9A52EBD202FD}">
  <dimension ref="A1:D89"/>
  <sheetViews>
    <sheetView topLeftCell="A4" workbookViewId="0">
      <selection activeCell="C27" sqref="C27"/>
    </sheetView>
  </sheetViews>
  <sheetFormatPr defaultRowHeight="18" x14ac:dyDescent="0.55000000000000004"/>
  <cols>
    <col min="1" max="1" width="3.77734375" style="104" bestFit="1" customWidth="1"/>
    <col min="2" max="2" width="37.5546875" style="104" customWidth="1"/>
    <col min="3" max="3" width="61" style="104" customWidth="1"/>
    <col min="4" max="4" width="35.109375" style="104" customWidth="1"/>
    <col min="5" max="16384" width="8.88671875" style="104"/>
  </cols>
  <sheetData>
    <row r="1" spans="1:4" x14ac:dyDescent="0.55000000000000004">
      <c r="A1" s="103" t="s">
        <v>199</v>
      </c>
      <c r="B1" s="103" t="s">
        <v>247</v>
      </c>
      <c r="C1" s="103" t="s">
        <v>248</v>
      </c>
      <c r="D1" s="103" t="s">
        <v>189</v>
      </c>
    </row>
    <row r="2" spans="1:4" x14ac:dyDescent="0.55000000000000004">
      <c r="A2" s="105">
        <v>1</v>
      </c>
      <c r="B2" s="105" t="s">
        <v>249</v>
      </c>
      <c r="C2" s="105" t="s">
        <v>250</v>
      </c>
      <c r="D2" s="105" t="s">
        <v>251</v>
      </c>
    </row>
    <row r="3" spans="1:4" x14ac:dyDescent="0.55000000000000004">
      <c r="A3" s="105">
        <v>2</v>
      </c>
      <c r="B3" s="105" t="s">
        <v>249</v>
      </c>
      <c r="C3" s="105" t="s">
        <v>252</v>
      </c>
      <c r="D3" s="105" t="s">
        <v>47</v>
      </c>
    </row>
    <row r="4" spans="1:4" x14ac:dyDescent="0.55000000000000004">
      <c r="A4" s="105">
        <v>3</v>
      </c>
      <c r="B4" s="105" t="s">
        <v>249</v>
      </c>
      <c r="C4" s="105" t="s">
        <v>253</v>
      </c>
      <c r="D4" s="105" t="s">
        <v>184</v>
      </c>
    </row>
    <row r="5" spans="1:4" x14ac:dyDescent="0.55000000000000004">
      <c r="A5" s="105">
        <v>4</v>
      </c>
      <c r="B5" s="105" t="s">
        <v>249</v>
      </c>
      <c r="C5" s="105" t="s">
        <v>254</v>
      </c>
      <c r="D5" s="105" t="s">
        <v>255</v>
      </c>
    </row>
    <row r="6" spans="1:4" x14ac:dyDescent="0.55000000000000004">
      <c r="A6" s="105">
        <v>5</v>
      </c>
      <c r="B6" s="105" t="s">
        <v>249</v>
      </c>
      <c r="C6" s="105" t="s">
        <v>256</v>
      </c>
      <c r="D6" s="105" t="s">
        <v>251</v>
      </c>
    </row>
    <row r="7" spans="1:4" x14ac:dyDescent="0.55000000000000004">
      <c r="A7" s="105">
        <v>6</v>
      </c>
      <c r="B7" s="105" t="s">
        <v>257</v>
      </c>
      <c r="C7" s="105" t="s">
        <v>258</v>
      </c>
      <c r="D7" s="105" t="s">
        <v>251</v>
      </c>
    </row>
    <row r="8" spans="1:4" x14ac:dyDescent="0.55000000000000004">
      <c r="A8" s="105">
        <v>7</v>
      </c>
      <c r="B8" s="105" t="s">
        <v>257</v>
      </c>
      <c r="C8" s="105" t="s">
        <v>259</v>
      </c>
      <c r="D8" s="105" t="s">
        <v>251</v>
      </c>
    </row>
    <row r="9" spans="1:4" x14ac:dyDescent="0.55000000000000004">
      <c r="A9" s="105">
        <v>8</v>
      </c>
      <c r="B9" s="105" t="s">
        <v>257</v>
      </c>
      <c r="C9" s="105" t="s">
        <v>260</v>
      </c>
      <c r="D9" s="105" t="s">
        <v>255</v>
      </c>
    </row>
    <row r="10" spans="1:4" x14ac:dyDescent="0.55000000000000004">
      <c r="A10" s="105">
        <v>9</v>
      </c>
      <c r="B10" s="105" t="s">
        <v>257</v>
      </c>
      <c r="C10" s="105" t="s">
        <v>261</v>
      </c>
      <c r="D10" s="105" t="s">
        <v>251</v>
      </c>
    </row>
    <row r="11" spans="1:4" x14ac:dyDescent="0.55000000000000004">
      <c r="A11" s="105">
        <v>10</v>
      </c>
      <c r="B11" s="105" t="s">
        <v>262</v>
      </c>
      <c r="C11" s="105" t="s">
        <v>263</v>
      </c>
      <c r="D11" s="105" t="s">
        <v>251</v>
      </c>
    </row>
    <row r="12" spans="1:4" x14ac:dyDescent="0.55000000000000004">
      <c r="A12" s="105">
        <v>11</v>
      </c>
      <c r="B12" s="105" t="s">
        <v>262</v>
      </c>
      <c r="C12" s="105" t="s">
        <v>264</v>
      </c>
      <c r="D12" s="105" t="s">
        <v>251</v>
      </c>
    </row>
    <row r="13" spans="1:4" x14ac:dyDescent="0.55000000000000004">
      <c r="A13" s="105">
        <v>12</v>
      </c>
      <c r="B13" s="105" t="s">
        <v>262</v>
      </c>
      <c r="C13" s="105" t="s">
        <v>265</v>
      </c>
      <c r="D13" s="105" t="s">
        <v>47</v>
      </c>
    </row>
    <row r="14" spans="1:4" x14ac:dyDescent="0.55000000000000004">
      <c r="A14" s="105">
        <v>13</v>
      </c>
      <c r="B14" s="105" t="s">
        <v>262</v>
      </c>
      <c r="C14" s="105" t="s">
        <v>266</v>
      </c>
      <c r="D14" s="105" t="s">
        <v>255</v>
      </c>
    </row>
    <row r="15" spans="1:4" x14ac:dyDescent="0.55000000000000004">
      <c r="A15" s="105">
        <v>14</v>
      </c>
      <c r="B15" s="105" t="s">
        <v>262</v>
      </c>
      <c r="C15" s="105" t="s">
        <v>267</v>
      </c>
      <c r="D15" s="105" t="s">
        <v>52</v>
      </c>
    </row>
    <row r="16" spans="1:4" x14ac:dyDescent="0.55000000000000004">
      <c r="A16" s="105">
        <v>15</v>
      </c>
      <c r="B16" s="105" t="s">
        <v>268</v>
      </c>
      <c r="C16" s="105" t="s">
        <v>269</v>
      </c>
      <c r="D16" s="105" t="s">
        <v>251</v>
      </c>
    </row>
    <row r="17" spans="1:4" x14ac:dyDescent="0.55000000000000004">
      <c r="A17" s="105">
        <v>16</v>
      </c>
      <c r="B17" s="105" t="s">
        <v>268</v>
      </c>
      <c r="C17" s="105" t="s">
        <v>270</v>
      </c>
      <c r="D17" s="105" t="s">
        <v>251</v>
      </c>
    </row>
    <row r="18" spans="1:4" x14ac:dyDescent="0.55000000000000004">
      <c r="A18" s="105">
        <v>17</v>
      </c>
      <c r="B18" s="105" t="s">
        <v>268</v>
      </c>
      <c r="C18" s="105" t="s">
        <v>271</v>
      </c>
      <c r="D18" s="105" t="s">
        <v>255</v>
      </c>
    </row>
    <row r="19" spans="1:4" x14ac:dyDescent="0.55000000000000004">
      <c r="A19" s="105">
        <v>18</v>
      </c>
      <c r="B19" s="105" t="s">
        <v>268</v>
      </c>
      <c r="C19" s="105" t="s">
        <v>272</v>
      </c>
      <c r="D19" s="105" t="s">
        <v>251</v>
      </c>
    </row>
    <row r="20" spans="1:4" x14ac:dyDescent="0.55000000000000004">
      <c r="A20" s="105">
        <v>19</v>
      </c>
      <c r="B20" s="105" t="s">
        <v>268</v>
      </c>
      <c r="C20" s="105" t="s">
        <v>273</v>
      </c>
      <c r="D20" s="105" t="s">
        <v>251</v>
      </c>
    </row>
    <row r="21" spans="1:4" x14ac:dyDescent="0.55000000000000004">
      <c r="A21" s="105">
        <v>20</v>
      </c>
      <c r="B21" s="105" t="s">
        <v>274</v>
      </c>
      <c r="C21" s="105" t="s">
        <v>275</v>
      </c>
      <c r="D21" s="105" t="s">
        <v>251</v>
      </c>
    </row>
    <row r="22" spans="1:4" x14ac:dyDescent="0.55000000000000004">
      <c r="A22" s="105">
        <v>21</v>
      </c>
      <c r="B22" s="105" t="s">
        <v>274</v>
      </c>
      <c r="C22" s="105" t="s">
        <v>276</v>
      </c>
      <c r="D22" s="105" t="s">
        <v>251</v>
      </c>
    </row>
    <row r="23" spans="1:4" x14ac:dyDescent="0.55000000000000004">
      <c r="A23" s="105">
        <v>22</v>
      </c>
      <c r="B23" s="105" t="s">
        <v>274</v>
      </c>
      <c r="C23" s="105" t="s">
        <v>277</v>
      </c>
      <c r="D23" s="105" t="s">
        <v>47</v>
      </c>
    </row>
    <row r="24" spans="1:4" x14ac:dyDescent="0.55000000000000004">
      <c r="A24" s="105">
        <v>23</v>
      </c>
      <c r="B24" s="105" t="s">
        <v>274</v>
      </c>
      <c r="C24" s="105" t="s">
        <v>278</v>
      </c>
      <c r="D24" s="105" t="s">
        <v>251</v>
      </c>
    </row>
    <row r="25" spans="1:4" x14ac:dyDescent="0.55000000000000004">
      <c r="A25" s="105">
        <v>24</v>
      </c>
      <c r="B25" s="105" t="s">
        <v>274</v>
      </c>
      <c r="C25" s="105" t="s">
        <v>279</v>
      </c>
      <c r="D25" s="105" t="s">
        <v>255</v>
      </c>
    </row>
    <row r="26" spans="1:4" x14ac:dyDescent="0.55000000000000004">
      <c r="A26" s="105">
        <v>25</v>
      </c>
      <c r="B26" s="105" t="s">
        <v>274</v>
      </c>
      <c r="C26" s="105" t="s">
        <v>280</v>
      </c>
      <c r="D26" s="105" t="s">
        <v>255</v>
      </c>
    </row>
    <row r="27" spans="1:4" x14ac:dyDescent="0.55000000000000004">
      <c r="A27" s="105">
        <v>26</v>
      </c>
      <c r="B27" s="105" t="s">
        <v>274</v>
      </c>
      <c r="C27" s="105" t="s">
        <v>281</v>
      </c>
      <c r="D27" s="105" t="s">
        <v>251</v>
      </c>
    </row>
    <row r="28" spans="1:4" x14ac:dyDescent="0.55000000000000004">
      <c r="A28" s="105">
        <v>27</v>
      </c>
      <c r="B28" s="105" t="s">
        <v>274</v>
      </c>
      <c r="C28" s="105" t="s">
        <v>282</v>
      </c>
      <c r="D28" s="105" t="s">
        <v>251</v>
      </c>
    </row>
    <row r="29" spans="1:4" x14ac:dyDescent="0.55000000000000004">
      <c r="A29" s="105">
        <v>28</v>
      </c>
      <c r="B29" s="105" t="s">
        <v>274</v>
      </c>
      <c r="C29" s="105" t="s">
        <v>283</v>
      </c>
      <c r="D29" s="105" t="s">
        <v>251</v>
      </c>
    </row>
    <row r="30" spans="1:4" x14ac:dyDescent="0.55000000000000004">
      <c r="A30" s="105">
        <v>29</v>
      </c>
      <c r="B30" s="105" t="s">
        <v>274</v>
      </c>
      <c r="C30" s="105" t="s">
        <v>284</v>
      </c>
      <c r="D30" s="105" t="s">
        <v>251</v>
      </c>
    </row>
    <row r="31" spans="1:4" x14ac:dyDescent="0.55000000000000004">
      <c r="A31" s="105">
        <v>30</v>
      </c>
      <c r="B31" s="105" t="s">
        <v>285</v>
      </c>
      <c r="C31" s="105" t="s">
        <v>286</v>
      </c>
      <c r="D31" s="105" t="s">
        <v>251</v>
      </c>
    </row>
    <row r="32" spans="1:4" x14ac:dyDescent="0.55000000000000004">
      <c r="A32" s="105">
        <v>31</v>
      </c>
      <c r="B32" s="105" t="s">
        <v>285</v>
      </c>
      <c r="C32" s="105" t="s">
        <v>287</v>
      </c>
      <c r="D32" s="105" t="s">
        <v>47</v>
      </c>
    </row>
    <row r="33" spans="1:4" x14ac:dyDescent="0.55000000000000004">
      <c r="A33" s="105">
        <v>32</v>
      </c>
      <c r="B33" s="105" t="s">
        <v>285</v>
      </c>
      <c r="C33" s="105" t="s">
        <v>288</v>
      </c>
      <c r="D33" s="105" t="s">
        <v>251</v>
      </c>
    </row>
    <row r="34" spans="1:4" x14ac:dyDescent="0.55000000000000004">
      <c r="A34" s="105">
        <v>33</v>
      </c>
      <c r="B34" s="105" t="s">
        <v>285</v>
      </c>
      <c r="C34" s="105" t="s">
        <v>289</v>
      </c>
      <c r="D34" s="105" t="s">
        <v>255</v>
      </c>
    </row>
    <row r="35" spans="1:4" x14ac:dyDescent="0.55000000000000004">
      <c r="A35" s="105">
        <v>34</v>
      </c>
      <c r="B35" s="105" t="s">
        <v>285</v>
      </c>
      <c r="C35" s="105" t="s">
        <v>290</v>
      </c>
      <c r="D35" s="105" t="s">
        <v>255</v>
      </c>
    </row>
    <row r="36" spans="1:4" x14ac:dyDescent="0.55000000000000004">
      <c r="A36" s="105">
        <v>35</v>
      </c>
      <c r="B36" s="105" t="s">
        <v>285</v>
      </c>
      <c r="C36" s="105" t="s">
        <v>291</v>
      </c>
      <c r="D36" s="105" t="s">
        <v>47</v>
      </c>
    </row>
    <row r="37" spans="1:4" x14ac:dyDescent="0.55000000000000004">
      <c r="A37" s="105">
        <v>36</v>
      </c>
      <c r="B37" s="105" t="s">
        <v>292</v>
      </c>
      <c r="C37" s="105" t="s">
        <v>293</v>
      </c>
      <c r="D37" s="105" t="s">
        <v>52</v>
      </c>
    </row>
    <row r="38" spans="1:4" x14ac:dyDescent="0.55000000000000004">
      <c r="A38" s="105">
        <v>37</v>
      </c>
      <c r="B38" s="105" t="s">
        <v>292</v>
      </c>
      <c r="C38" s="105" t="s">
        <v>294</v>
      </c>
      <c r="D38" s="105" t="s">
        <v>47</v>
      </c>
    </row>
    <row r="39" spans="1:4" x14ac:dyDescent="0.55000000000000004">
      <c r="A39" s="105">
        <v>38</v>
      </c>
      <c r="B39" s="105" t="s">
        <v>292</v>
      </c>
      <c r="C39" s="105" t="s">
        <v>295</v>
      </c>
      <c r="D39" s="105" t="s">
        <v>251</v>
      </c>
    </row>
    <row r="40" spans="1:4" x14ac:dyDescent="0.55000000000000004">
      <c r="A40" s="105">
        <v>39</v>
      </c>
      <c r="B40" s="105" t="s">
        <v>292</v>
      </c>
      <c r="C40" s="105" t="s">
        <v>296</v>
      </c>
      <c r="D40" s="105" t="s">
        <v>184</v>
      </c>
    </row>
    <row r="41" spans="1:4" x14ac:dyDescent="0.55000000000000004">
      <c r="A41" s="105">
        <v>40</v>
      </c>
      <c r="B41" s="105" t="s">
        <v>292</v>
      </c>
      <c r="C41" s="105" t="s">
        <v>297</v>
      </c>
      <c r="D41" s="105" t="s">
        <v>52</v>
      </c>
    </row>
    <row r="42" spans="1:4" x14ac:dyDescent="0.55000000000000004">
      <c r="A42" s="105">
        <v>41</v>
      </c>
      <c r="B42" s="105" t="s">
        <v>292</v>
      </c>
      <c r="C42" s="105" t="s">
        <v>298</v>
      </c>
      <c r="D42" s="105" t="s">
        <v>255</v>
      </c>
    </row>
    <row r="43" spans="1:4" x14ac:dyDescent="0.55000000000000004">
      <c r="A43" s="105">
        <v>42</v>
      </c>
      <c r="B43" s="105" t="s">
        <v>292</v>
      </c>
      <c r="C43" s="105" t="s">
        <v>299</v>
      </c>
      <c r="D43" s="105" t="s">
        <v>184</v>
      </c>
    </row>
    <row r="44" spans="1:4" x14ac:dyDescent="0.55000000000000004">
      <c r="A44" s="105">
        <v>43</v>
      </c>
      <c r="B44" s="105" t="s">
        <v>292</v>
      </c>
      <c r="C44" s="105" t="s">
        <v>300</v>
      </c>
      <c r="D44" s="105" t="s">
        <v>251</v>
      </c>
    </row>
    <row r="45" spans="1:4" x14ac:dyDescent="0.55000000000000004">
      <c r="A45" s="105">
        <v>44</v>
      </c>
      <c r="B45" s="105" t="s">
        <v>292</v>
      </c>
      <c r="C45" s="105" t="s">
        <v>301</v>
      </c>
      <c r="D45" s="105" t="s">
        <v>251</v>
      </c>
    </row>
    <row r="46" spans="1:4" x14ac:dyDescent="0.55000000000000004">
      <c r="A46" s="105">
        <v>45</v>
      </c>
      <c r="B46" s="105" t="s">
        <v>292</v>
      </c>
      <c r="C46" s="105" t="s">
        <v>302</v>
      </c>
      <c r="D46" s="105" t="s">
        <v>52</v>
      </c>
    </row>
    <row r="47" spans="1:4" x14ac:dyDescent="0.55000000000000004">
      <c r="A47" s="105">
        <v>46</v>
      </c>
      <c r="B47" s="105" t="s">
        <v>292</v>
      </c>
      <c r="C47" s="105" t="s">
        <v>303</v>
      </c>
      <c r="D47" s="105" t="s">
        <v>47</v>
      </c>
    </row>
    <row r="48" spans="1:4" x14ac:dyDescent="0.55000000000000004">
      <c r="A48" s="105">
        <v>47</v>
      </c>
      <c r="B48" s="105" t="s">
        <v>292</v>
      </c>
      <c r="C48" s="105" t="s">
        <v>304</v>
      </c>
      <c r="D48" s="105" t="s">
        <v>184</v>
      </c>
    </row>
    <row r="49" spans="1:4" x14ac:dyDescent="0.55000000000000004">
      <c r="A49" s="105">
        <v>48</v>
      </c>
      <c r="B49" s="105" t="s">
        <v>305</v>
      </c>
      <c r="C49" s="105" t="s">
        <v>306</v>
      </c>
      <c r="D49" s="105" t="s">
        <v>52</v>
      </c>
    </row>
    <row r="50" spans="1:4" x14ac:dyDescent="0.55000000000000004">
      <c r="A50" s="105">
        <v>49</v>
      </c>
      <c r="B50" s="105" t="s">
        <v>305</v>
      </c>
      <c r="C50" s="105" t="s">
        <v>307</v>
      </c>
      <c r="D50" s="105" t="s">
        <v>251</v>
      </c>
    </row>
    <row r="51" spans="1:4" x14ac:dyDescent="0.55000000000000004">
      <c r="A51" s="105">
        <v>50</v>
      </c>
      <c r="B51" s="105" t="s">
        <v>305</v>
      </c>
      <c r="C51" s="105" t="s">
        <v>308</v>
      </c>
      <c r="D51" s="105" t="s">
        <v>255</v>
      </c>
    </row>
    <row r="52" spans="1:4" x14ac:dyDescent="0.55000000000000004">
      <c r="A52" s="105">
        <v>51</v>
      </c>
      <c r="B52" s="105" t="s">
        <v>305</v>
      </c>
      <c r="C52" s="105" t="s">
        <v>309</v>
      </c>
      <c r="D52" s="105" t="s">
        <v>184</v>
      </c>
    </row>
    <row r="53" spans="1:4" x14ac:dyDescent="0.55000000000000004">
      <c r="A53" s="105">
        <v>52</v>
      </c>
      <c r="B53" s="105" t="s">
        <v>305</v>
      </c>
      <c r="C53" s="105" t="s">
        <v>310</v>
      </c>
      <c r="D53" s="105" t="s">
        <v>251</v>
      </c>
    </row>
    <row r="54" spans="1:4" x14ac:dyDescent="0.55000000000000004">
      <c r="A54" s="105">
        <v>53</v>
      </c>
      <c r="B54" s="105" t="s">
        <v>305</v>
      </c>
      <c r="C54" s="105" t="s">
        <v>311</v>
      </c>
      <c r="D54" s="105" t="s">
        <v>251</v>
      </c>
    </row>
    <row r="55" spans="1:4" x14ac:dyDescent="0.55000000000000004">
      <c r="A55" s="105">
        <v>54</v>
      </c>
      <c r="B55" s="105" t="s">
        <v>312</v>
      </c>
      <c r="C55" s="105" t="s">
        <v>313</v>
      </c>
      <c r="D55" s="105" t="s">
        <v>52</v>
      </c>
    </row>
    <row r="56" spans="1:4" x14ac:dyDescent="0.55000000000000004">
      <c r="A56" s="105">
        <v>55</v>
      </c>
      <c r="B56" s="105" t="s">
        <v>312</v>
      </c>
      <c r="C56" s="105" t="s">
        <v>314</v>
      </c>
      <c r="D56" s="105" t="s">
        <v>47</v>
      </c>
    </row>
    <row r="57" spans="1:4" x14ac:dyDescent="0.55000000000000004">
      <c r="A57" s="105">
        <v>56</v>
      </c>
      <c r="B57" s="105" t="s">
        <v>312</v>
      </c>
      <c r="C57" s="105" t="s">
        <v>315</v>
      </c>
      <c r="D57" s="105" t="s">
        <v>251</v>
      </c>
    </row>
    <row r="58" spans="1:4" x14ac:dyDescent="0.55000000000000004">
      <c r="A58" s="105">
        <v>57</v>
      </c>
      <c r="B58" s="105" t="s">
        <v>316</v>
      </c>
      <c r="C58" s="105" t="s">
        <v>317</v>
      </c>
      <c r="D58" s="105" t="s">
        <v>251</v>
      </c>
    </row>
    <row r="59" spans="1:4" x14ac:dyDescent="0.55000000000000004">
      <c r="A59" s="105">
        <v>58</v>
      </c>
      <c r="B59" s="105" t="s">
        <v>316</v>
      </c>
      <c r="C59" s="105" t="s">
        <v>318</v>
      </c>
      <c r="D59" s="105" t="s">
        <v>251</v>
      </c>
    </row>
    <row r="60" spans="1:4" x14ac:dyDescent="0.55000000000000004">
      <c r="A60" s="105">
        <v>59</v>
      </c>
      <c r="B60" s="105" t="s">
        <v>316</v>
      </c>
      <c r="C60" s="105" t="s">
        <v>319</v>
      </c>
      <c r="D60" s="105" t="s">
        <v>255</v>
      </c>
    </row>
    <row r="61" spans="1:4" x14ac:dyDescent="0.55000000000000004">
      <c r="A61" s="105">
        <v>60</v>
      </c>
      <c r="B61" s="105" t="s">
        <v>320</v>
      </c>
      <c r="C61" s="105" t="s">
        <v>314</v>
      </c>
      <c r="D61" s="105" t="s">
        <v>47</v>
      </c>
    </row>
    <row r="62" spans="1:4" x14ac:dyDescent="0.55000000000000004">
      <c r="A62" s="105">
        <v>61</v>
      </c>
      <c r="B62" s="105" t="s">
        <v>320</v>
      </c>
      <c r="C62" s="105" t="s">
        <v>321</v>
      </c>
      <c r="D62" s="105" t="s">
        <v>255</v>
      </c>
    </row>
    <row r="63" spans="1:4" ht="36" x14ac:dyDescent="0.55000000000000004">
      <c r="A63" s="105">
        <v>62</v>
      </c>
      <c r="B63" s="105" t="s">
        <v>322</v>
      </c>
      <c r="C63" s="105" t="s">
        <v>323</v>
      </c>
      <c r="D63" s="105" t="s">
        <v>251</v>
      </c>
    </row>
    <row r="64" spans="1:4" ht="36" x14ac:dyDescent="0.55000000000000004">
      <c r="A64" s="105">
        <v>63</v>
      </c>
      <c r="B64" s="105" t="s">
        <v>322</v>
      </c>
      <c r="C64" s="105" t="s">
        <v>324</v>
      </c>
      <c r="D64" s="105" t="s">
        <v>251</v>
      </c>
    </row>
    <row r="65" spans="1:4" ht="36" x14ac:dyDescent="0.55000000000000004">
      <c r="A65" s="105">
        <v>64</v>
      </c>
      <c r="B65" s="105" t="s">
        <v>322</v>
      </c>
      <c r="C65" s="105" t="s">
        <v>325</v>
      </c>
      <c r="D65" s="105" t="s">
        <v>251</v>
      </c>
    </row>
    <row r="66" spans="1:4" ht="36" x14ac:dyDescent="0.55000000000000004">
      <c r="A66" s="105">
        <v>65</v>
      </c>
      <c r="B66" s="105" t="s">
        <v>322</v>
      </c>
      <c r="C66" s="105" t="s">
        <v>326</v>
      </c>
      <c r="D66" s="105" t="s">
        <v>251</v>
      </c>
    </row>
    <row r="67" spans="1:4" ht="36" x14ac:dyDescent="0.55000000000000004">
      <c r="A67" s="105">
        <v>66</v>
      </c>
      <c r="B67" s="105" t="s">
        <v>322</v>
      </c>
      <c r="C67" s="105" t="s">
        <v>327</v>
      </c>
      <c r="D67" s="105" t="s">
        <v>255</v>
      </c>
    </row>
    <row r="68" spans="1:4" x14ac:dyDescent="0.55000000000000004">
      <c r="A68" s="105">
        <v>67</v>
      </c>
      <c r="B68" s="105" t="s">
        <v>328</v>
      </c>
      <c r="C68" s="105" t="s">
        <v>329</v>
      </c>
      <c r="D68" s="105" t="s">
        <v>47</v>
      </c>
    </row>
    <row r="69" spans="1:4" x14ac:dyDescent="0.55000000000000004">
      <c r="A69" s="105">
        <v>68</v>
      </c>
      <c r="B69" s="105" t="s">
        <v>328</v>
      </c>
      <c r="C69" s="105" t="s">
        <v>330</v>
      </c>
      <c r="D69" s="105" t="s">
        <v>251</v>
      </c>
    </row>
    <row r="70" spans="1:4" x14ac:dyDescent="0.55000000000000004">
      <c r="A70" s="105">
        <v>69</v>
      </c>
      <c r="B70" s="105" t="s">
        <v>328</v>
      </c>
      <c r="C70" s="105" t="s">
        <v>331</v>
      </c>
      <c r="D70" s="105" t="s">
        <v>255</v>
      </c>
    </row>
    <row r="71" spans="1:4" x14ac:dyDescent="0.55000000000000004">
      <c r="A71" s="105">
        <v>70</v>
      </c>
      <c r="B71" s="105" t="s">
        <v>332</v>
      </c>
      <c r="C71" s="105" t="s">
        <v>333</v>
      </c>
      <c r="D71" s="105" t="s">
        <v>251</v>
      </c>
    </row>
    <row r="72" spans="1:4" x14ac:dyDescent="0.55000000000000004">
      <c r="A72" s="105">
        <v>71</v>
      </c>
      <c r="B72" s="105" t="s">
        <v>332</v>
      </c>
      <c r="C72" s="105" t="s">
        <v>334</v>
      </c>
      <c r="D72" s="105" t="s">
        <v>251</v>
      </c>
    </row>
    <row r="73" spans="1:4" x14ac:dyDescent="0.55000000000000004">
      <c r="A73" s="105">
        <v>72</v>
      </c>
      <c r="B73" s="105" t="s">
        <v>332</v>
      </c>
      <c r="C73" s="105" t="s">
        <v>335</v>
      </c>
      <c r="D73" s="105" t="s">
        <v>251</v>
      </c>
    </row>
    <row r="74" spans="1:4" x14ac:dyDescent="0.55000000000000004">
      <c r="A74" s="105">
        <v>73</v>
      </c>
      <c r="B74" s="105" t="s">
        <v>332</v>
      </c>
      <c r="C74" s="105" t="s">
        <v>336</v>
      </c>
      <c r="D74" s="105" t="s">
        <v>255</v>
      </c>
    </row>
    <row r="75" spans="1:4" x14ac:dyDescent="0.55000000000000004">
      <c r="A75" s="105">
        <v>74</v>
      </c>
      <c r="B75" s="105" t="s">
        <v>332</v>
      </c>
      <c r="C75" s="105" t="s">
        <v>337</v>
      </c>
      <c r="D75" s="105" t="s">
        <v>251</v>
      </c>
    </row>
    <row r="76" spans="1:4" x14ac:dyDescent="0.55000000000000004">
      <c r="A76" s="105">
        <v>75</v>
      </c>
      <c r="B76" s="105" t="s">
        <v>332</v>
      </c>
      <c r="C76" s="105" t="s">
        <v>338</v>
      </c>
      <c r="D76" s="105" t="s">
        <v>251</v>
      </c>
    </row>
    <row r="77" spans="1:4" x14ac:dyDescent="0.55000000000000004">
      <c r="A77" s="105">
        <v>76</v>
      </c>
      <c r="B77" s="105" t="s">
        <v>332</v>
      </c>
      <c r="C77" s="105" t="s">
        <v>339</v>
      </c>
      <c r="D77" s="105" t="s">
        <v>251</v>
      </c>
    </row>
    <row r="78" spans="1:4" x14ac:dyDescent="0.55000000000000004">
      <c r="A78" s="105">
        <v>77</v>
      </c>
      <c r="B78" s="105" t="s">
        <v>340</v>
      </c>
      <c r="C78" s="105" t="s">
        <v>341</v>
      </c>
      <c r="D78" s="105" t="s">
        <v>251</v>
      </c>
    </row>
    <row r="79" spans="1:4" x14ac:dyDescent="0.55000000000000004">
      <c r="A79" s="105">
        <v>78</v>
      </c>
      <c r="B79" s="105" t="s">
        <v>340</v>
      </c>
      <c r="C79" s="105" t="s">
        <v>342</v>
      </c>
      <c r="D79" s="105" t="s">
        <v>251</v>
      </c>
    </row>
    <row r="80" spans="1:4" x14ac:dyDescent="0.55000000000000004">
      <c r="A80" s="105">
        <v>79</v>
      </c>
      <c r="B80" s="105" t="s">
        <v>340</v>
      </c>
      <c r="C80" s="105" t="s">
        <v>343</v>
      </c>
      <c r="D80" s="105" t="s">
        <v>184</v>
      </c>
    </row>
    <row r="81" spans="1:4" x14ac:dyDescent="0.55000000000000004">
      <c r="A81" s="105">
        <v>80</v>
      </c>
      <c r="B81" s="105" t="s">
        <v>340</v>
      </c>
      <c r="C81" s="105" t="s">
        <v>344</v>
      </c>
      <c r="D81" s="105" t="s">
        <v>255</v>
      </c>
    </row>
    <row r="82" spans="1:4" x14ac:dyDescent="0.55000000000000004">
      <c r="A82" s="105">
        <v>81</v>
      </c>
      <c r="B82" s="105" t="s">
        <v>340</v>
      </c>
      <c r="C82" s="105" t="s">
        <v>345</v>
      </c>
      <c r="D82" s="105" t="s">
        <v>255</v>
      </c>
    </row>
    <row r="83" spans="1:4" x14ac:dyDescent="0.55000000000000004">
      <c r="A83" s="105">
        <v>82</v>
      </c>
      <c r="B83" s="105" t="s">
        <v>346</v>
      </c>
      <c r="C83" s="105" t="s">
        <v>347</v>
      </c>
      <c r="D83" s="105" t="s">
        <v>251</v>
      </c>
    </row>
    <row r="84" spans="1:4" x14ac:dyDescent="0.55000000000000004">
      <c r="A84" s="105">
        <v>83</v>
      </c>
      <c r="B84" s="105" t="s">
        <v>346</v>
      </c>
      <c r="C84" s="105" t="s">
        <v>348</v>
      </c>
      <c r="D84" s="105" t="s">
        <v>251</v>
      </c>
    </row>
    <row r="85" spans="1:4" x14ac:dyDescent="0.55000000000000004">
      <c r="A85" s="105">
        <v>84</v>
      </c>
      <c r="B85" s="105" t="s">
        <v>346</v>
      </c>
      <c r="C85" s="105" t="s">
        <v>349</v>
      </c>
      <c r="D85" s="105" t="s">
        <v>47</v>
      </c>
    </row>
    <row r="86" spans="1:4" ht="36" x14ac:dyDescent="0.55000000000000004">
      <c r="A86" s="105">
        <v>85</v>
      </c>
      <c r="B86" s="105" t="s">
        <v>346</v>
      </c>
      <c r="C86" s="105" t="s">
        <v>350</v>
      </c>
      <c r="D86" s="105" t="s">
        <v>251</v>
      </c>
    </row>
    <row r="87" spans="1:4" x14ac:dyDescent="0.55000000000000004">
      <c r="A87" s="105">
        <v>86</v>
      </c>
      <c r="B87" s="105" t="s">
        <v>346</v>
      </c>
      <c r="C87" s="105" t="s">
        <v>351</v>
      </c>
      <c r="D87" s="105" t="s">
        <v>251</v>
      </c>
    </row>
    <row r="88" spans="1:4" x14ac:dyDescent="0.55000000000000004">
      <c r="A88" s="105">
        <v>87</v>
      </c>
      <c r="B88" s="105" t="s">
        <v>346</v>
      </c>
      <c r="C88" s="105" t="s">
        <v>352</v>
      </c>
      <c r="D88" s="105" t="s">
        <v>251</v>
      </c>
    </row>
    <row r="89" spans="1:4" x14ac:dyDescent="0.55000000000000004">
      <c r="A89" s="105">
        <v>88</v>
      </c>
      <c r="B89" s="105" t="s">
        <v>346</v>
      </c>
      <c r="C89" s="105" t="s">
        <v>353</v>
      </c>
      <c r="D89" s="105" t="s">
        <v>251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77"/>
  <sheetViews>
    <sheetView showGridLines="0" topLeftCell="A17" workbookViewId="0">
      <selection activeCell="H44" sqref="H44"/>
    </sheetView>
  </sheetViews>
  <sheetFormatPr defaultColWidth="14.44140625" defaultRowHeight="15" customHeight="1" x14ac:dyDescent="0.3"/>
  <cols>
    <col min="1" max="1" width="10.77734375" customWidth="1"/>
    <col min="2" max="2" width="14.109375" customWidth="1"/>
    <col min="3" max="3" width="38.33203125" customWidth="1"/>
    <col min="4" max="4" width="16.44140625" customWidth="1"/>
    <col min="5" max="6" width="16.6640625" customWidth="1"/>
    <col min="7" max="7" width="16.44140625" customWidth="1"/>
    <col min="8" max="8" width="16.6640625" customWidth="1"/>
    <col min="9" max="9" width="6.44140625" customWidth="1"/>
    <col min="10" max="10" width="22.109375" customWidth="1"/>
    <col min="11" max="11" width="15.77734375" customWidth="1"/>
    <col min="12" max="12" width="16" customWidth="1"/>
    <col min="13" max="13" width="18.44140625" customWidth="1"/>
    <col min="14" max="14" width="17" customWidth="1"/>
    <col min="15" max="17" width="11.77734375" customWidth="1"/>
    <col min="18" max="37" width="11.44140625" customWidth="1"/>
  </cols>
  <sheetData>
    <row r="2" spans="1:14" ht="28.5" customHeight="1" x14ac:dyDescent="0.3">
      <c r="A2" s="239" t="s">
        <v>53</v>
      </c>
      <c r="B2" s="240"/>
      <c r="C2" s="236"/>
      <c r="D2" s="11"/>
      <c r="E2" s="11"/>
      <c r="F2" s="11"/>
      <c r="G2" s="10"/>
      <c r="H2" s="10"/>
      <c r="I2" s="10"/>
      <c r="J2" s="10"/>
      <c r="K2" s="10"/>
      <c r="L2" s="10"/>
      <c r="M2" s="10"/>
      <c r="N2" s="10"/>
    </row>
    <row r="3" spans="1:14" ht="22.5" customHeight="1" x14ac:dyDescent="0.3">
      <c r="A3" s="12" t="s">
        <v>54</v>
      </c>
      <c r="B3" s="12" t="s">
        <v>55</v>
      </c>
      <c r="C3" s="12" t="s">
        <v>42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0"/>
      <c r="J3" s="10"/>
      <c r="K3" s="10"/>
      <c r="L3" s="10"/>
      <c r="M3" s="10"/>
      <c r="N3" s="10"/>
    </row>
    <row r="4" spans="1:14" ht="14.4" x14ac:dyDescent="0.3">
      <c r="A4" s="13">
        <v>1</v>
      </c>
      <c r="B4" s="14" t="s">
        <v>61</v>
      </c>
      <c r="C4" s="14" t="s">
        <v>62</v>
      </c>
      <c r="D4" s="15"/>
      <c r="E4" s="16"/>
      <c r="F4" s="15"/>
      <c r="G4" s="17"/>
      <c r="H4" s="10"/>
      <c r="I4" s="10"/>
      <c r="J4" s="10"/>
      <c r="K4" s="10"/>
      <c r="L4" s="10"/>
      <c r="M4" s="10"/>
      <c r="N4" s="10"/>
    </row>
    <row r="5" spans="1:14" ht="14.4" x14ac:dyDescent="0.3">
      <c r="A5" s="13">
        <v>2</v>
      </c>
      <c r="B5" s="14" t="s">
        <v>63</v>
      </c>
      <c r="C5" s="14" t="s">
        <v>64</v>
      </c>
      <c r="D5" s="15"/>
      <c r="E5" s="16"/>
      <c r="F5" s="15"/>
      <c r="G5" s="17"/>
      <c r="H5" s="10"/>
      <c r="I5" s="10"/>
      <c r="J5" s="10"/>
      <c r="K5" s="10"/>
      <c r="L5" s="10"/>
      <c r="M5" s="10"/>
      <c r="N5" s="10"/>
    </row>
    <row r="6" spans="1:14" ht="14.4" x14ac:dyDescent="0.3">
      <c r="A6" s="13">
        <v>3</v>
      </c>
      <c r="B6" s="14" t="s">
        <v>65</v>
      </c>
      <c r="C6" s="14" t="s">
        <v>66</v>
      </c>
      <c r="D6" s="15"/>
      <c r="E6" s="16"/>
      <c r="F6" s="15"/>
      <c r="G6" s="18"/>
      <c r="H6" s="10"/>
      <c r="I6" s="10"/>
      <c r="J6" s="10"/>
      <c r="K6" s="10"/>
      <c r="L6" s="10"/>
      <c r="M6" s="10"/>
      <c r="N6" s="10"/>
    </row>
    <row r="7" spans="1:14" ht="14.4" x14ac:dyDescent="0.3">
      <c r="A7" s="13">
        <v>4</v>
      </c>
      <c r="B7" s="14" t="s">
        <v>67</v>
      </c>
      <c r="C7" s="14" t="s">
        <v>68</v>
      </c>
      <c r="D7" s="15"/>
      <c r="E7" s="16"/>
      <c r="F7" s="15"/>
      <c r="G7" s="19"/>
      <c r="H7" s="10"/>
      <c r="I7" s="10"/>
      <c r="J7" s="10"/>
      <c r="K7" s="10"/>
      <c r="L7" s="10"/>
      <c r="M7" s="10"/>
      <c r="N7" s="10"/>
    </row>
    <row r="8" spans="1:14" ht="14.4" x14ac:dyDescent="0.3">
      <c r="A8" s="13">
        <v>5</v>
      </c>
      <c r="B8" s="14" t="s">
        <v>69</v>
      </c>
      <c r="C8" s="14" t="s">
        <v>70</v>
      </c>
      <c r="D8" s="15"/>
      <c r="E8" s="16"/>
      <c r="F8" s="15"/>
      <c r="G8" s="18"/>
      <c r="H8" s="10"/>
      <c r="I8" s="10"/>
      <c r="J8" s="10"/>
      <c r="K8" s="10"/>
      <c r="L8" s="10"/>
      <c r="M8" s="10"/>
      <c r="N8" s="10"/>
    </row>
    <row r="9" spans="1:14" ht="14.4" x14ac:dyDescent="0.3">
      <c r="A9" s="20"/>
      <c r="B9" s="15"/>
      <c r="C9" s="15"/>
      <c r="D9" s="15"/>
      <c r="E9" s="21"/>
      <c r="F9" s="21"/>
      <c r="G9" s="17"/>
      <c r="H9" s="15"/>
      <c r="I9" s="10"/>
      <c r="J9" s="10"/>
      <c r="K9" s="10"/>
      <c r="L9" s="10"/>
      <c r="M9" s="10"/>
      <c r="N9" s="10"/>
    </row>
    <row r="10" spans="1:14" ht="27" customHeight="1" x14ac:dyDescent="0.3">
      <c r="A10" s="241" t="s">
        <v>71</v>
      </c>
      <c r="B10" s="242"/>
      <c r="C10" s="242"/>
      <c r="D10" s="242"/>
      <c r="E10" s="242"/>
      <c r="F10" s="242"/>
      <c r="G10" s="242"/>
      <c r="H10" s="243"/>
      <c r="I10" s="10"/>
      <c r="J10" s="244" t="s">
        <v>72</v>
      </c>
      <c r="K10" s="240"/>
      <c r="L10" s="240"/>
      <c r="M10" s="240"/>
      <c r="N10" s="236"/>
    </row>
    <row r="11" spans="1:14" ht="21.75" customHeight="1" x14ac:dyDescent="0.3">
      <c r="A11" s="245" t="s">
        <v>54</v>
      </c>
      <c r="B11" s="246" t="s">
        <v>55</v>
      </c>
      <c r="C11" s="247" t="s">
        <v>73</v>
      </c>
      <c r="D11" s="240"/>
      <c r="E11" s="240"/>
      <c r="F11" s="240"/>
      <c r="G11" s="240"/>
      <c r="H11" s="248"/>
      <c r="I11" s="10"/>
      <c r="J11" s="237" t="s">
        <v>74</v>
      </c>
      <c r="K11" s="237" t="s">
        <v>75</v>
      </c>
      <c r="L11" s="237" t="s">
        <v>76</v>
      </c>
      <c r="M11" s="237" t="s">
        <v>77</v>
      </c>
      <c r="N11" s="237" t="s">
        <v>78</v>
      </c>
    </row>
    <row r="12" spans="1:14" ht="41.4" x14ac:dyDescent="0.3">
      <c r="A12" s="238"/>
      <c r="B12" s="238"/>
      <c r="C12" s="22" t="s">
        <v>79</v>
      </c>
      <c r="D12" s="23" t="s">
        <v>80</v>
      </c>
      <c r="E12" s="23" t="s">
        <v>81</v>
      </c>
      <c r="F12" s="23" t="s">
        <v>82</v>
      </c>
      <c r="G12" s="23" t="s">
        <v>83</v>
      </c>
      <c r="H12" s="24" t="s">
        <v>84</v>
      </c>
      <c r="I12" s="10"/>
      <c r="J12" s="238"/>
      <c r="K12" s="238"/>
      <c r="L12" s="238"/>
      <c r="M12" s="238"/>
      <c r="N12" s="238"/>
    </row>
    <row r="13" spans="1:14" ht="82.8" x14ac:dyDescent="0.3">
      <c r="A13" s="13">
        <v>1</v>
      </c>
      <c r="B13" s="14" t="s">
        <v>61</v>
      </c>
      <c r="C13" s="14" t="s">
        <v>85</v>
      </c>
      <c r="D13" s="25" t="s">
        <v>86</v>
      </c>
      <c r="E13" s="25" t="s">
        <v>86</v>
      </c>
      <c r="F13" s="25" t="s">
        <v>86</v>
      </c>
      <c r="G13" s="25" t="s">
        <v>87</v>
      </c>
      <c r="H13" s="26" t="s">
        <v>88</v>
      </c>
      <c r="I13" s="10"/>
      <c r="J13" s="27" t="s">
        <v>86</v>
      </c>
      <c r="K13" s="28" t="s">
        <v>86</v>
      </c>
      <c r="L13" s="28" t="s">
        <v>86</v>
      </c>
      <c r="M13" s="28" t="s">
        <v>86</v>
      </c>
      <c r="N13" s="28" t="s">
        <v>86</v>
      </c>
    </row>
    <row r="14" spans="1:14" ht="151.80000000000001" x14ac:dyDescent="0.3">
      <c r="A14" s="13">
        <v>2</v>
      </c>
      <c r="B14" s="14" t="s">
        <v>63</v>
      </c>
      <c r="C14" s="14" t="s">
        <v>89</v>
      </c>
      <c r="D14" s="25" t="s">
        <v>90</v>
      </c>
      <c r="E14" s="25" t="s">
        <v>91</v>
      </c>
      <c r="F14" s="25" t="s">
        <v>92</v>
      </c>
      <c r="G14" s="25" t="s">
        <v>93</v>
      </c>
      <c r="H14" s="26" t="s">
        <v>94</v>
      </c>
      <c r="I14" s="10"/>
      <c r="J14" s="29" t="s">
        <v>95</v>
      </c>
      <c r="K14" s="30" t="s">
        <v>96</v>
      </c>
      <c r="L14" s="30" t="s">
        <v>97</v>
      </c>
      <c r="M14" s="30" t="s">
        <v>98</v>
      </c>
      <c r="N14" s="30" t="s">
        <v>99</v>
      </c>
    </row>
    <row r="15" spans="1:14" ht="138" x14ac:dyDescent="0.3">
      <c r="A15" s="13">
        <v>3</v>
      </c>
      <c r="B15" s="14" t="s">
        <v>65</v>
      </c>
      <c r="C15" s="14" t="s">
        <v>100</v>
      </c>
      <c r="D15" s="25" t="s">
        <v>101</v>
      </c>
      <c r="E15" s="25" t="s">
        <v>102</v>
      </c>
      <c r="F15" s="25" t="s">
        <v>103</v>
      </c>
      <c r="G15" s="25" t="s">
        <v>104</v>
      </c>
      <c r="H15" s="26" t="s">
        <v>105</v>
      </c>
      <c r="I15" s="10"/>
      <c r="J15" s="29" t="s">
        <v>106</v>
      </c>
      <c r="K15" s="30" t="s">
        <v>107</v>
      </c>
      <c r="L15" s="30" t="s">
        <v>108</v>
      </c>
      <c r="M15" s="30" t="s">
        <v>109</v>
      </c>
      <c r="N15" s="30" t="s">
        <v>110</v>
      </c>
    </row>
    <row r="16" spans="1:14" ht="138" x14ac:dyDescent="0.3">
      <c r="A16" s="13">
        <v>4</v>
      </c>
      <c r="B16" s="14" t="s">
        <v>67</v>
      </c>
      <c r="C16" s="14" t="s">
        <v>111</v>
      </c>
      <c r="D16" s="25" t="s">
        <v>112</v>
      </c>
      <c r="E16" s="25" t="s">
        <v>113</v>
      </c>
      <c r="F16" s="25" t="s">
        <v>114</v>
      </c>
      <c r="G16" s="25" t="s">
        <v>115</v>
      </c>
      <c r="H16" s="26" t="s">
        <v>116</v>
      </c>
      <c r="I16" s="10"/>
      <c r="J16" s="29" t="s">
        <v>117</v>
      </c>
      <c r="K16" s="30" t="s">
        <v>118</v>
      </c>
      <c r="L16" s="30" t="s">
        <v>119</v>
      </c>
      <c r="M16" s="30" t="s">
        <v>120</v>
      </c>
      <c r="N16" s="30" t="s">
        <v>121</v>
      </c>
    </row>
    <row r="17" spans="1:17" ht="124.2" x14ac:dyDescent="0.3">
      <c r="A17" s="13">
        <v>5</v>
      </c>
      <c r="B17" s="14" t="s">
        <v>69</v>
      </c>
      <c r="C17" s="14" t="s">
        <v>122</v>
      </c>
      <c r="D17" s="25" t="s">
        <v>123</v>
      </c>
      <c r="E17" s="25" t="s">
        <v>124</v>
      </c>
      <c r="F17" s="25" t="s">
        <v>125</v>
      </c>
      <c r="G17" s="25" t="s">
        <v>126</v>
      </c>
      <c r="H17" s="26" t="s">
        <v>127</v>
      </c>
      <c r="I17" s="10"/>
      <c r="J17" s="29" t="s">
        <v>128</v>
      </c>
      <c r="K17" s="30" t="s">
        <v>129</v>
      </c>
      <c r="L17" s="30" t="s">
        <v>130</v>
      </c>
      <c r="M17" s="30" t="s">
        <v>131</v>
      </c>
      <c r="N17" s="30" t="s">
        <v>132</v>
      </c>
      <c r="O17" s="10"/>
      <c r="P17" s="10"/>
      <c r="Q17" s="10"/>
    </row>
    <row r="18" spans="1:17" ht="14.4" x14ac:dyDescent="0.3">
      <c r="B18" s="21"/>
      <c r="C18" s="15"/>
      <c r="D18" s="15"/>
      <c r="E18" s="15"/>
      <c r="F18" s="15"/>
      <c r="G18" s="15"/>
      <c r="H18" s="15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4.4" x14ac:dyDescent="0.3">
      <c r="B19" s="21"/>
      <c r="C19" s="15"/>
      <c r="D19" s="15"/>
      <c r="E19" s="15"/>
      <c r="F19" s="15"/>
      <c r="G19" s="15"/>
      <c r="H19" s="15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4.4" x14ac:dyDescent="0.3">
      <c r="B20" s="21"/>
      <c r="C20" s="15"/>
      <c r="D20" s="15"/>
      <c r="E20" s="15"/>
      <c r="F20" s="15"/>
      <c r="G20" s="15"/>
      <c r="H20" s="15"/>
      <c r="I20" s="10"/>
      <c r="J20" s="10"/>
      <c r="K20" s="10"/>
      <c r="L20" s="10"/>
      <c r="M20" s="10"/>
      <c r="N20" s="10"/>
      <c r="O20" s="10"/>
      <c r="P20" s="10"/>
      <c r="Q20" s="10"/>
    </row>
    <row r="21" spans="1:17" ht="15.75" customHeight="1" x14ac:dyDescent="0.3">
      <c r="A21" s="21"/>
      <c r="B21" s="20"/>
      <c r="C21" s="15"/>
      <c r="D21" s="15"/>
      <c r="E21" s="15"/>
      <c r="F21" s="21"/>
      <c r="G21" s="21"/>
      <c r="H21" s="15"/>
      <c r="I21" s="15"/>
      <c r="J21" s="10"/>
      <c r="K21" s="10"/>
      <c r="L21" s="10"/>
      <c r="M21" s="10"/>
      <c r="N21" s="10"/>
      <c r="O21" s="10"/>
      <c r="P21" s="10"/>
      <c r="Q21" s="10"/>
    </row>
    <row r="22" spans="1:17" ht="15.75" customHeight="1" x14ac:dyDescent="0.3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21" customHeight="1" x14ac:dyDescent="0.3">
      <c r="A23" s="220" t="s">
        <v>133</v>
      </c>
      <c r="B23" s="221"/>
      <c r="C23" s="222"/>
      <c r="D23" s="229" t="s">
        <v>134</v>
      </c>
      <c r="E23" s="230"/>
      <c r="F23" s="230"/>
      <c r="G23" s="230"/>
      <c r="H23" s="231"/>
      <c r="I23" s="10"/>
      <c r="J23" s="220" t="s">
        <v>135</v>
      </c>
      <c r="K23" s="221"/>
      <c r="L23" s="222"/>
      <c r="M23" s="229" t="s">
        <v>134</v>
      </c>
      <c r="N23" s="230"/>
      <c r="O23" s="230"/>
      <c r="P23" s="230"/>
      <c r="Q23" s="231"/>
    </row>
    <row r="24" spans="1:17" ht="18.75" customHeight="1" x14ac:dyDescent="0.3">
      <c r="A24" s="223"/>
      <c r="B24" s="224"/>
      <c r="C24" s="225"/>
      <c r="D24" s="31">
        <v>1</v>
      </c>
      <c r="E24" s="31">
        <v>2</v>
      </c>
      <c r="F24" s="31">
        <v>3</v>
      </c>
      <c r="G24" s="31">
        <v>4</v>
      </c>
      <c r="H24" s="31">
        <v>5</v>
      </c>
      <c r="I24" s="10"/>
      <c r="J24" s="223"/>
      <c r="K24" s="224"/>
      <c r="L24" s="225"/>
      <c r="M24" s="31">
        <v>1</v>
      </c>
      <c r="N24" s="31">
        <v>2</v>
      </c>
      <c r="O24" s="31">
        <v>3</v>
      </c>
      <c r="P24" s="31">
        <v>4</v>
      </c>
      <c r="Q24" s="31">
        <v>5</v>
      </c>
    </row>
    <row r="25" spans="1:17" ht="35.25" customHeight="1" x14ac:dyDescent="0.3">
      <c r="A25" s="226"/>
      <c r="B25" s="227"/>
      <c r="C25" s="228"/>
      <c r="D25" s="32" t="s">
        <v>61</v>
      </c>
      <c r="E25" s="32" t="s">
        <v>63</v>
      </c>
      <c r="F25" s="32" t="s">
        <v>65</v>
      </c>
      <c r="G25" s="32" t="s">
        <v>67</v>
      </c>
      <c r="H25" s="32" t="s">
        <v>69</v>
      </c>
      <c r="I25" s="10"/>
      <c r="J25" s="226"/>
      <c r="K25" s="227"/>
      <c r="L25" s="228"/>
      <c r="M25" s="33" t="s">
        <v>61</v>
      </c>
      <c r="N25" s="33" t="s">
        <v>63</v>
      </c>
      <c r="O25" s="33" t="s">
        <v>65</v>
      </c>
      <c r="P25" s="33" t="s">
        <v>67</v>
      </c>
      <c r="Q25" s="33" t="s">
        <v>69</v>
      </c>
    </row>
    <row r="26" spans="1:17" ht="31.5" customHeight="1" x14ac:dyDescent="0.3">
      <c r="A26" s="232" t="s">
        <v>136</v>
      </c>
      <c r="B26" s="34">
        <v>5</v>
      </c>
      <c r="C26" s="35" t="s">
        <v>137</v>
      </c>
      <c r="D26" s="36">
        <v>5</v>
      </c>
      <c r="E26" s="37">
        <v>10</v>
      </c>
      <c r="F26" s="38">
        <v>15</v>
      </c>
      <c r="G26" s="39">
        <v>20</v>
      </c>
      <c r="H26" s="39">
        <v>25</v>
      </c>
      <c r="I26" s="10"/>
      <c r="J26" s="232" t="s">
        <v>136</v>
      </c>
      <c r="K26" s="34">
        <v>5</v>
      </c>
      <c r="L26" s="35" t="s">
        <v>69</v>
      </c>
      <c r="M26" s="40" t="s">
        <v>63</v>
      </c>
      <c r="N26" s="41" t="s">
        <v>138</v>
      </c>
      <c r="O26" s="42" t="s">
        <v>67</v>
      </c>
      <c r="P26" s="43" t="s">
        <v>69</v>
      </c>
      <c r="Q26" s="43" t="s">
        <v>69</v>
      </c>
    </row>
    <row r="27" spans="1:17" ht="31.5" customHeight="1" x14ac:dyDescent="0.3">
      <c r="A27" s="233"/>
      <c r="B27" s="34">
        <v>4</v>
      </c>
      <c r="C27" s="35" t="s">
        <v>67</v>
      </c>
      <c r="D27" s="36">
        <v>4</v>
      </c>
      <c r="E27" s="36">
        <v>8</v>
      </c>
      <c r="F27" s="37">
        <v>12</v>
      </c>
      <c r="G27" s="38">
        <v>16</v>
      </c>
      <c r="H27" s="39">
        <v>20</v>
      </c>
      <c r="I27" s="44"/>
      <c r="J27" s="233"/>
      <c r="K27" s="34">
        <v>4</v>
      </c>
      <c r="L27" s="35" t="s">
        <v>67</v>
      </c>
      <c r="M27" s="40" t="s">
        <v>63</v>
      </c>
      <c r="N27" s="40" t="s">
        <v>63</v>
      </c>
      <c r="O27" s="41" t="s">
        <v>138</v>
      </c>
      <c r="P27" s="42" t="s">
        <v>67</v>
      </c>
      <c r="Q27" s="43" t="s">
        <v>69</v>
      </c>
    </row>
    <row r="28" spans="1:17" ht="31.5" customHeight="1" x14ac:dyDescent="0.3">
      <c r="A28" s="233"/>
      <c r="B28" s="34">
        <v>3</v>
      </c>
      <c r="C28" s="35" t="s">
        <v>65</v>
      </c>
      <c r="D28" s="45">
        <v>3</v>
      </c>
      <c r="E28" s="36">
        <v>6</v>
      </c>
      <c r="F28" s="36">
        <v>9</v>
      </c>
      <c r="G28" s="37">
        <v>12</v>
      </c>
      <c r="H28" s="38">
        <v>15</v>
      </c>
      <c r="I28" s="44"/>
      <c r="J28" s="233"/>
      <c r="K28" s="34">
        <v>3</v>
      </c>
      <c r="L28" s="35" t="s">
        <v>138</v>
      </c>
      <c r="M28" s="46" t="s">
        <v>61</v>
      </c>
      <c r="N28" s="40" t="s">
        <v>63</v>
      </c>
      <c r="O28" s="40" t="s">
        <v>63</v>
      </c>
      <c r="P28" s="41" t="s">
        <v>138</v>
      </c>
      <c r="Q28" s="42" t="s">
        <v>67</v>
      </c>
    </row>
    <row r="29" spans="1:17" ht="31.5" customHeight="1" x14ac:dyDescent="0.3">
      <c r="A29" s="233"/>
      <c r="B29" s="34">
        <v>2</v>
      </c>
      <c r="C29" s="35" t="s">
        <v>63</v>
      </c>
      <c r="D29" s="45">
        <v>2</v>
      </c>
      <c r="E29" s="45">
        <v>4</v>
      </c>
      <c r="F29" s="36">
        <v>6</v>
      </c>
      <c r="G29" s="36">
        <v>8</v>
      </c>
      <c r="H29" s="37">
        <v>10</v>
      </c>
      <c r="I29" s="44"/>
      <c r="J29" s="233"/>
      <c r="K29" s="34">
        <v>2</v>
      </c>
      <c r="L29" s="35" t="s">
        <v>63</v>
      </c>
      <c r="M29" s="46" t="s">
        <v>61</v>
      </c>
      <c r="N29" s="46" t="s">
        <v>61</v>
      </c>
      <c r="O29" s="40" t="s">
        <v>63</v>
      </c>
      <c r="P29" s="40" t="s">
        <v>63</v>
      </c>
      <c r="Q29" s="41" t="s">
        <v>138</v>
      </c>
    </row>
    <row r="30" spans="1:17" ht="31.5" customHeight="1" x14ac:dyDescent="0.3">
      <c r="A30" s="234"/>
      <c r="B30" s="34">
        <v>1</v>
      </c>
      <c r="C30" s="35" t="s">
        <v>61</v>
      </c>
      <c r="D30" s="45">
        <v>1</v>
      </c>
      <c r="E30" s="45">
        <v>2</v>
      </c>
      <c r="F30" s="45">
        <v>3</v>
      </c>
      <c r="G30" s="36">
        <v>4</v>
      </c>
      <c r="H30" s="36">
        <v>5</v>
      </c>
      <c r="I30" s="44"/>
      <c r="J30" s="234"/>
      <c r="K30" s="34">
        <v>1</v>
      </c>
      <c r="L30" s="35" t="s">
        <v>61</v>
      </c>
      <c r="M30" s="46" t="s">
        <v>61</v>
      </c>
      <c r="N30" s="46" t="s">
        <v>61</v>
      </c>
      <c r="O30" s="46" t="s">
        <v>61</v>
      </c>
      <c r="P30" s="40" t="s">
        <v>63</v>
      </c>
      <c r="Q30" s="40" t="s">
        <v>63</v>
      </c>
    </row>
    <row r="33" spans="1:8" ht="15.75" hidden="1" customHeight="1" x14ac:dyDescent="0.3">
      <c r="A33" s="220" t="s">
        <v>139</v>
      </c>
      <c r="B33" s="221"/>
      <c r="C33" s="222"/>
      <c r="D33" s="229" t="s">
        <v>134</v>
      </c>
      <c r="E33" s="230"/>
      <c r="F33" s="230"/>
      <c r="G33" s="230"/>
      <c r="H33" s="231"/>
    </row>
    <row r="34" spans="1:8" ht="15.75" hidden="1" customHeight="1" x14ac:dyDescent="0.3">
      <c r="A34" s="223"/>
      <c r="B34" s="224"/>
      <c r="C34" s="225"/>
      <c r="D34" s="31">
        <v>1</v>
      </c>
      <c r="E34" s="31">
        <v>2</v>
      </c>
      <c r="F34" s="31">
        <v>3</v>
      </c>
      <c r="G34" s="31">
        <v>4</v>
      </c>
      <c r="H34" s="31">
        <v>5</v>
      </c>
    </row>
    <row r="35" spans="1:8" ht="15.75" hidden="1" customHeight="1" x14ac:dyDescent="0.3">
      <c r="A35" s="226"/>
      <c r="B35" s="227"/>
      <c r="C35" s="228"/>
      <c r="D35" s="32" t="s">
        <v>61</v>
      </c>
      <c r="E35" s="32" t="s">
        <v>140</v>
      </c>
      <c r="F35" s="32" t="s">
        <v>141</v>
      </c>
      <c r="G35" s="32" t="s">
        <v>69</v>
      </c>
      <c r="H35" s="32" t="s">
        <v>142</v>
      </c>
    </row>
    <row r="36" spans="1:8" ht="15.75" hidden="1" customHeight="1" x14ac:dyDescent="0.3">
      <c r="A36" s="232" t="s">
        <v>136</v>
      </c>
      <c r="B36" s="34">
        <v>5</v>
      </c>
      <c r="C36" s="35" t="s">
        <v>142</v>
      </c>
      <c r="D36" s="36">
        <f>B36*D34</f>
        <v>5</v>
      </c>
      <c r="E36" s="37">
        <f t="shared" ref="E36:E40" si="0">B36*$E$24</f>
        <v>10</v>
      </c>
      <c r="F36" s="47">
        <f t="shared" ref="F36:F40" si="1">B36*$F$24</f>
        <v>15</v>
      </c>
      <c r="G36" s="39">
        <f t="shared" ref="G36:G40" si="2">B36*$G$24</f>
        <v>20</v>
      </c>
      <c r="H36" s="39">
        <f t="shared" ref="H36:H40" si="3">B36*$H$24</f>
        <v>25</v>
      </c>
    </row>
    <row r="37" spans="1:8" ht="15.75" hidden="1" customHeight="1" x14ac:dyDescent="0.3">
      <c r="A37" s="233"/>
      <c r="B37" s="34">
        <v>4</v>
      </c>
      <c r="C37" s="35" t="s">
        <v>69</v>
      </c>
      <c r="D37" s="45">
        <f t="shared" ref="D37:D40" si="4">B37*$D$24</f>
        <v>4</v>
      </c>
      <c r="E37" s="36">
        <f t="shared" si="0"/>
        <v>8</v>
      </c>
      <c r="F37" s="37">
        <f t="shared" si="1"/>
        <v>12</v>
      </c>
      <c r="G37" s="47">
        <f t="shared" si="2"/>
        <v>16</v>
      </c>
      <c r="H37" s="39">
        <f t="shared" si="3"/>
        <v>20</v>
      </c>
    </row>
    <row r="38" spans="1:8" ht="15.75" hidden="1" customHeight="1" x14ac:dyDescent="0.3">
      <c r="A38" s="233"/>
      <c r="B38" s="34">
        <v>3</v>
      </c>
      <c r="C38" s="35" t="s">
        <v>65</v>
      </c>
      <c r="D38" s="45">
        <f t="shared" si="4"/>
        <v>3</v>
      </c>
      <c r="E38" s="36">
        <f t="shared" si="0"/>
        <v>6</v>
      </c>
      <c r="F38" s="37">
        <f t="shared" si="1"/>
        <v>9</v>
      </c>
      <c r="G38" s="47">
        <f t="shared" si="2"/>
        <v>12</v>
      </c>
      <c r="H38" s="47">
        <f t="shared" si="3"/>
        <v>15</v>
      </c>
    </row>
    <row r="39" spans="1:8" ht="15.75" hidden="1" customHeight="1" x14ac:dyDescent="0.3">
      <c r="A39" s="233"/>
      <c r="B39" s="34">
        <v>2</v>
      </c>
      <c r="C39" s="35" t="s">
        <v>140</v>
      </c>
      <c r="D39" s="45">
        <f t="shared" si="4"/>
        <v>2</v>
      </c>
      <c r="E39" s="36">
        <f t="shared" si="0"/>
        <v>4</v>
      </c>
      <c r="F39" s="36">
        <f t="shared" si="1"/>
        <v>6</v>
      </c>
      <c r="G39" s="37">
        <f t="shared" si="2"/>
        <v>8</v>
      </c>
      <c r="H39" s="47">
        <f t="shared" si="3"/>
        <v>10</v>
      </c>
    </row>
    <row r="40" spans="1:8" ht="15.75" hidden="1" customHeight="1" x14ac:dyDescent="0.3">
      <c r="A40" s="234"/>
      <c r="B40" s="34">
        <v>1</v>
      </c>
      <c r="C40" s="35" t="s">
        <v>61</v>
      </c>
      <c r="D40" s="45">
        <f t="shared" si="4"/>
        <v>1</v>
      </c>
      <c r="E40" s="48">
        <f t="shared" si="0"/>
        <v>2</v>
      </c>
      <c r="F40" s="36">
        <f t="shared" si="1"/>
        <v>3</v>
      </c>
      <c r="G40" s="37">
        <f t="shared" si="2"/>
        <v>4</v>
      </c>
      <c r="H40" s="37">
        <f t="shared" si="3"/>
        <v>5</v>
      </c>
    </row>
    <row r="41" spans="1:8" ht="15.75" customHeight="1" x14ac:dyDescent="0.3"/>
    <row r="42" spans="1:8" ht="15.75" customHeight="1" x14ac:dyDescent="0.3"/>
    <row r="43" spans="1:8" ht="15.75" customHeight="1" x14ac:dyDescent="0.35">
      <c r="A43" s="49"/>
      <c r="C43" s="49" t="s">
        <v>143</v>
      </c>
      <c r="D43" s="50"/>
      <c r="E43" s="10"/>
      <c r="F43" s="50"/>
      <c r="G43" s="10"/>
      <c r="H43" s="10"/>
    </row>
    <row r="44" spans="1:8" ht="15.75" customHeight="1" x14ac:dyDescent="0.3">
      <c r="C44" s="50"/>
      <c r="D44" s="50"/>
      <c r="E44" s="10"/>
      <c r="F44" s="10"/>
      <c r="G44" s="10"/>
      <c r="H44" s="10"/>
    </row>
    <row r="45" spans="1:8" ht="27" customHeight="1" x14ac:dyDescent="0.3">
      <c r="A45" s="51"/>
      <c r="C45" s="52" t="s">
        <v>144</v>
      </c>
      <c r="D45" s="53" t="s">
        <v>145</v>
      </c>
      <c r="E45" s="20"/>
      <c r="F45" s="21"/>
      <c r="G45" s="21"/>
      <c r="H45" s="20"/>
    </row>
    <row r="46" spans="1:8" ht="18.75" customHeight="1" x14ac:dyDescent="0.3">
      <c r="A46" s="51"/>
      <c r="C46" s="54" t="s">
        <v>146</v>
      </c>
      <c r="D46" s="55" t="s">
        <v>147</v>
      </c>
      <c r="E46" s="10"/>
      <c r="F46" s="21"/>
      <c r="G46" s="21"/>
      <c r="H46" s="56"/>
    </row>
    <row r="47" spans="1:8" ht="18.75" customHeight="1" x14ac:dyDescent="0.3">
      <c r="A47" s="51"/>
      <c r="C47" s="57" t="s">
        <v>148</v>
      </c>
      <c r="D47" s="55" t="s">
        <v>149</v>
      </c>
      <c r="E47" s="10"/>
      <c r="F47" s="21"/>
      <c r="G47" s="21"/>
      <c r="H47" s="56"/>
    </row>
    <row r="48" spans="1:8" ht="18.75" customHeight="1" x14ac:dyDescent="0.3">
      <c r="A48" s="51"/>
      <c r="C48" s="58" t="s">
        <v>150</v>
      </c>
      <c r="D48" s="55" t="s">
        <v>151</v>
      </c>
      <c r="E48" s="10"/>
      <c r="F48" s="10"/>
      <c r="G48" s="10"/>
      <c r="H48" s="56"/>
    </row>
    <row r="49" spans="3:5" ht="18.75" customHeight="1" x14ac:dyDescent="0.3">
      <c r="C49" s="59" t="s">
        <v>152</v>
      </c>
      <c r="D49" s="55" t="s">
        <v>153</v>
      </c>
      <c r="E49" s="10"/>
    </row>
    <row r="50" spans="3:5" ht="18.75" customHeight="1" x14ac:dyDescent="0.3">
      <c r="C50" s="60" t="s">
        <v>154</v>
      </c>
      <c r="D50" s="55" t="s">
        <v>155</v>
      </c>
      <c r="E50" s="10"/>
    </row>
    <row r="51" spans="3:5" ht="18.75" customHeight="1" x14ac:dyDescent="0.3">
      <c r="C51" s="61" t="s">
        <v>156</v>
      </c>
      <c r="D51" s="21"/>
      <c r="E51" s="62"/>
    </row>
    <row r="52" spans="3:5" ht="18.75" customHeight="1" x14ac:dyDescent="0.3">
      <c r="C52" s="63" t="s">
        <v>157</v>
      </c>
      <c r="D52" s="235" t="s">
        <v>158</v>
      </c>
      <c r="E52" s="236"/>
    </row>
    <row r="53" spans="3:5" ht="18.75" customHeight="1" x14ac:dyDescent="0.3">
      <c r="C53" s="64" t="s">
        <v>159</v>
      </c>
      <c r="D53" s="65">
        <v>1</v>
      </c>
      <c r="E53" s="54" t="s">
        <v>50</v>
      </c>
    </row>
    <row r="54" spans="3:5" ht="18.75" customHeight="1" x14ac:dyDescent="0.3">
      <c r="C54" s="64" t="s">
        <v>160</v>
      </c>
      <c r="D54" s="66">
        <v>2</v>
      </c>
      <c r="E54" s="54" t="s">
        <v>50</v>
      </c>
    </row>
    <row r="55" spans="3:5" ht="18.75" customHeight="1" x14ac:dyDescent="0.3">
      <c r="C55" s="67" t="s">
        <v>161</v>
      </c>
      <c r="D55" s="66">
        <v>3</v>
      </c>
      <c r="E55" s="54" t="s">
        <v>50</v>
      </c>
    </row>
    <row r="56" spans="3:5" ht="18.75" customHeight="1" x14ac:dyDescent="0.3">
      <c r="C56" s="64" t="s">
        <v>162</v>
      </c>
      <c r="D56" s="66">
        <v>2</v>
      </c>
      <c r="E56" s="54" t="s">
        <v>50</v>
      </c>
    </row>
    <row r="57" spans="3:5" ht="18.75" customHeight="1" x14ac:dyDescent="0.3">
      <c r="C57" s="64" t="s">
        <v>163</v>
      </c>
      <c r="D57" s="66">
        <v>4</v>
      </c>
      <c r="E57" s="54" t="s">
        <v>50</v>
      </c>
    </row>
    <row r="58" spans="3:5" ht="18.75" customHeight="1" x14ac:dyDescent="0.3">
      <c r="C58" s="67" t="s">
        <v>164</v>
      </c>
      <c r="D58" s="66">
        <v>3</v>
      </c>
      <c r="E58" s="54" t="s">
        <v>50</v>
      </c>
    </row>
    <row r="59" spans="3:5" ht="18.75" customHeight="1" x14ac:dyDescent="0.3">
      <c r="C59" s="68" t="s">
        <v>165</v>
      </c>
      <c r="D59" s="66">
        <v>4</v>
      </c>
      <c r="E59" s="57" t="s">
        <v>46</v>
      </c>
    </row>
    <row r="60" spans="3:5" ht="18.75" customHeight="1" x14ac:dyDescent="0.3">
      <c r="C60" s="68" t="s">
        <v>166</v>
      </c>
      <c r="D60" s="66">
        <v>5</v>
      </c>
      <c r="E60" s="57" t="s">
        <v>46</v>
      </c>
    </row>
    <row r="61" spans="3:5" ht="18.75" customHeight="1" x14ac:dyDescent="0.3">
      <c r="C61" s="68" t="s">
        <v>167</v>
      </c>
      <c r="D61" s="66">
        <v>6</v>
      </c>
      <c r="E61" s="57" t="s">
        <v>46</v>
      </c>
    </row>
    <row r="62" spans="3:5" ht="18.75" customHeight="1" x14ac:dyDescent="0.3">
      <c r="C62" s="68" t="s">
        <v>168</v>
      </c>
      <c r="D62" s="66">
        <v>8</v>
      </c>
      <c r="E62" s="57" t="s">
        <v>46</v>
      </c>
    </row>
    <row r="63" spans="3:5" ht="18.75" customHeight="1" x14ac:dyDescent="0.3">
      <c r="C63" s="68" t="s">
        <v>169</v>
      </c>
      <c r="D63" s="66">
        <v>6</v>
      </c>
      <c r="E63" s="57" t="s">
        <v>46</v>
      </c>
    </row>
    <row r="64" spans="3:5" ht="18.75" customHeight="1" x14ac:dyDescent="0.3">
      <c r="C64" s="68" t="s">
        <v>170</v>
      </c>
      <c r="D64" s="66">
        <v>9</v>
      </c>
      <c r="E64" s="57" t="s">
        <v>46</v>
      </c>
    </row>
    <row r="65" spans="3:5" ht="18.75" customHeight="1" x14ac:dyDescent="0.3">
      <c r="C65" s="68" t="s">
        <v>171</v>
      </c>
      <c r="D65" s="66">
        <v>4</v>
      </c>
      <c r="E65" s="57" t="s">
        <v>46</v>
      </c>
    </row>
    <row r="66" spans="3:5" ht="18.75" customHeight="1" x14ac:dyDescent="0.3">
      <c r="C66" s="68" t="s">
        <v>172</v>
      </c>
      <c r="D66" s="66">
        <v>8</v>
      </c>
      <c r="E66" s="57" t="s">
        <v>46</v>
      </c>
    </row>
    <row r="67" spans="3:5" ht="18.75" customHeight="1" x14ac:dyDescent="0.3">
      <c r="C67" s="68" t="s">
        <v>173</v>
      </c>
      <c r="D67" s="66">
        <v>5</v>
      </c>
      <c r="E67" s="57" t="s">
        <v>46</v>
      </c>
    </row>
    <row r="68" spans="3:5" ht="18.75" customHeight="1" x14ac:dyDescent="0.3">
      <c r="C68" s="69" t="s">
        <v>174</v>
      </c>
      <c r="D68" s="66">
        <v>10</v>
      </c>
      <c r="E68" s="58" t="s">
        <v>48</v>
      </c>
    </row>
    <row r="69" spans="3:5" ht="18.75" customHeight="1" x14ac:dyDescent="0.3">
      <c r="C69" s="69" t="s">
        <v>175</v>
      </c>
      <c r="D69" s="66">
        <v>12</v>
      </c>
      <c r="E69" s="58" t="s">
        <v>48</v>
      </c>
    </row>
    <row r="70" spans="3:5" ht="18.75" customHeight="1" x14ac:dyDescent="0.3">
      <c r="C70" s="69" t="s">
        <v>176</v>
      </c>
      <c r="D70" s="66">
        <v>12</v>
      </c>
      <c r="E70" s="58" t="s">
        <v>48</v>
      </c>
    </row>
    <row r="71" spans="3:5" ht="18.75" customHeight="1" x14ac:dyDescent="0.3">
      <c r="C71" s="69" t="s">
        <v>177</v>
      </c>
      <c r="D71" s="66">
        <v>10</v>
      </c>
      <c r="E71" s="58" t="s">
        <v>48</v>
      </c>
    </row>
    <row r="72" spans="3:5" ht="18.75" customHeight="1" x14ac:dyDescent="0.3">
      <c r="C72" s="70" t="s">
        <v>178</v>
      </c>
      <c r="D72" s="66">
        <v>15</v>
      </c>
      <c r="E72" s="59" t="s">
        <v>51</v>
      </c>
    </row>
    <row r="73" spans="3:5" ht="15.75" customHeight="1" x14ac:dyDescent="0.3">
      <c r="C73" s="70" t="s">
        <v>179</v>
      </c>
      <c r="D73" s="66">
        <v>16</v>
      </c>
      <c r="E73" s="59" t="s">
        <v>51</v>
      </c>
    </row>
    <row r="74" spans="3:5" ht="15.75" customHeight="1" x14ac:dyDescent="0.3">
      <c r="C74" s="70" t="s">
        <v>180</v>
      </c>
      <c r="D74" s="66">
        <v>15</v>
      </c>
      <c r="E74" s="59" t="s">
        <v>51</v>
      </c>
    </row>
    <row r="75" spans="3:5" ht="15.75" customHeight="1" x14ac:dyDescent="0.3">
      <c r="C75" s="71" t="s">
        <v>181</v>
      </c>
      <c r="D75" s="66">
        <v>20</v>
      </c>
      <c r="E75" s="60" t="s">
        <v>49</v>
      </c>
    </row>
    <row r="76" spans="3:5" ht="15.75" customHeight="1" x14ac:dyDescent="0.3">
      <c r="C76" s="71" t="s">
        <v>182</v>
      </c>
      <c r="D76" s="66">
        <v>25</v>
      </c>
      <c r="E76" s="60" t="s">
        <v>49</v>
      </c>
    </row>
    <row r="77" spans="3:5" ht="15.75" customHeight="1" x14ac:dyDescent="0.3">
      <c r="C77" s="71" t="s">
        <v>183</v>
      </c>
      <c r="D77" s="66">
        <v>20</v>
      </c>
      <c r="E77" s="60" t="s">
        <v>49</v>
      </c>
    </row>
  </sheetData>
  <mergeCells count="21">
    <mergeCell ref="M11:M12"/>
    <mergeCell ref="N11:N12"/>
    <mergeCell ref="M23:Q23"/>
    <mergeCell ref="A2:C2"/>
    <mergeCell ref="A10:H10"/>
    <mergeCell ref="J10:N10"/>
    <mergeCell ref="A11:A12"/>
    <mergeCell ref="B11:B12"/>
    <mergeCell ref="C11:H11"/>
    <mergeCell ref="J11:J12"/>
    <mergeCell ref="L11:L12"/>
    <mergeCell ref="A33:C35"/>
    <mergeCell ref="D33:H33"/>
    <mergeCell ref="A36:A40"/>
    <mergeCell ref="D52:E52"/>
    <mergeCell ref="K11:K12"/>
    <mergeCell ref="A23:C25"/>
    <mergeCell ref="D23:H23"/>
    <mergeCell ref="J23:L25"/>
    <mergeCell ref="A26:A30"/>
    <mergeCell ref="J26:J30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workbookViewId="0">
      <selection sqref="A1:D6"/>
    </sheetView>
  </sheetViews>
  <sheetFormatPr defaultColWidth="14.44140625" defaultRowHeight="15" customHeight="1" x14ac:dyDescent="0.3"/>
  <cols>
    <col min="1" max="1" width="9.109375" customWidth="1"/>
    <col min="2" max="2" width="19.77734375" customWidth="1"/>
    <col min="3" max="3" width="43" customWidth="1"/>
    <col min="4" max="4" width="58.44140625" customWidth="1"/>
    <col min="5" max="7" width="9.109375" customWidth="1"/>
    <col min="8" max="8" width="21.77734375" customWidth="1"/>
    <col min="9" max="9" width="12.77734375" customWidth="1"/>
    <col min="10" max="10" width="9.109375" customWidth="1"/>
    <col min="11" max="11" width="11.44140625" customWidth="1"/>
    <col min="12" max="12" width="17.33203125" customWidth="1"/>
    <col min="13" max="13" width="9.109375" customWidth="1"/>
    <col min="14" max="14" width="17.44140625" customWidth="1"/>
    <col min="15" max="15" width="9.44140625" customWidth="1"/>
    <col min="16" max="16" width="13.6640625" customWidth="1"/>
    <col min="17" max="17" width="16.44140625" customWidth="1"/>
    <col min="18" max="18" width="9.6640625" customWidth="1"/>
    <col min="19" max="19" width="12.109375" customWidth="1"/>
    <col min="20" max="20" width="22.6640625" customWidth="1"/>
    <col min="21" max="25" width="9.109375" customWidth="1"/>
    <col min="26" max="26" width="10.77734375" customWidth="1"/>
  </cols>
  <sheetData>
    <row r="1" spans="1:30" ht="12.75" customHeight="1" x14ac:dyDescent="0.3">
      <c r="A1" s="249" t="s">
        <v>186</v>
      </c>
      <c r="B1" s="250"/>
      <c r="C1" s="250"/>
      <c r="D1" s="251"/>
      <c r="E1" s="73"/>
      <c r="F1" s="74" t="s">
        <v>45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30" ht="15" customHeight="1" x14ac:dyDescent="0.3">
      <c r="A2" s="252"/>
      <c r="B2" s="224"/>
      <c r="C2" s="224"/>
      <c r="D2" s="253"/>
      <c r="E2" s="73"/>
      <c r="F2" s="271" t="s">
        <v>5</v>
      </c>
      <c r="G2" s="240"/>
      <c r="H2" s="240"/>
      <c r="I2" s="240"/>
      <c r="J2" s="240"/>
      <c r="K2" s="236"/>
      <c r="L2" s="272" t="s">
        <v>6</v>
      </c>
      <c r="M2" s="240"/>
      <c r="N2" s="240"/>
      <c r="O2" s="240"/>
      <c r="P2" s="240"/>
      <c r="Q2" s="240"/>
      <c r="R2" s="240"/>
      <c r="S2" s="236"/>
      <c r="T2" s="75" t="s">
        <v>7</v>
      </c>
      <c r="U2" s="75"/>
      <c r="V2" s="75"/>
      <c r="W2" s="75"/>
      <c r="X2" s="75"/>
      <c r="Y2" s="75"/>
      <c r="Z2" s="75"/>
      <c r="AA2" s="75"/>
      <c r="AB2" s="75"/>
      <c r="AC2" s="75"/>
      <c r="AD2" s="75"/>
    </row>
    <row r="3" spans="1:30" ht="15" customHeight="1" x14ac:dyDescent="0.3">
      <c r="A3" s="252"/>
      <c r="B3" s="224"/>
      <c r="C3" s="224"/>
      <c r="D3" s="253"/>
      <c r="E3" s="73"/>
      <c r="F3" s="273" t="s">
        <v>8</v>
      </c>
      <c r="G3" s="251"/>
      <c r="H3" s="274" t="s">
        <v>187</v>
      </c>
      <c r="I3" s="274" t="s">
        <v>10</v>
      </c>
      <c r="J3" s="274" t="s">
        <v>188</v>
      </c>
      <c r="K3" s="274" t="s">
        <v>189</v>
      </c>
      <c r="L3" s="269" t="s">
        <v>190</v>
      </c>
      <c r="M3" s="236"/>
      <c r="N3" s="275" t="s">
        <v>17</v>
      </c>
      <c r="O3" s="76" t="s">
        <v>191</v>
      </c>
      <c r="P3" s="77" t="s">
        <v>21</v>
      </c>
      <c r="Q3" s="77" t="s">
        <v>22</v>
      </c>
      <c r="R3" s="77" t="s">
        <v>23</v>
      </c>
      <c r="S3" s="77" t="s">
        <v>24</v>
      </c>
      <c r="T3" s="270" t="s">
        <v>27</v>
      </c>
      <c r="U3" s="240"/>
      <c r="V3" s="240"/>
      <c r="W3" s="240"/>
      <c r="X3" s="236"/>
      <c r="Y3" s="270" t="s">
        <v>28</v>
      </c>
      <c r="Z3" s="240"/>
      <c r="AA3" s="240"/>
      <c r="AB3" s="236"/>
      <c r="AC3" s="78" t="s">
        <v>29</v>
      </c>
      <c r="AD3" s="78" t="s">
        <v>30</v>
      </c>
    </row>
    <row r="4" spans="1:30" ht="12.75" customHeight="1" x14ac:dyDescent="0.3">
      <c r="A4" s="252"/>
      <c r="B4" s="224"/>
      <c r="C4" s="224"/>
      <c r="D4" s="253"/>
      <c r="E4" s="73"/>
      <c r="F4" s="254"/>
      <c r="G4" s="256"/>
      <c r="H4" s="238"/>
      <c r="I4" s="238"/>
      <c r="J4" s="238"/>
      <c r="K4" s="238"/>
      <c r="L4" s="77" t="s">
        <v>32</v>
      </c>
      <c r="M4" s="77" t="s">
        <v>33</v>
      </c>
      <c r="N4" s="238"/>
      <c r="O4" s="79"/>
      <c r="P4" s="77"/>
      <c r="Q4" s="77"/>
      <c r="R4" s="77"/>
      <c r="S4" s="77"/>
      <c r="T4" s="78" t="s">
        <v>36</v>
      </c>
      <c r="U4" s="78" t="s">
        <v>37</v>
      </c>
      <c r="V4" s="78" t="s">
        <v>38</v>
      </c>
      <c r="W4" s="78" t="s">
        <v>39</v>
      </c>
      <c r="X4" s="78" t="s">
        <v>40</v>
      </c>
      <c r="Y4" s="78" t="s">
        <v>41</v>
      </c>
      <c r="Z4" s="78" t="s">
        <v>42</v>
      </c>
      <c r="AA4" s="78" t="s">
        <v>43</v>
      </c>
      <c r="AB4" s="78" t="s">
        <v>24</v>
      </c>
      <c r="AC4" s="78"/>
      <c r="AD4" s="78"/>
    </row>
    <row r="5" spans="1:30" ht="12.75" customHeight="1" x14ac:dyDescent="0.3">
      <c r="A5" s="252"/>
      <c r="B5" s="224"/>
      <c r="C5" s="224"/>
      <c r="D5" s="253"/>
      <c r="E5" s="73"/>
      <c r="F5" s="80" t="s">
        <v>192</v>
      </c>
      <c r="G5" s="80" t="s">
        <v>192</v>
      </c>
      <c r="H5" s="80" t="s">
        <v>192</v>
      </c>
      <c r="I5" s="80" t="s">
        <v>192</v>
      </c>
      <c r="J5" s="80" t="s">
        <v>192</v>
      </c>
      <c r="K5" s="80" t="s">
        <v>192</v>
      </c>
      <c r="L5" s="80" t="s">
        <v>192</v>
      </c>
      <c r="M5" s="80" t="s">
        <v>192</v>
      </c>
      <c r="N5" s="80" t="s">
        <v>192</v>
      </c>
      <c r="O5" s="80" t="s">
        <v>192</v>
      </c>
      <c r="P5" s="80" t="s">
        <v>192</v>
      </c>
      <c r="Q5" s="80" t="s">
        <v>192</v>
      </c>
      <c r="R5" s="80" t="s">
        <v>192</v>
      </c>
      <c r="S5" s="80" t="s">
        <v>192</v>
      </c>
      <c r="T5" s="81"/>
      <c r="U5" s="81"/>
      <c r="V5" s="81"/>
      <c r="W5" s="81"/>
      <c r="X5" s="81"/>
      <c r="Y5" s="82"/>
      <c r="Z5" s="82"/>
      <c r="AA5" s="82">
        <f>Y5*Z5</f>
        <v>0</v>
      </c>
      <c r="AB5" s="83" t="s">
        <v>193</v>
      </c>
      <c r="AC5" s="81"/>
      <c r="AD5" s="81"/>
    </row>
    <row r="6" spans="1:30" ht="12.75" customHeight="1" x14ac:dyDescent="0.3">
      <c r="A6" s="254"/>
      <c r="B6" s="255"/>
      <c r="C6" s="255"/>
      <c r="D6" s="256"/>
      <c r="E6" s="73"/>
      <c r="F6" s="72" t="s">
        <v>185</v>
      </c>
    </row>
    <row r="7" spans="1:30" ht="12.75" customHeight="1" x14ac:dyDescent="0.3">
      <c r="A7" s="257" t="s">
        <v>194</v>
      </c>
      <c r="B7" s="258"/>
      <c r="C7" s="258"/>
      <c r="D7" s="205"/>
      <c r="E7" s="73"/>
      <c r="F7" s="271" t="s">
        <v>5</v>
      </c>
      <c r="G7" s="240"/>
      <c r="H7" s="240"/>
      <c r="I7" s="240"/>
      <c r="J7" s="240"/>
      <c r="K7" s="236"/>
      <c r="L7" s="272" t="s">
        <v>6</v>
      </c>
      <c r="M7" s="240"/>
      <c r="N7" s="240"/>
      <c r="O7" s="240"/>
      <c r="P7" s="240"/>
      <c r="Q7" s="240"/>
      <c r="R7" s="240"/>
      <c r="S7" s="236"/>
      <c r="T7" s="75" t="s">
        <v>7</v>
      </c>
      <c r="U7" s="75"/>
      <c r="V7" s="75"/>
      <c r="W7" s="75"/>
      <c r="X7" s="75"/>
      <c r="Y7" s="75"/>
      <c r="Z7" s="75"/>
      <c r="AA7" s="75"/>
      <c r="AB7" s="75"/>
      <c r="AC7" s="75"/>
      <c r="AD7" s="75"/>
    </row>
    <row r="8" spans="1:30" ht="26.4" x14ac:dyDescent="0.3">
      <c r="A8" s="254"/>
      <c r="B8" s="255"/>
      <c r="C8" s="255"/>
      <c r="D8" s="256"/>
      <c r="E8" s="84"/>
      <c r="F8" s="273" t="s">
        <v>8</v>
      </c>
      <c r="G8" s="251"/>
      <c r="H8" s="274" t="s">
        <v>187</v>
      </c>
      <c r="I8" s="274" t="s">
        <v>10</v>
      </c>
      <c r="J8" s="274" t="s">
        <v>188</v>
      </c>
      <c r="K8" s="274" t="s">
        <v>189</v>
      </c>
      <c r="L8" s="269" t="s">
        <v>190</v>
      </c>
      <c r="M8" s="236"/>
      <c r="N8" s="77" t="s">
        <v>17</v>
      </c>
      <c r="O8" s="76" t="s">
        <v>191</v>
      </c>
      <c r="P8" s="77" t="s">
        <v>21</v>
      </c>
      <c r="Q8" s="77" t="s">
        <v>22</v>
      </c>
      <c r="R8" s="77" t="s">
        <v>23</v>
      </c>
      <c r="S8" s="77" t="s">
        <v>24</v>
      </c>
      <c r="T8" s="270" t="s">
        <v>27</v>
      </c>
      <c r="U8" s="240"/>
      <c r="V8" s="240"/>
      <c r="W8" s="240"/>
      <c r="X8" s="236"/>
      <c r="Y8" s="270" t="s">
        <v>28</v>
      </c>
      <c r="Z8" s="240"/>
      <c r="AA8" s="240"/>
      <c r="AB8" s="236"/>
      <c r="AC8" s="78" t="s">
        <v>29</v>
      </c>
      <c r="AD8" s="78" t="s">
        <v>30</v>
      </c>
    </row>
    <row r="9" spans="1:30" ht="26.4" x14ac:dyDescent="0.3">
      <c r="A9" s="259" t="s">
        <v>195</v>
      </c>
      <c r="B9" s="236"/>
      <c r="C9" s="260">
        <v>0</v>
      </c>
      <c r="D9" s="236"/>
      <c r="E9" s="84"/>
      <c r="F9" s="254"/>
      <c r="G9" s="256"/>
      <c r="H9" s="238"/>
      <c r="I9" s="238"/>
      <c r="J9" s="238"/>
      <c r="K9" s="238"/>
      <c r="L9" s="77" t="s">
        <v>32</v>
      </c>
      <c r="M9" s="77" t="s">
        <v>33</v>
      </c>
      <c r="N9" s="77"/>
      <c r="O9" s="79"/>
      <c r="P9" s="77"/>
      <c r="Q9" s="77"/>
      <c r="R9" s="77"/>
      <c r="S9" s="77"/>
      <c r="T9" s="78" t="s">
        <v>36</v>
      </c>
      <c r="U9" s="78" t="s">
        <v>37</v>
      </c>
      <c r="V9" s="78" t="s">
        <v>38</v>
      </c>
      <c r="W9" s="78" t="s">
        <v>39</v>
      </c>
      <c r="X9" s="78" t="s">
        <v>40</v>
      </c>
      <c r="Y9" s="78" t="s">
        <v>41</v>
      </c>
      <c r="Z9" s="78" t="s">
        <v>42</v>
      </c>
      <c r="AA9" s="78" t="s">
        <v>43</v>
      </c>
      <c r="AB9" s="78" t="s">
        <v>24</v>
      </c>
      <c r="AC9" s="78"/>
      <c r="AD9" s="78"/>
    </row>
    <row r="10" spans="1:30" ht="14.4" x14ac:dyDescent="0.3">
      <c r="A10" s="259" t="s">
        <v>196</v>
      </c>
      <c r="B10" s="236"/>
      <c r="C10" s="261" t="s">
        <v>197</v>
      </c>
      <c r="D10" s="236"/>
      <c r="E10" s="84"/>
      <c r="F10" s="80" t="s">
        <v>192</v>
      </c>
      <c r="G10" s="80" t="s">
        <v>192</v>
      </c>
      <c r="H10" s="80" t="s">
        <v>192</v>
      </c>
      <c r="I10" s="85" t="s">
        <v>198</v>
      </c>
      <c r="J10" s="80" t="s">
        <v>192</v>
      </c>
      <c r="K10" s="80" t="s">
        <v>192</v>
      </c>
      <c r="L10" s="80" t="s">
        <v>192</v>
      </c>
      <c r="M10" s="80" t="s">
        <v>192</v>
      </c>
      <c r="N10" s="80" t="s">
        <v>192</v>
      </c>
      <c r="O10" s="80" t="s">
        <v>192</v>
      </c>
      <c r="P10" s="80" t="s">
        <v>192</v>
      </c>
      <c r="Q10" s="80" t="s">
        <v>192</v>
      </c>
      <c r="R10" s="80" t="s">
        <v>192</v>
      </c>
      <c r="S10" s="80" t="s">
        <v>192</v>
      </c>
      <c r="T10" s="81"/>
      <c r="U10" s="81"/>
      <c r="V10" s="81"/>
      <c r="W10" s="81"/>
      <c r="X10" s="81"/>
      <c r="Y10" s="82"/>
      <c r="Z10" s="82"/>
      <c r="AA10" s="82">
        <f>Y10*Z10</f>
        <v>0</v>
      </c>
      <c r="AB10" s="83" t="s">
        <v>193</v>
      </c>
      <c r="AC10" s="81"/>
      <c r="AD10" s="81"/>
    </row>
    <row r="11" spans="1:30" ht="14.4" x14ac:dyDescent="0.3">
      <c r="A11" s="86" t="s">
        <v>199</v>
      </c>
      <c r="B11" s="86" t="s">
        <v>200</v>
      </c>
      <c r="C11" s="87" t="s">
        <v>201</v>
      </c>
      <c r="D11" s="87" t="s">
        <v>202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30" ht="43.2" x14ac:dyDescent="0.3">
      <c r="A12" s="262">
        <v>1</v>
      </c>
      <c r="B12" s="268" t="s">
        <v>5</v>
      </c>
      <c r="C12" s="88" t="s">
        <v>203</v>
      </c>
      <c r="D12" s="89" t="s">
        <v>204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30" ht="14.4" x14ac:dyDescent="0.3">
      <c r="A13" s="263"/>
      <c r="B13" s="263"/>
      <c r="C13" s="88" t="s">
        <v>199</v>
      </c>
      <c r="D13" s="89" t="s">
        <v>205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30" ht="86.4" x14ac:dyDescent="0.3">
      <c r="A14" s="263"/>
      <c r="B14" s="263"/>
      <c r="C14" s="88" t="s">
        <v>187</v>
      </c>
      <c r="D14" s="89" t="s">
        <v>206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30" ht="158.4" x14ac:dyDescent="0.3">
      <c r="A15" s="263"/>
      <c r="B15" s="263"/>
      <c r="C15" s="88" t="s">
        <v>10</v>
      </c>
      <c r="D15" s="89" t="s">
        <v>207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30" ht="57.6" x14ac:dyDescent="0.3">
      <c r="A16" s="263"/>
      <c r="B16" s="263"/>
      <c r="C16" s="88" t="s">
        <v>188</v>
      </c>
      <c r="D16" s="89" t="s">
        <v>208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4" ht="86.4" x14ac:dyDescent="0.3">
      <c r="A17" s="264"/>
      <c r="B17" s="264"/>
      <c r="C17" s="88" t="s">
        <v>189</v>
      </c>
      <c r="D17" s="89" t="s">
        <v>209</v>
      </c>
    </row>
    <row r="18" spans="1:4" ht="28.8" x14ac:dyDescent="0.3">
      <c r="A18" s="265"/>
      <c r="B18" s="266" t="s">
        <v>210</v>
      </c>
      <c r="C18" s="90" t="s">
        <v>32</v>
      </c>
      <c r="D18" s="91" t="s">
        <v>211</v>
      </c>
    </row>
    <row r="19" spans="1:4" ht="48.75" customHeight="1" x14ac:dyDescent="0.3">
      <c r="A19" s="263"/>
      <c r="B19" s="263"/>
      <c r="C19" s="90" t="s">
        <v>33</v>
      </c>
      <c r="D19" s="91" t="s">
        <v>212</v>
      </c>
    </row>
    <row r="20" spans="1:4" ht="101.25" customHeight="1" x14ac:dyDescent="0.3">
      <c r="A20" s="263"/>
      <c r="B20" s="263"/>
      <c r="C20" s="90" t="s">
        <v>17</v>
      </c>
      <c r="D20" s="91" t="s">
        <v>213</v>
      </c>
    </row>
    <row r="21" spans="1:4" ht="73.5" customHeight="1" x14ac:dyDescent="0.3">
      <c r="A21" s="263"/>
      <c r="B21" s="263"/>
      <c r="C21" s="90" t="s">
        <v>191</v>
      </c>
      <c r="D21" s="91" t="s">
        <v>214</v>
      </c>
    </row>
    <row r="22" spans="1:4" ht="72" customHeight="1" x14ac:dyDescent="0.3">
      <c r="A22" s="263"/>
      <c r="B22" s="263"/>
      <c r="C22" s="90" t="s">
        <v>215</v>
      </c>
      <c r="D22" s="89" t="s">
        <v>216</v>
      </c>
    </row>
    <row r="23" spans="1:4" ht="63.75" customHeight="1" x14ac:dyDescent="0.3">
      <c r="A23" s="263"/>
      <c r="B23" s="263"/>
      <c r="C23" s="90" t="s">
        <v>217</v>
      </c>
      <c r="D23" s="89" t="s">
        <v>218</v>
      </c>
    </row>
    <row r="24" spans="1:4" ht="15.75" customHeight="1" x14ac:dyDescent="0.3">
      <c r="A24" s="263"/>
      <c r="B24" s="263"/>
      <c r="C24" s="90" t="s">
        <v>23</v>
      </c>
      <c r="D24" s="89" t="s">
        <v>219</v>
      </c>
    </row>
    <row r="25" spans="1:4" ht="63.75" customHeight="1" x14ac:dyDescent="0.3">
      <c r="A25" s="263"/>
      <c r="B25" s="264"/>
      <c r="C25" s="90" t="s">
        <v>24</v>
      </c>
      <c r="D25" s="89" t="s">
        <v>220</v>
      </c>
    </row>
    <row r="26" spans="1:4" ht="63.75" customHeight="1" x14ac:dyDescent="0.3">
      <c r="A26" s="262">
        <v>3</v>
      </c>
      <c r="B26" s="267" t="s">
        <v>221</v>
      </c>
      <c r="C26" s="90" t="s">
        <v>222</v>
      </c>
      <c r="D26" s="89" t="s">
        <v>223</v>
      </c>
    </row>
    <row r="27" spans="1:4" ht="63.75" customHeight="1" x14ac:dyDescent="0.3">
      <c r="A27" s="263"/>
      <c r="B27" s="263"/>
      <c r="C27" s="90" t="s">
        <v>224</v>
      </c>
      <c r="D27" s="89" t="s">
        <v>225</v>
      </c>
    </row>
    <row r="28" spans="1:4" ht="63.75" customHeight="1" x14ac:dyDescent="0.3">
      <c r="A28" s="263"/>
      <c r="B28" s="263"/>
      <c r="C28" s="90" t="s">
        <v>226</v>
      </c>
      <c r="D28" s="89" t="s">
        <v>227</v>
      </c>
    </row>
    <row r="29" spans="1:4" ht="15.75" customHeight="1" x14ac:dyDescent="0.3">
      <c r="A29" s="263"/>
      <c r="B29" s="263"/>
      <c r="C29" s="90" t="s">
        <v>228</v>
      </c>
      <c r="D29" s="89" t="s">
        <v>229</v>
      </c>
    </row>
    <row r="30" spans="1:4" ht="63.75" customHeight="1" x14ac:dyDescent="0.3">
      <c r="A30" s="263"/>
      <c r="B30" s="263"/>
      <c r="C30" s="90" t="s">
        <v>230</v>
      </c>
      <c r="D30" s="89" t="s">
        <v>231</v>
      </c>
    </row>
    <row r="31" spans="1:4" ht="63.75" customHeight="1" x14ac:dyDescent="0.3">
      <c r="A31" s="263"/>
      <c r="B31" s="263"/>
      <c r="C31" s="90" t="s">
        <v>232</v>
      </c>
      <c r="D31" s="89" t="s">
        <v>233</v>
      </c>
    </row>
    <row r="32" spans="1:4" ht="63.75" customHeight="1" x14ac:dyDescent="0.3">
      <c r="A32" s="263"/>
      <c r="B32" s="263"/>
      <c r="C32" s="90" t="s">
        <v>234</v>
      </c>
      <c r="D32" s="89" t="s">
        <v>235</v>
      </c>
    </row>
    <row r="33" spans="1:4" ht="12.75" customHeight="1" x14ac:dyDescent="0.3">
      <c r="A33" s="263"/>
      <c r="B33" s="263"/>
      <c r="C33" s="90" t="s">
        <v>236</v>
      </c>
      <c r="D33" s="89" t="s">
        <v>237</v>
      </c>
    </row>
    <row r="34" spans="1:4" ht="12.75" customHeight="1" x14ac:dyDescent="0.3">
      <c r="A34" s="263"/>
      <c r="B34" s="263"/>
      <c r="C34" s="90" t="s">
        <v>238</v>
      </c>
      <c r="D34" s="89" t="s">
        <v>239</v>
      </c>
    </row>
    <row r="35" spans="1:4" ht="12.75" customHeight="1" x14ac:dyDescent="0.3">
      <c r="A35" s="263"/>
      <c r="B35" s="263"/>
      <c r="C35" s="90" t="s">
        <v>240</v>
      </c>
      <c r="D35" s="89" t="s">
        <v>241</v>
      </c>
    </row>
    <row r="36" spans="1:4" ht="12.75" customHeight="1" x14ac:dyDescent="0.3">
      <c r="A36" s="238"/>
      <c r="B36" s="238"/>
      <c r="C36" s="90" t="s">
        <v>242</v>
      </c>
      <c r="D36" s="89" t="s">
        <v>243</v>
      </c>
    </row>
  </sheetData>
  <mergeCells count="33">
    <mergeCell ref="K3:K4"/>
    <mergeCell ref="L3:M3"/>
    <mergeCell ref="T3:X3"/>
    <mergeCell ref="Y3:AB3"/>
    <mergeCell ref="F2:K2"/>
    <mergeCell ref="L2:S2"/>
    <mergeCell ref="F3:G4"/>
    <mergeCell ref="H3:H4"/>
    <mergeCell ref="I3:I4"/>
    <mergeCell ref="J3:J4"/>
    <mergeCell ref="N3:N4"/>
    <mergeCell ref="L8:M8"/>
    <mergeCell ref="T8:X8"/>
    <mergeCell ref="Y8:AB8"/>
    <mergeCell ref="F7:K7"/>
    <mergeCell ref="L7:S7"/>
    <mergeCell ref="F8:G9"/>
    <mergeCell ref="H8:H9"/>
    <mergeCell ref="I8:I9"/>
    <mergeCell ref="J8:J9"/>
    <mergeCell ref="K8:K9"/>
    <mergeCell ref="A12:A17"/>
    <mergeCell ref="A18:A25"/>
    <mergeCell ref="B18:B25"/>
    <mergeCell ref="A26:A36"/>
    <mergeCell ref="B26:B36"/>
    <mergeCell ref="B12:B17"/>
    <mergeCell ref="A1:D6"/>
    <mergeCell ref="A7:D8"/>
    <mergeCell ref="A9:B9"/>
    <mergeCell ref="C9:D9"/>
    <mergeCell ref="A10:B10"/>
    <mergeCell ref="C10:D10"/>
  </mergeCells>
  <conditionalFormatting sqref="AB5">
    <cfRule type="containsText" dxfId="9" priority="1" stopIfTrue="1" operator="containsText" text="SEDANG-RENDAH">
      <formula>NOT(ISERROR(SEARCH(("SEDANG-RENDAH"),(AB5))))</formula>
    </cfRule>
    <cfRule type="containsText" dxfId="8" priority="2" stopIfTrue="1" operator="containsText" text="SEDANG-TINGGI">
      <formula>NOT(ISERROR(SEARCH(("SEDANG-TINGGI"),(AB5))))</formula>
    </cfRule>
    <cfRule type="containsText" dxfId="7" priority="3" stopIfTrue="1" operator="containsText" text="SEDANG">
      <formula>NOT(ISERROR(SEARCH(("SEDANG"),(AB5))))</formula>
    </cfRule>
    <cfRule type="containsText" dxfId="6" priority="4" stopIfTrue="1" operator="containsText" text="TINGGI">
      <formula>NOT(ISERROR(SEARCH(("TINGGI"),(AB5))))</formula>
    </cfRule>
    <cfRule type="containsText" dxfId="5" priority="5" stopIfTrue="1" operator="containsText" text="RENDAH">
      <formula>NOT(ISERROR(SEARCH(("RENDAH"),(AB5))))</formula>
    </cfRule>
  </conditionalFormatting>
  <conditionalFormatting sqref="AB10">
    <cfRule type="containsText" dxfId="4" priority="6" stopIfTrue="1" operator="containsText" text="SEDANG-RENDAH">
      <formula>NOT(ISERROR(SEARCH(("SEDANG-RENDAH"),(AB10))))</formula>
    </cfRule>
    <cfRule type="containsText" dxfId="3" priority="7" stopIfTrue="1" operator="containsText" text="SEDANG-TINGGI">
      <formula>NOT(ISERROR(SEARCH(("SEDANG-TINGGI"),(AB10))))</formula>
    </cfRule>
    <cfRule type="containsText" dxfId="2" priority="8" stopIfTrue="1" operator="containsText" text="SEDANG">
      <formula>NOT(ISERROR(SEARCH(("SEDANG"),(AB10))))</formula>
    </cfRule>
    <cfRule type="containsText" dxfId="1" priority="9" stopIfTrue="1" operator="containsText" text="TINGGI">
      <formula>NOT(ISERROR(SEARCH(("TINGGI"),(AB10))))</formula>
    </cfRule>
    <cfRule type="containsText" dxfId="0" priority="10" stopIfTrue="1" operator="containsText" text="RENDAH">
      <formula>NOT(ISERROR(SEARCH(("RENDAH"),(AB10))))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</vt:lpstr>
      <vt:lpstr>REF</vt:lpstr>
      <vt:lpstr>Asset Owner</vt:lpstr>
      <vt:lpstr>Parameter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Endiaz Ludia Arsanto</cp:lastModifiedBy>
  <dcterms:modified xsi:type="dcterms:W3CDTF">2026-04-09T02:13:13Z</dcterms:modified>
</cp:coreProperties>
</file>