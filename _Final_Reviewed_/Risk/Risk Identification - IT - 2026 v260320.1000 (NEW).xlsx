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equitylife-my.sharepoint.com/personal/endiaz_arsanto_equity_id/Documents/_👀Workspace.Dz💥/[🔰]ISO-27001.2022[🔰]/_Final_Reviewed_/RiskRegister/"/>
    </mc:Choice>
  </mc:AlternateContent>
  <xr:revisionPtr revIDLastSave="4034" documentId="13_ncr:1_{6E3A4D13-35D1-E342-B550-A7ABCBC1D269}" xr6:coauthVersionLast="47" xr6:coauthVersionMax="47" xr10:uidLastSave="{FA0983CD-B0C5-4366-B47D-0C18B181C9F5}"/>
  <bookViews>
    <workbookView xWindow="-120" yWindow="-16320" windowWidth="29040" windowHeight="15720" xr2:uid="{00000000-000D-0000-FFFF-FFFF00000000}"/>
  </bookViews>
  <sheets>
    <sheet name="IT" sheetId="1" r:id="rId1"/>
    <sheet name="REF" sheetId="5" r:id="rId2"/>
    <sheet name="Asset Owner" sheetId="4" r:id="rId3"/>
    <sheet name="Parameter" sheetId="2" r:id="rId4"/>
    <sheet name="Panduan" sheetId="3" r:id="rId5"/>
  </sheets>
  <definedNames>
    <definedName name="_xlnm._FilterDatabase" localSheetId="0" hidden="1">IT!$A$14:$AQ$233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223" i="1" l="1"/>
  <c r="T223" i="1" s="1"/>
  <c r="AM229" i="1"/>
  <c r="AL229" i="1"/>
  <c r="S229" i="1"/>
  <c r="T229" i="1" s="1"/>
  <c r="B229" i="1"/>
  <c r="AM228" i="1"/>
  <c r="AL228" i="1"/>
  <c r="S228" i="1"/>
  <c r="T228" i="1" s="1"/>
  <c r="B228" i="1"/>
  <c r="AM110" i="1"/>
  <c r="AL110" i="1"/>
  <c r="S110" i="1"/>
  <c r="T110" i="1" s="1"/>
  <c r="B226" i="1"/>
  <c r="AM126" i="1"/>
  <c r="AL126" i="1"/>
  <c r="S126" i="1"/>
  <c r="T126" i="1" s="1"/>
  <c r="B225" i="1"/>
  <c r="AM156" i="1"/>
  <c r="AL156" i="1"/>
  <c r="S156" i="1"/>
  <c r="T156" i="1" s="1"/>
  <c r="B224" i="1"/>
  <c r="AM125" i="1"/>
  <c r="AL125" i="1"/>
  <c r="S125" i="1"/>
  <c r="T125" i="1" s="1"/>
  <c r="B223" i="1"/>
  <c r="AM230" i="1"/>
  <c r="AL230" i="1"/>
  <c r="S230" i="1"/>
  <c r="T230" i="1" s="1"/>
  <c r="B230" i="1"/>
  <c r="AM174" i="1"/>
  <c r="AL174" i="1"/>
  <c r="S174" i="1"/>
  <c r="T174" i="1" s="1"/>
  <c r="B227" i="1"/>
  <c r="AM129" i="1"/>
  <c r="AL129" i="1"/>
  <c r="S129" i="1"/>
  <c r="T129" i="1" s="1"/>
  <c r="B215" i="1"/>
  <c r="AM124" i="1"/>
  <c r="AL124" i="1"/>
  <c r="S124" i="1"/>
  <c r="T124" i="1" s="1"/>
  <c r="B214" i="1"/>
  <c r="AM138" i="1"/>
  <c r="AL138" i="1"/>
  <c r="S138" i="1"/>
  <c r="T138" i="1" s="1"/>
  <c r="B213" i="1"/>
  <c r="AM60" i="1"/>
  <c r="AL60" i="1"/>
  <c r="S60" i="1"/>
  <c r="T60" i="1" s="1"/>
  <c r="AM118" i="1"/>
  <c r="AL118" i="1"/>
  <c r="S118" i="1"/>
  <c r="T118" i="1" s="1"/>
  <c r="B212" i="1"/>
  <c r="AM155" i="1"/>
  <c r="AL155" i="1"/>
  <c r="S155" i="1"/>
  <c r="T155" i="1" s="1"/>
  <c r="B211" i="1"/>
  <c r="AM210" i="1"/>
  <c r="AL210" i="1"/>
  <c r="S210" i="1"/>
  <c r="T210" i="1" s="1"/>
  <c r="B219" i="1"/>
  <c r="AM106" i="1"/>
  <c r="AL106" i="1"/>
  <c r="S106" i="1"/>
  <c r="T106" i="1" s="1"/>
  <c r="B218" i="1"/>
  <c r="AM108" i="1"/>
  <c r="AL108" i="1"/>
  <c r="S108" i="1"/>
  <c r="T108" i="1" s="1"/>
  <c r="B217" i="1"/>
  <c r="AM166" i="1"/>
  <c r="AL166" i="1"/>
  <c r="S166" i="1"/>
  <c r="T166" i="1" s="1"/>
  <c r="B216" i="1"/>
  <c r="AM42" i="1"/>
  <c r="AL42" i="1"/>
  <c r="S42" i="1"/>
  <c r="T42" i="1" s="1"/>
  <c r="B210" i="1"/>
  <c r="S15" i="1"/>
  <c r="T15" i="1" s="1"/>
  <c r="S220" i="1"/>
  <c r="T220" i="1" s="1"/>
  <c r="AM231" i="1"/>
  <c r="AL231" i="1"/>
  <c r="S231" i="1"/>
  <c r="T231" i="1" s="1"/>
  <c r="B231" i="1"/>
  <c r="S218" i="1"/>
  <c r="T218" i="1" s="1"/>
  <c r="AM232" i="1"/>
  <c r="AL232" i="1"/>
  <c r="S232" i="1"/>
  <c r="T232" i="1" s="1"/>
  <c r="B232" i="1"/>
  <c r="AM95" i="1"/>
  <c r="AL95" i="1"/>
  <c r="S95" i="1"/>
  <c r="T95" i="1" s="1"/>
  <c r="B222" i="1"/>
  <c r="AM21" i="1"/>
  <c r="AL21" i="1"/>
  <c r="S21" i="1"/>
  <c r="T21" i="1" s="1"/>
  <c r="B221" i="1"/>
  <c r="AM109" i="1"/>
  <c r="AL109" i="1"/>
  <c r="S109" i="1"/>
  <c r="T109" i="1" s="1"/>
  <c r="B220" i="1"/>
  <c r="B209" i="1"/>
  <c r="AM104" i="1"/>
  <c r="AL104" i="1"/>
  <c r="S104" i="1"/>
  <c r="T104" i="1" s="1"/>
  <c r="AM191" i="1"/>
  <c r="AL191" i="1"/>
  <c r="S191" i="1"/>
  <c r="T191" i="1" s="1"/>
  <c r="AM181" i="1"/>
  <c r="AL181" i="1"/>
  <c r="S181" i="1"/>
  <c r="T181" i="1" s="1"/>
  <c r="B208" i="1"/>
  <c r="AM179" i="1"/>
  <c r="AL179" i="1"/>
  <c r="S179" i="1"/>
  <c r="T179" i="1" s="1"/>
  <c r="AM98" i="1"/>
  <c r="AL98" i="1"/>
  <c r="S98" i="1"/>
  <c r="T98" i="1" s="1"/>
  <c r="AM158" i="1"/>
  <c r="AL158" i="1"/>
  <c r="S158" i="1"/>
  <c r="T158" i="1" s="1"/>
  <c r="B207" i="1"/>
  <c r="AM49" i="1"/>
  <c r="AL49" i="1"/>
  <c r="S49" i="1"/>
  <c r="T49" i="1" s="1"/>
  <c r="AM48" i="1"/>
  <c r="AL48" i="1"/>
  <c r="S48" i="1"/>
  <c r="T48" i="1" s="1"/>
  <c r="AM122" i="1"/>
  <c r="AL122" i="1"/>
  <c r="S122" i="1"/>
  <c r="T122" i="1" s="1"/>
  <c r="B206" i="1"/>
  <c r="AM105" i="1"/>
  <c r="AL105" i="1"/>
  <c r="S105" i="1"/>
  <c r="T105" i="1" s="1"/>
  <c r="AM171" i="1"/>
  <c r="AL171" i="1"/>
  <c r="S171" i="1"/>
  <c r="T171" i="1" s="1"/>
  <c r="AM128" i="1"/>
  <c r="AL128" i="1"/>
  <c r="S128" i="1"/>
  <c r="T128" i="1" s="1"/>
  <c r="AM123" i="1"/>
  <c r="AL123" i="1"/>
  <c r="S123" i="1"/>
  <c r="T123" i="1" s="1"/>
  <c r="AM121" i="1"/>
  <c r="AL121" i="1"/>
  <c r="S121" i="1"/>
  <c r="T121" i="1" s="1"/>
  <c r="B205" i="1"/>
  <c r="AM86" i="1"/>
  <c r="AL86" i="1"/>
  <c r="S86" i="1"/>
  <c r="T86" i="1" s="1"/>
  <c r="B204" i="1"/>
  <c r="AM99" i="1"/>
  <c r="AL99" i="1"/>
  <c r="S99" i="1"/>
  <c r="T99" i="1" s="1"/>
  <c r="B203" i="1"/>
  <c r="AM140" i="1"/>
  <c r="AL140" i="1"/>
  <c r="S140" i="1"/>
  <c r="T140" i="1" s="1"/>
  <c r="B202" i="1"/>
  <c r="AM139" i="1"/>
  <c r="AL139" i="1"/>
  <c r="S139" i="1"/>
  <c r="T139" i="1" s="1"/>
  <c r="B201" i="1"/>
  <c r="AM59" i="1"/>
  <c r="AL59" i="1"/>
  <c r="S59" i="1"/>
  <c r="T59" i="1" s="1"/>
  <c r="B200" i="1"/>
  <c r="AM117" i="1"/>
  <c r="AL117" i="1"/>
  <c r="S117" i="1"/>
  <c r="T117" i="1" s="1"/>
  <c r="B199" i="1"/>
  <c r="AM116" i="1"/>
  <c r="AL116" i="1"/>
  <c r="S116" i="1"/>
  <c r="T116" i="1" s="1"/>
  <c r="B198" i="1"/>
  <c r="AM96" i="1"/>
  <c r="AL96" i="1"/>
  <c r="S96" i="1"/>
  <c r="T96" i="1" s="1"/>
  <c r="B197" i="1"/>
  <c r="AM97" i="1"/>
  <c r="AL97" i="1"/>
  <c r="S97" i="1"/>
  <c r="T97" i="1" s="1"/>
  <c r="B196" i="1"/>
  <c r="AM137" i="1"/>
  <c r="AL137" i="1"/>
  <c r="S137" i="1"/>
  <c r="T137" i="1" s="1"/>
  <c r="B195" i="1"/>
  <c r="AM127" i="1"/>
  <c r="AL127" i="1"/>
  <c r="S127" i="1"/>
  <c r="T127" i="1" s="1"/>
  <c r="B194" i="1"/>
  <c r="AM85" i="1"/>
  <c r="AL85" i="1"/>
  <c r="S85" i="1"/>
  <c r="T85" i="1" s="1"/>
  <c r="B193" i="1"/>
  <c r="AM173" i="1"/>
  <c r="AL173" i="1"/>
  <c r="S173" i="1"/>
  <c r="T173" i="1" s="1"/>
  <c r="B192" i="1"/>
  <c r="AM28" i="1"/>
  <c r="AL28" i="1"/>
  <c r="S28" i="1"/>
  <c r="T28" i="1" s="1"/>
  <c r="B191" i="1"/>
  <c r="AM82" i="1"/>
  <c r="AL82" i="1"/>
  <c r="S82" i="1"/>
  <c r="T82" i="1" s="1"/>
  <c r="B190" i="1"/>
  <c r="AM81" i="1"/>
  <c r="AL81" i="1"/>
  <c r="S81" i="1"/>
  <c r="T81" i="1" s="1"/>
  <c r="B189" i="1"/>
  <c r="AM168" i="1"/>
  <c r="AL168" i="1"/>
  <c r="S168" i="1"/>
  <c r="T168" i="1" s="1"/>
  <c r="B188" i="1"/>
  <c r="AM167" i="1"/>
  <c r="AL167" i="1"/>
  <c r="S167" i="1"/>
  <c r="T167" i="1" s="1"/>
  <c r="B187" i="1"/>
  <c r="AM80" i="1"/>
  <c r="AL80" i="1"/>
  <c r="S80" i="1"/>
  <c r="T80" i="1" s="1"/>
  <c r="B186" i="1"/>
  <c r="AM165" i="1"/>
  <c r="AL165" i="1"/>
  <c r="S165" i="1"/>
  <c r="T165" i="1" s="1"/>
  <c r="B185" i="1"/>
  <c r="AM115" i="1"/>
  <c r="AL115" i="1"/>
  <c r="S115" i="1"/>
  <c r="T115" i="1" s="1"/>
  <c r="B184" i="1"/>
  <c r="AM114" i="1"/>
  <c r="AL114" i="1"/>
  <c r="S114" i="1"/>
  <c r="T114" i="1" s="1"/>
  <c r="B183" i="1"/>
  <c r="AM120" i="1"/>
  <c r="AL120" i="1"/>
  <c r="S120" i="1"/>
  <c r="T120" i="1" s="1"/>
  <c r="B182" i="1"/>
  <c r="AM119" i="1"/>
  <c r="AL119" i="1"/>
  <c r="S119" i="1"/>
  <c r="T119" i="1" s="1"/>
  <c r="B181" i="1"/>
  <c r="AM112" i="1"/>
  <c r="AL112" i="1"/>
  <c r="S112" i="1"/>
  <c r="T112" i="1" s="1"/>
  <c r="B180" i="1"/>
  <c r="AM111" i="1"/>
  <c r="AL111" i="1"/>
  <c r="S111" i="1"/>
  <c r="T111" i="1" s="1"/>
  <c r="B179" i="1"/>
  <c r="AM136" i="1"/>
  <c r="AL136" i="1"/>
  <c r="S136" i="1"/>
  <c r="T136" i="1" s="1"/>
  <c r="B178" i="1"/>
  <c r="AM135" i="1"/>
  <c r="AL135" i="1"/>
  <c r="S135" i="1"/>
  <c r="T135" i="1" s="1"/>
  <c r="B177" i="1"/>
  <c r="AM84" i="1"/>
  <c r="AL84" i="1"/>
  <c r="S84" i="1"/>
  <c r="T84" i="1" s="1"/>
  <c r="B176" i="1"/>
  <c r="AM83" i="1"/>
  <c r="AL83" i="1"/>
  <c r="S83" i="1"/>
  <c r="T83" i="1" s="1"/>
  <c r="B175" i="1"/>
  <c r="AM134" i="1"/>
  <c r="AL134" i="1"/>
  <c r="S134" i="1"/>
  <c r="T134" i="1" s="1"/>
  <c r="B174" i="1"/>
  <c r="AM133" i="1"/>
  <c r="AL133" i="1"/>
  <c r="S133" i="1"/>
  <c r="T133" i="1" s="1"/>
  <c r="B173" i="1"/>
  <c r="B172" i="1"/>
  <c r="B171" i="1"/>
  <c r="AM218" i="1"/>
  <c r="AL218" i="1"/>
  <c r="B170" i="1"/>
  <c r="B169" i="1"/>
  <c r="S91" i="1"/>
  <c r="T91" i="1" s="1"/>
  <c r="AM157" i="1"/>
  <c r="AL157" i="1"/>
  <c r="AM43" i="1"/>
  <c r="AL43" i="1"/>
  <c r="AM113" i="1"/>
  <c r="AL113" i="1"/>
  <c r="AM100" i="1"/>
  <c r="AL100" i="1"/>
  <c r="AM94" i="1"/>
  <c r="AL94" i="1"/>
  <c r="AM16" i="1"/>
  <c r="AL16" i="1"/>
  <c r="AM216" i="1"/>
  <c r="AL216" i="1"/>
  <c r="AM206" i="1"/>
  <c r="AL206" i="1"/>
  <c r="AM207" i="1"/>
  <c r="AL207" i="1"/>
  <c r="AM23" i="1"/>
  <c r="AL23" i="1"/>
  <c r="AM29" i="1"/>
  <c r="AL29" i="1"/>
  <c r="AM161" i="1"/>
  <c r="AL161" i="1"/>
  <c r="AM183" i="1"/>
  <c r="AL183" i="1"/>
  <c r="AM15" i="1"/>
  <c r="AL15" i="1"/>
  <c r="AM164" i="1"/>
  <c r="AL164" i="1"/>
  <c r="AM170" i="1"/>
  <c r="AL170" i="1"/>
  <c r="AM187" i="1"/>
  <c r="AL187" i="1"/>
  <c r="AM188" i="1"/>
  <c r="AL188" i="1"/>
  <c r="AM175" i="1"/>
  <c r="AL175" i="1"/>
  <c r="AM176" i="1"/>
  <c r="AL176" i="1"/>
  <c r="AL169" i="1"/>
  <c r="AL226" i="1"/>
  <c r="AM50" i="1"/>
  <c r="AL50" i="1"/>
  <c r="AM141" i="1"/>
  <c r="AL141" i="1"/>
  <c r="AM152" i="1"/>
  <c r="AL152" i="1"/>
  <c r="S170" i="1"/>
  <c r="T170" i="1" s="1"/>
  <c r="S187" i="1"/>
  <c r="T187" i="1" s="1"/>
  <c r="B23" i="1"/>
  <c r="S188" i="1"/>
  <c r="T188" i="1" s="1"/>
  <c r="S175" i="1"/>
  <c r="T175" i="1" s="1"/>
  <c r="S176" i="1"/>
  <c r="T176" i="1" s="1"/>
  <c r="B22" i="1"/>
  <c r="S169" i="1"/>
  <c r="T169" i="1" s="1"/>
  <c r="S226" i="1"/>
  <c r="T226" i="1" s="1"/>
  <c r="B21" i="1"/>
  <c r="B66" i="1"/>
  <c r="B65" i="1"/>
  <c r="B64" i="1"/>
  <c r="B63" i="1"/>
  <c r="B62" i="1"/>
  <c r="B61" i="1"/>
  <c r="B60" i="1"/>
  <c r="B59" i="1"/>
  <c r="B58" i="1"/>
  <c r="S50" i="1"/>
  <c r="T50" i="1" s="1"/>
  <c r="B20" i="1"/>
  <c r="S141" i="1"/>
  <c r="T141" i="1" s="1"/>
  <c r="B19" i="1"/>
  <c r="S152" i="1"/>
  <c r="T152" i="1" s="1"/>
  <c r="AN177" i="1"/>
  <c r="AO177" i="1" s="1"/>
  <c r="S177" i="1"/>
  <c r="T177" i="1" s="1"/>
  <c r="AN212" i="1"/>
  <c r="AO212" i="1" s="1"/>
  <c r="S212" i="1"/>
  <c r="T212" i="1" s="1"/>
  <c r="B25" i="1"/>
  <c r="AN162" i="1"/>
  <c r="AO162" i="1" s="1"/>
  <c r="S162" i="1"/>
  <c r="T162" i="1" s="1"/>
  <c r="B168" i="1"/>
  <c r="AM71" i="1"/>
  <c r="AL71" i="1"/>
  <c r="S71" i="1"/>
  <c r="T71" i="1" s="1"/>
  <c r="AM64" i="1"/>
  <c r="AL64" i="1"/>
  <c r="S64" i="1"/>
  <c r="T64" i="1" s="1"/>
  <c r="AM196" i="1"/>
  <c r="AL196" i="1"/>
  <c r="S196" i="1"/>
  <c r="T196" i="1" s="1"/>
  <c r="AM27" i="1"/>
  <c r="AL27" i="1"/>
  <c r="S27" i="1"/>
  <c r="T27" i="1" s="1"/>
  <c r="AM184" i="1"/>
  <c r="AL184" i="1"/>
  <c r="S184" i="1"/>
  <c r="T184" i="1" s="1"/>
  <c r="AM25" i="1"/>
  <c r="AL25" i="1"/>
  <c r="S25" i="1"/>
  <c r="T25" i="1" s="1"/>
  <c r="B165" i="1"/>
  <c r="AM76" i="1"/>
  <c r="AL76" i="1"/>
  <c r="S76" i="1"/>
  <c r="T76" i="1" s="1"/>
  <c r="B164" i="1"/>
  <c r="AM185" i="1"/>
  <c r="AL185" i="1"/>
  <c r="S185" i="1"/>
  <c r="T185" i="1" s="1"/>
  <c r="B163" i="1"/>
  <c r="AM160" i="1"/>
  <c r="AL160" i="1"/>
  <c r="S160" i="1"/>
  <c r="T160" i="1" s="1"/>
  <c r="B162" i="1"/>
  <c r="AM72" i="1"/>
  <c r="AL72" i="1"/>
  <c r="S72" i="1"/>
  <c r="T72" i="1" s="1"/>
  <c r="B161" i="1"/>
  <c r="AM70" i="1"/>
  <c r="AL70" i="1"/>
  <c r="S70" i="1"/>
  <c r="T70" i="1" s="1"/>
  <c r="B160" i="1"/>
  <c r="AM69" i="1"/>
  <c r="AL69" i="1"/>
  <c r="S69" i="1"/>
  <c r="T69" i="1" s="1"/>
  <c r="B159" i="1"/>
  <c r="AM68" i="1"/>
  <c r="AL68" i="1"/>
  <c r="S68" i="1"/>
  <c r="T68" i="1" s="1"/>
  <c r="B158" i="1"/>
  <c r="AM147" i="1"/>
  <c r="AL147" i="1"/>
  <c r="S147" i="1"/>
  <c r="T147" i="1" s="1"/>
  <c r="B167" i="1"/>
  <c r="AM148" i="1"/>
  <c r="AL148" i="1"/>
  <c r="S148" i="1"/>
  <c r="T148" i="1" s="1"/>
  <c r="B166" i="1"/>
  <c r="AM145" i="1"/>
  <c r="AL145" i="1"/>
  <c r="S145" i="1"/>
  <c r="T145" i="1" s="1"/>
  <c r="AM146" i="1"/>
  <c r="AL146" i="1"/>
  <c r="S146" i="1"/>
  <c r="T146" i="1" s="1"/>
  <c r="B24" i="1"/>
  <c r="B234" i="1" s="1"/>
  <c r="AM63" i="1"/>
  <c r="AL63" i="1"/>
  <c r="S63" i="1"/>
  <c r="T63" i="1" s="1"/>
  <c r="AM26" i="1"/>
  <c r="AL26" i="1"/>
  <c r="S26" i="1"/>
  <c r="T26" i="1" s="1"/>
  <c r="AM58" i="1"/>
  <c r="AL58" i="1"/>
  <c r="S58" i="1"/>
  <c r="T58" i="1" s="1"/>
  <c r="AM44" i="1"/>
  <c r="AL44" i="1"/>
  <c r="S44" i="1"/>
  <c r="T44" i="1" s="1"/>
  <c r="B152" i="1"/>
  <c r="AM47" i="1"/>
  <c r="AL47" i="1"/>
  <c r="S47" i="1"/>
  <c r="T47" i="1" s="1"/>
  <c r="B151" i="1"/>
  <c r="AM78" i="1"/>
  <c r="AL78" i="1"/>
  <c r="S78" i="1"/>
  <c r="T78" i="1" s="1"/>
  <c r="B150" i="1"/>
  <c r="AM159" i="1"/>
  <c r="AL159" i="1"/>
  <c r="S159" i="1"/>
  <c r="T159" i="1" s="1"/>
  <c r="B149" i="1"/>
  <c r="AM22" i="1"/>
  <c r="AL22" i="1"/>
  <c r="S22" i="1"/>
  <c r="T22" i="1" s="1"/>
  <c r="B148" i="1"/>
  <c r="AM52" i="1"/>
  <c r="AL52" i="1"/>
  <c r="S52" i="1"/>
  <c r="T52" i="1" s="1"/>
  <c r="B147" i="1"/>
  <c r="AM77" i="1"/>
  <c r="AL77" i="1"/>
  <c r="S77" i="1"/>
  <c r="T77" i="1" s="1"/>
  <c r="B146" i="1"/>
  <c r="AM51" i="1"/>
  <c r="AL51" i="1"/>
  <c r="S51" i="1"/>
  <c r="T51" i="1" s="1"/>
  <c r="B145" i="1"/>
  <c r="AM195" i="1"/>
  <c r="AL195" i="1"/>
  <c r="S195" i="1"/>
  <c r="T195" i="1" s="1"/>
  <c r="B144" i="1"/>
  <c r="AM194" i="1"/>
  <c r="AL194" i="1"/>
  <c r="S194" i="1"/>
  <c r="T194" i="1" s="1"/>
  <c r="B143" i="1"/>
  <c r="AM193" i="1"/>
  <c r="AL193" i="1"/>
  <c r="S193" i="1"/>
  <c r="T193" i="1" s="1"/>
  <c r="B142" i="1"/>
  <c r="AM36" i="1"/>
  <c r="AL36" i="1"/>
  <c r="S36" i="1"/>
  <c r="T36" i="1" s="1"/>
  <c r="B133" i="1"/>
  <c r="AM32" i="1"/>
  <c r="AL32" i="1"/>
  <c r="S32" i="1"/>
  <c r="T32" i="1" s="1"/>
  <c r="B132" i="1"/>
  <c r="AM31" i="1"/>
  <c r="AL31" i="1"/>
  <c r="S31" i="1"/>
  <c r="T31" i="1" s="1"/>
  <c r="B131" i="1"/>
  <c r="AM39" i="1"/>
  <c r="AL39" i="1"/>
  <c r="S39" i="1"/>
  <c r="T39" i="1" s="1"/>
  <c r="B130" i="1"/>
  <c r="AM38" i="1"/>
  <c r="AL38" i="1"/>
  <c r="S38" i="1"/>
  <c r="T38" i="1" s="1"/>
  <c r="B129" i="1"/>
  <c r="AM202" i="1"/>
  <c r="AL202" i="1"/>
  <c r="S202" i="1"/>
  <c r="T202" i="1" s="1"/>
  <c r="B128" i="1"/>
  <c r="AM189" i="1"/>
  <c r="AL189" i="1"/>
  <c r="S189" i="1"/>
  <c r="T189" i="1" s="1"/>
  <c r="B127" i="1"/>
  <c r="AM55" i="1"/>
  <c r="AL55" i="1"/>
  <c r="S55" i="1"/>
  <c r="T55" i="1" s="1"/>
  <c r="B126" i="1"/>
  <c r="AM150" i="1"/>
  <c r="AL150" i="1"/>
  <c r="S150" i="1"/>
  <c r="T150" i="1" s="1"/>
  <c r="B125" i="1"/>
  <c r="B124" i="1"/>
  <c r="AM74" i="1"/>
  <c r="AL74" i="1"/>
  <c r="S74" i="1"/>
  <c r="T74" i="1" s="1"/>
  <c r="B123" i="1"/>
  <c r="AM215" i="1"/>
  <c r="AL215" i="1"/>
  <c r="S215" i="1"/>
  <c r="T215" i="1" s="1"/>
  <c r="B122" i="1"/>
  <c r="AM37" i="1"/>
  <c r="AL37" i="1"/>
  <c r="S37" i="1"/>
  <c r="T37" i="1" s="1"/>
  <c r="B121" i="1"/>
  <c r="B120" i="1"/>
  <c r="AM198" i="1"/>
  <c r="AL198" i="1"/>
  <c r="S198" i="1"/>
  <c r="T198" i="1" s="1"/>
  <c r="B119" i="1"/>
  <c r="AM186" i="1"/>
  <c r="AL186" i="1"/>
  <c r="S186" i="1"/>
  <c r="T186" i="1" s="1"/>
  <c r="B118" i="1"/>
  <c r="AM144" i="1"/>
  <c r="AL144" i="1"/>
  <c r="S144" i="1"/>
  <c r="T144" i="1" s="1"/>
  <c r="B117" i="1"/>
  <c r="B116" i="1"/>
  <c r="AM103" i="1"/>
  <c r="AL103" i="1"/>
  <c r="S103" i="1"/>
  <c r="T103" i="1" s="1"/>
  <c r="B115" i="1"/>
  <c r="B114" i="1"/>
  <c r="AM213" i="1"/>
  <c r="AL213" i="1"/>
  <c r="S213" i="1"/>
  <c r="T213" i="1" s="1"/>
  <c r="B109" i="1"/>
  <c r="AM182" i="1"/>
  <c r="AL182" i="1"/>
  <c r="S182" i="1"/>
  <c r="T182" i="1" s="1"/>
  <c r="B108" i="1"/>
  <c r="AM132" i="1"/>
  <c r="AL132" i="1"/>
  <c r="S132" i="1"/>
  <c r="T132" i="1" s="1"/>
  <c r="B107" i="1"/>
  <c r="AM73" i="1"/>
  <c r="AL73" i="1"/>
  <c r="S73" i="1"/>
  <c r="T73" i="1" s="1"/>
  <c r="B106" i="1"/>
  <c r="AM19" i="1"/>
  <c r="AL19" i="1"/>
  <c r="S19" i="1"/>
  <c r="T19" i="1" s="1"/>
  <c r="B105" i="1"/>
  <c r="B104" i="1"/>
  <c r="AM57" i="1"/>
  <c r="AL57" i="1"/>
  <c r="S57" i="1"/>
  <c r="T57" i="1" s="1"/>
  <c r="B103" i="1"/>
  <c r="AM190" i="1"/>
  <c r="AL190" i="1"/>
  <c r="S190" i="1"/>
  <c r="T190" i="1" s="1"/>
  <c r="B102" i="1"/>
  <c r="AM131" i="1"/>
  <c r="AL131" i="1"/>
  <c r="S131" i="1"/>
  <c r="T131" i="1" s="1"/>
  <c r="B101" i="1"/>
  <c r="AM102" i="1"/>
  <c r="AL102" i="1"/>
  <c r="S102" i="1"/>
  <c r="T102" i="1" s="1"/>
  <c r="B100" i="1"/>
  <c r="AM54" i="1"/>
  <c r="AL54" i="1"/>
  <c r="S54" i="1"/>
  <c r="T54" i="1" s="1"/>
  <c r="B99" i="1"/>
  <c r="AM143" i="1"/>
  <c r="AL143" i="1"/>
  <c r="S143" i="1"/>
  <c r="T143" i="1" s="1"/>
  <c r="B98" i="1"/>
  <c r="AM67" i="1"/>
  <c r="AL67" i="1"/>
  <c r="S67" i="1"/>
  <c r="T67" i="1" s="1"/>
  <c r="B97" i="1"/>
  <c r="AM53" i="1"/>
  <c r="AL53" i="1"/>
  <c r="S53" i="1"/>
  <c r="T53" i="1" s="1"/>
  <c r="B96" i="1"/>
  <c r="AM211" i="1"/>
  <c r="AL211" i="1"/>
  <c r="S211" i="1"/>
  <c r="T211" i="1" s="1"/>
  <c r="B95" i="1"/>
  <c r="B94" i="1"/>
  <c r="AM20" i="1"/>
  <c r="AL20" i="1"/>
  <c r="S20" i="1"/>
  <c r="T20" i="1" s="1"/>
  <c r="B93" i="1"/>
  <c r="AM101" i="1"/>
  <c r="AL101" i="1"/>
  <c r="S101" i="1"/>
  <c r="T101" i="1" s="1"/>
  <c r="B92" i="1"/>
  <c r="AM142" i="1"/>
  <c r="AL142" i="1"/>
  <c r="S142" i="1"/>
  <c r="T142" i="1" s="1"/>
  <c r="B91" i="1"/>
  <c r="AM18" i="1"/>
  <c r="AL18" i="1"/>
  <c r="S18" i="1"/>
  <c r="T18" i="1" s="1"/>
  <c r="B90" i="1"/>
  <c r="AM208" i="1"/>
  <c r="AL208" i="1"/>
  <c r="S208" i="1"/>
  <c r="T208" i="1" s="1"/>
  <c r="B89" i="1"/>
  <c r="B88" i="1"/>
  <c r="AM66" i="1"/>
  <c r="AL66" i="1"/>
  <c r="S66" i="1"/>
  <c r="T66" i="1" s="1"/>
  <c r="B87" i="1"/>
  <c r="AM65" i="1"/>
  <c r="AL65" i="1"/>
  <c r="S65" i="1"/>
  <c r="T65" i="1" s="1"/>
  <c r="B86" i="1"/>
  <c r="AM192" i="1"/>
  <c r="AL192" i="1"/>
  <c r="S192" i="1"/>
  <c r="T192" i="1" s="1"/>
  <c r="B141" i="1"/>
  <c r="AM35" i="1"/>
  <c r="AL35" i="1"/>
  <c r="S35" i="1"/>
  <c r="T35" i="1" s="1"/>
  <c r="B140" i="1"/>
  <c r="AM34" i="1"/>
  <c r="AL34" i="1"/>
  <c r="S34" i="1"/>
  <c r="T34" i="1" s="1"/>
  <c r="B139" i="1"/>
  <c r="AM223" i="1"/>
  <c r="AL223" i="1"/>
  <c r="B138" i="1"/>
  <c r="AM33" i="1"/>
  <c r="AL33" i="1"/>
  <c r="S33" i="1"/>
  <c r="T33" i="1" s="1"/>
  <c r="B137" i="1"/>
  <c r="AM17" i="1"/>
  <c r="AL17" i="1"/>
  <c r="S17" i="1"/>
  <c r="T17" i="1" s="1"/>
  <c r="B136" i="1"/>
  <c r="AM41" i="1"/>
  <c r="AL41" i="1"/>
  <c r="S41" i="1"/>
  <c r="T41" i="1" s="1"/>
  <c r="B135" i="1"/>
  <c r="AM40" i="1"/>
  <c r="AL40" i="1"/>
  <c r="S40" i="1"/>
  <c r="T40" i="1" s="1"/>
  <c r="B134" i="1"/>
  <c r="AM24" i="1"/>
  <c r="AL24" i="1"/>
  <c r="S24" i="1"/>
  <c r="T24" i="1" s="1"/>
  <c r="B113" i="1"/>
  <c r="AM154" i="1"/>
  <c r="AL154" i="1"/>
  <c r="S154" i="1"/>
  <c r="T154" i="1" s="1"/>
  <c r="B112" i="1"/>
  <c r="AM62" i="1"/>
  <c r="AL62" i="1"/>
  <c r="S62" i="1"/>
  <c r="T62" i="1" s="1"/>
  <c r="B111" i="1"/>
  <c r="AM214" i="1"/>
  <c r="AL214" i="1"/>
  <c r="S214" i="1"/>
  <c r="T214" i="1" s="1"/>
  <c r="B110" i="1"/>
  <c r="AM46" i="1"/>
  <c r="AL46" i="1"/>
  <c r="S46" i="1"/>
  <c r="T46" i="1" s="1"/>
  <c r="B155" i="1"/>
  <c r="AM45" i="1"/>
  <c r="AL45" i="1"/>
  <c r="S45" i="1"/>
  <c r="T45" i="1" s="1"/>
  <c r="B154" i="1"/>
  <c r="AM153" i="1"/>
  <c r="AL153" i="1"/>
  <c r="S153" i="1"/>
  <c r="T153" i="1" s="1"/>
  <c r="B153" i="1"/>
  <c r="AM197" i="1"/>
  <c r="AL197" i="1"/>
  <c r="S197" i="1"/>
  <c r="T197" i="1" s="1"/>
  <c r="B57" i="1"/>
  <c r="AM90" i="1"/>
  <c r="AL90" i="1"/>
  <c r="S90" i="1"/>
  <c r="T90" i="1" s="1"/>
  <c r="B56" i="1"/>
  <c r="AM201" i="1"/>
  <c r="AL201" i="1"/>
  <c r="S201" i="1"/>
  <c r="T201" i="1" s="1"/>
  <c r="B55" i="1"/>
  <c r="AM88" i="1"/>
  <c r="AL88" i="1"/>
  <c r="S88" i="1"/>
  <c r="T88" i="1" s="1"/>
  <c r="B54" i="1"/>
  <c r="AM200" i="1"/>
  <c r="AL200" i="1"/>
  <c r="S200" i="1"/>
  <c r="T200" i="1" s="1"/>
  <c r="B53" i="1"/>
  <c r="AM87" i="1"/>
  <c r="AL87" i="1"/>
  <c r="S87" i="1"/>
  <c r="T87" i="1" s="1"/>
  <c r="B52" i="1"/>
  <c r="AM93" i="1"/>
  <c r="AL93" i="1"/>
  <c r="S93" i="1"/>
  <c r="T93" i="1" s="1"/>
  <c r="B157" i="1"/>
  <c r="AM180" i="1"/>
  <c r="AL180" i="1"/>
  <c r="S180" i="1"/>
  <c r="T180" i="1" s="1"/>
  <c r="B156" i="1"/>
  <c r="AM222" i="1"/>
  <c r="AL222" i="1"/>
  <c r="S222" i="1"/>
  <c r="T222" i="1" s="1"/>
  <c r="B51" i="1"/>
  <c r="AM220" i="1"/>
  <c r="AL220" i="1"/>
  <c r="B41" i="1"/>
  <c r="AM89" i="1"/>
  <c r="AL89" i="1"/>
  <c r="S89" i="1"/>
  <c r="T89" i="1" s="1"/>
  <c r="B40" i="1"/>
  <c r="AM199" i="1"/>
  <c r="AL199" i="1"/>
  <c r="S199" i="1"/>
  <c r="T199" i="1" s="1"/>
  <c r="B39" i="1"/>
  <c r="B38" i="1"/>
  <c r="AM219" i="1"/>
  <c r="AL219" i="1"/>
  <c r="S219" i="1"/>
  <c r="T219" i="1" s="1"/>
  <c r="B37" i="1"/>
  <c r="B36" i="1"/>
  <c r="B35" i="1"/>
  <c r="B34" i="1"/>
  <c r="B33" i="1"/>
  <c r="AM224" i="1"/>
  <c r="AL224" i="1"/>
  <c r="S224" i="1"/>
  <c r="T224" i="1" s="1"/>
  <c r="B32" i="1"/>
  <c r="AM91" i="1"/>
  <c r="AL91" i="1"/>
  <c r="B31" i="1"/>
  <c r="B30" i="1"/>
  <c r="AM92" i="1"/>
  <c r="AL92" i="1"/>
  <c r="S92" i="1"/>
  <c r="T92" i="1" s="1"/>
  <c r="B29" i="1"/>
  <c r="AM163" i="1"/>
  <c r="AL163" i="1"/>
  <c r="S163" i="1"/>
  <c r="T163" i="1" s="1"/>
  <c r="B46" i="1"/>
  <c r="AM172" i="1"/>
  <c r="AL172" i="1"/>
  <c r="S172" i="1"/>
  <c r="T172" i="1" s="1"/>
  <c r="B45" i="1"/>
  <c r="AM61" i="1"/>
  <c r="AL61" i="1"/>
  <c r="S61" i="1"/>
  <c r="T61" i="1" s="1"/>
  <c r="B44" i="1"/>
  <c r="AM178" i="1"/>
  <c r="AL178" i="1"/>
  <c r="S178" i="1"/>
  <c r="T178" i="1" s="1"/>
  <c r="B43" i="1"/>
  <c r="B42" i="1"/>
  <c r="AM56" i="1"/>
  <c r="AL56" i="1"/>
  <c r="S56" i="1"/>
  <c r="T56" i="1" s="1"/>
  <c r="B28" i="1"/>
  <c r="AM30" i="1"/>
  <c r="AL30" i="1"/>
  <c r="S30" i="1"/>
  <c r="T30" i="1" s="1"/>
  <c r="B85" i="1"/>
  <c r="S157" i="1"/>
  <c r="T157" i="1" s="1"/>
  <c r="B27" i="1"/>
  <c r="S43" i="1"/>
  <c r="T43" i="1" s="1"/>
  <c r="B84" i="1"/>
  <c r="B50" i="1"/>
  <c r="AM225" i="1"/>
  <c r="AL225" i="1"/>
  <c r="S225" i="1"/>
  <c r="T225" i="1" s="1"/>
  <c r="B49" i="1"/>
  <c r="AM79" i="1"/>
  <c r="AL79" i="1"/>
  <c r="S79" i="1"/>
  <c r="T79" i="1" s="1"/>
  <c r="B48" i="1"/>
  <c r="AM221" i="1"/>
  <c r="AL221" i="1"/>
  <c r="S221" i="1"/>
  <c r="T221" i="1" s="1"/>
  <c r="B47" i="1"/>
  <c r="S113" i="1"/>
  <c r="T113" i="1" s="1"/>
  <c r="B83" i="1"/>
  <c r="S16" i="1"/>
  <c r="T16" i="1" s="1"/>
  <c r="B80" i="1"/>
  <c r="S216" i="1"/>
  <c r="T216" i="1" s="1"/>
  <c r="B79" i="1"/>
  <c r="B78" i="1"/>
  <c r="S206" i="1"/>
  <c r="T206" i="1" s="1"/>
  <c r="B77" i="1"/>
  <c r="B76" i="1"/>
  <c r="S207" i="1"/>
  <c r="T207" i="1" s="1"/>
  <c r="B75" i="1"/>
  <c r="B74" i="1"/>
  <c r="B73" i="1"/>
  <c r="B81" i="1"/>
  <c r="S23" i="1"/>
  <c r="T23" i="1" s="1"/>
  <c r="B72" i="1"/>
  <c r="S29" i="1"/>
  <c r="T29" i="1" s="1"/>
  <c r="B71" i="1"/>
  <c r="S161" i="1"/>
  <c r="T161" i="1" s="1"/>
  <c r="B70" i="1"/>
  <c r="S183" i="1"/>
  <c r="T183" i="1" s="1"/>
  <c r="B69" i="1"/>
  <c r="B68" i="1"/>
  <c r="S100" i="1"/>
  <c r="T100" i="1" s="1"/>
  <c r="B26" i="1"/>
  <c r="S94" i="1"/>
  <c r="T94" i="1" s="1"/>
  <c r="B82" i="1"/>
  <c r="S164" i="1"/>
  <c r="T164" i="1" s="1"/>
  <c r="B67" i="1"/>
  <c r="AM205" i="1"/>
  <c r="AL205" i="1"/>
  <c r="S205" i="1"/>
  <c r="T205" i="1" s="1"/>
  <c r="AL75" i="1"/>
  <c r="S75" i="1"/>
  <c r="T75" i="1" s="1"/>
  <c r="AM204" i="1"/>
  <c r="S204" i="1"/>
  <c r="T204" i="1" s="1"/>
  <c r="AM203" i="1"/>
  <c r="AL203" i="1"/>
  <c r="S203" i="1"/>
  <c r="T203" i="1" s="1"/>
  <c r="B18" i="1"/>
  <c r="AL227" i="1"/>
  <c r="S227" i="1"/>
  <c r="T227" i="1" s="1"/>
  <c r="B17" i="1"/>
  <c r="B16" i="1"/>
  <c r="B15" i="1"/>
  <c r="AM209" i="1"/>
  <c r="AL209" i="1"/>
  <c r="AM149" i="1"/>
  <c r="AL149" i="1"/>
  <c r="AM107" i="1"/>
  <c r="AL107" i="1"/>
  <c r="AM151" i="1"/>
  <c r="AL151" i="1"/>
  <c r="AN217" i="1"/>
  <c r="AO217" i="1" s="1"/>
  <c r="AN130" i="1"/>
  <c r="AO130" i="1" s="1"/>
  <c r="S209" i="1"/>
  <c r="T209" i="1" s="1"/>
  <c r="S149" i="1"/>
  <c r="T149" i="1" s="1"/>
  <c r="S107" i="1"/>
  <c r="T107" i="1" s="1"/>
  <c r="S151" i="1"/>
  <c r="T151" i="1" s="1"/>
  <c r="S217" i="1"/>
  <c r="T217" i="1" s="1"/>
  <c r="S130" i="1"/>
  <c r="T130" i="1" s="1"/>
  <c r="AA10" i="3"/>
  <c r="AA5" i="3"/>
  <c r="H40" i="2"/>
  <c r="G40" i="2"/>
  <c r="F40" i="2"/>
  <c r="E40" i="2"/>
  <c r="D40" i="2"/>
  <c r="H39" i="2"/>
  <c r="G39" i="2"/>
  <c r="F39" i="2"/>
  <c r="E39" i="2"/>
  <c r="D39" i="2"/>
  <c r="H38" i="2"/>
  <c r="G38" i="2"/>
  <c r="F38" i="2"/>
  <c r="E38" i="2"/>
  <c r="D38" i="2"/>
  <c r="H37" i="2"/>
  <c r="G37" i="2"/>
  <c r="F37" i="2"/>
  <c r="E37" i="2"/>
  <c r="D37" i="2"/>
  <c r="H36" i="2"/>
  <c r="G36" i="2"/>
  <c r="F36" i="2"/>
  <c r="E36" i="2"/>
  <c r="D36" i="2"/>
  <c r="B14" i="1"/>
  <c r="AN125" i="1" l="1"/>
  <c r="AO125" i="1" s="1"/>
  <c r="AN228" i="1"/>
  <c r="AO228" i="1" s="1"/>
  <c r="AN156" i="1"/>
  <c r="AO156" i="1" s="1"/>
  <c r="AN230" i="1"/>
  <c r="AO230" i="1" s="1"/>
  <c r="AN229" i="1"/>
  <c r="AO229" i="1" s="1"/>
  <c r="AN126" i="1"/>
  <c r="AO126" i="1" s="1"/>
  <c r="AN174" i="1"/>
  <c r="AO174" i="1" s="1"/>
  <c r="AN110" i="1"/>
  <c r="AO110" i="1" s="1"/>
  <c r="AN155" i="1"/>
  <c r="AO155" i="1" s="1"/>
  <c r="AN124" i="1"/>
  <c r="AO124" i="1" s="1"/>
  <c r="AN118" i="1"/>
  <c r="AO118" i="1" s="1"/>
  <c r="AN138" i="1"/>
  <c r="AO138" i="1" s="1"/>
  <c r="AN106" i="1"/>
  <c r="AO106" i="1" s="1"/>
  <c r="AN60" i="1"/>
  <c r="AO60" i="1" s="1"/>
  <c r="AN42" i="1"/>
  <c r="AO42" i="1" s="1"/>
  <c r="AN210" i="1"/>
  <c r="AO210" i="1" s="1"/>
  <c r="AN129" i="1"/>
  <c r="AO129" i="1" s="1"/>
  <c r="AN108" i="1"/>
  <c r="AO108" i="1" s="1"/>
  <c r="AN166" i="1"/>
  <c r="AO166" i="1" s="1"/>
  <c r="AN231" i="1"/>
  <c r="AO231" i="1" s="1"/>
  <c r="AN116" i="1"/>
  <c r="AO116" i="1" s="1"/>
  <c r="AN86" i="1"/>
  <c r="AO86" i="1" s="1"/>
  <c r="AN123" i="1"/>
  <c r="AO123" i="1" s="1"/>
  <c r="AN167" i="1"/>
  <c r="AO167" i="1" s="1"/>
  <c r="AN81" i="1"/>
  <c r="AO81" i="1" s="1"/>
  <c r="AN232" i="1"/>
  <c r="AO232" i="1" s="1"/>
  <c r="AN117" i="1"/>
  <c r="AO117" i="1" s="1"/>
  <c r="AN128" i="1"/>
  <c r="AO128" i="1" s="1"/>
  <c r="AN105" i="1"/>
  <c r="AO105" i="1" s="1"/>
  <c r="AN95" i="1"/>
  <c r="AO95" i="1" s="1"/>
  <c r="AN133" i="1"/>
  <c r="AO133" i="1" s="1"/>
  <c r="AN83" i="1"/>
  <c r="AO83" i="1" s="1"/>
  <c r="AN48" i="1"/>
  <c r="AO48" i="1" s="1"/>
  <c r="AN21" i="1"/>
  <c r="AO21" i="1" s="1"/>
  <c r="AN134" i="1"/>
  <c r="AO134" i="1" s="1"/>
  <c r="AN84" i="1"/>
  <c r="AO84" i="1" s="1"/>
  <c r="AN112" i="1"/>
  <c r="AO112" i="1" s="1"/>
  <c r="AN120" i="1"/>
  <c r="AO120" i="1" s="1"/>
  <c r="AN165" i="1"/>
  <c r="AO165" i="1" s="1"/>
  <c r="AN109" i="1"/>
  <c r="AO109" i="1" s="1"/>
  <c r="AN28" i="1"/>
  <c r="AO28" i="1" s="1"/>
  <c r="AN137" i="1"/>
  <c r="AO137" i="1" s="1"/>
  <c r="AN111" i="1"/>
  <c r="AO111" i="1" s="1"/>
  <c r="AN114" i="1"/>
  <c r="AO114" i="1" s="1"/>
  <c r="AN82" i="1"/>
  <c r="AO82" i="1" s="1"/>
  <c r="AN173" i="1"/>
  <c r="AO173" i="1" s="1"/>
  <c r="AN127" i="1"/>
  <c r="AO127" i="1" s="1"/>
  <c r="AN99" i="1"/>
  <c r="AO99" i="1" s="1"/>
  <c r="AN98" i="1"/>
  <c r="AO98" i="1" s="1"/>
  <c r="AN119" i="1"/>
  <c r="AO119" i="1" s="1"/>
  <c r="AN115" i="1"/>
  <c r="AO115" i="1" s="1"/>
  <c r="AN80" i="1"/>
  <c r="AO80" i="1" s="1"/>
  <c r="AN49" i="1"/>
  <c r="AO49" i="1" s="1"/>
  <c r="AN136" i="1"/>
  <c r="AO136" i="1" s="1"/>
  <c r="AN97" i="1"/>
  <c r="AO97" i="1" s="1"/>
  <c r="AN139" i="1"/>
  <c r="AO139" i="1" s="1"/>
  <c r="AN181" i="1"/>
  <c r="AO181" i="1" s="1"/>
  <c r="AN104" i="1"/>
  <c r="AO104" i="1" s="1"/>
  <c r="AN218" i="1"/>
  <c r="AO218" i="1" s="1"/>
  <c r="AN168" i="1"/>
  <c r="AO168" i="1" s="1"/>
  <c r="AN85" i="1"/>
  <c r="AO85" i="1" s="1"/>
  <c r="AN135" i="1"/>
  <c r="AO135" i="1" s="1"/>
  <c r="AN121" i="1"/>
  <c r="AO121" i="1" s="1"/>
  <c r="AN171" i="1"/>
  <c r="AO171" i="1" s="1"/>
  <c r="AN122" i="1"/>
  <c r="AO122" i="1" s="1"/>
  <c r="AN158" i="1"/>
  <c r="AO158" i="1" s="1"/>
  <c r="AN179" i="1"/>
  <c r="AO179" i="1" s="1"/>
  <c r="AN96" i="1"/>
  <c r="AO96" i="1" s="1"/>
  <c r="AN59" i="1"/>
  <c r="AO59" i="1" s="1"/>
  <c r="AN140" i="1"/>
  <c r="AO140" i="1" s="1"/>
  <c r="AN191" i="1"/>
  <c r="AO191" i="1" s="1"/>
  <c r="AN152" i="1"/>
  <c r="AO152" i="1" s="1"/>
  <c r="AN175" i="1"/>
  <c r="AO175" i="1" s="1"/>
  <c r="AN170" i="1"/>
  <c r="AO170" i="1" s="1"/>
  <c r="AN141" i="1"/>
  <c r="AO141" i="1" s="1"/>
  <c r="AN176" i="1"/>
  <c r="AO176" i="1" s="1"/>
  <c r="AN50" i="1"/>
  <c r="AO50" i="1" s="1"/>
  <c r="AN226" i="1"/>
  <c r="AO226" i="1" s="1"/>
  <c r="AN188" i="1"/>
  <c r="AO188" i="1" s="1"/>
  <c r="AN169" i="1"/>
  <c r="AO169" i="1" s="1"/>
  <c r="AN187" i="1"/>
  <c r="AO187" i="1" s="1"/>
  <c r="AN54" i="1"/>
  <c r="AO54" i="1" s="1"/>
  <c r="AN182" i="1"/>
  <c r="AO182" i="1" s="1"/>
  <c r="AN68" i="1"/>
  <c r="AO68" i="1" s="1"/>
  <c r="AN145" i="1"/>
  <c r="AO145" i="1" s="1"/>
  <c r="AN185" i="1"/>
  <c r="AO185" i="1" s="1"/>
  <c r="AN25" i="1"/>
  <c r="AO25" i="1" s="1"/>
  <c r="AN196" i="1"/>
  <c r="AO196" i="1" s="1"/>
  <c r="AN147" i="1"/>
  <c r="AO147" i="1" s="1"/>
  <c r="AN26" i="1"/>
  <c r="AO26" i="1" s="1"/>
  <c r="AN148" i="1"/>
  <c r="AO148" i="1" s="1"/>
  <c r="AN27" i="1"/>
  <c r="AO27" i="1" s="1"/>
  <c r="AN64" i="1"/>
  <c r="AO64" i="1" s="1"/>
  <c r="AN31" i="1"/>
  <c r="AO31" i="1" s="1"/>
  <c r="AN58" i="1"/>
  <c r="AO58" i="1" s="1"/>
  <c r="AN72" i="1"/>
  <c r="AO72" i="1" s="1"/>
  <c r="AN132" i="1"/>
  <c r="AO132" i="1" s="1"/>
  <c r="AN103" i="1"/>
  <c r="AO103" i="1" s="1"/>
  <c r="AN74" i="1"/>
  <c r="AO74" i="1" s="1"/>
  <c r="AN70" i="1"/>
  <c r="AO70" i="1" s="1"/>
  <c r="AN160" i="1"/>
  <c r="AO160" i="1" s="1"/>
  <c r="AN76" i="1"/>
  <c r="AO76" i="1" s="1"/>
  <c r="AN194" i="1"/>
  <c r="AO194" i="1" s="1"/>
  <c r="AN51" i="1"/>
  <c r="AO51" i="1" s="1"/>
  <c r="AN159" i="1"/>
  <c r="AO159" i="1" s="1"/>
  <c r="AN63" i="1"/>
  <c r="AO63" i="1" s="1"/>
  <c r="AN69" i="1"/>
  <c r="AO69" i="1" s="1"/>
  <c r="AN55" i="1"/>
  <c r="AO55" i="1" s="1"/>
  <c r="AN193" i="1"/>
  <c r="AO193" i="1" s="1"/>
  <c r="AN77" i="1"/>
  <c r="AO77" i="1" s="1"/>
  <c r="AN78" i="1"/>
  <c r="AO78" i="1" s="1"/>
  <c r="AN184" i="1"/>
  <c r="AO184" i="1" s="1"/>
  <c r="AN199" i="1"/>
  <c r="AO199" i="1" s="1"/>
  <c r="AN220" i="1"/>
  <c r="AO220" i="1" s="1"/>
  <c r="AN180" i="1"/>
  <c r="AO180" i="1" s="1"/>
  <c r="AN87" i="1"/>
  <c r="AO87" i="1" s="1"/>
  <c r="AN153" i="1"/>
  <c r="AO153" i="1" s="1"/>
  <c r="AN62" i="1"/>
  <c r="AO62" i="1" s="1"/>
  <c r="AN24" i="1"/>
  <c r="AO24" i="1" s="1"/>
  <c r="AN34" i="1"/>
  <c r="AO34" i="1" s="1"/>
  <c r="AN146" i="1"/>
  <c r="AO146" i="1" s="1"/>
  <c r="AN71" i="1"/>
  <c r="AO71" i="1" s="1"/>
  <c r="AN67" i="1"/>
  <c r="AO67" i="1" s="1"/>
  <c r="AN52" i="1"/>
  <c r="AO52" i="1" s="1"/>
  <c r="AN190" i="1"/>
  <c r="AO190" i="1" s="1"/>
  <c r="AN73" i="1"/>
  <c r="AO73" i="1" s="1"/>
  <c r="AN22" i="1"/>
  <c r="AO22" i="1" s="1"/>
  <c r="AN29" i="1"/>
  <c r="AO29" i="1" s="1"/>
  <c r="AN163" i="1"/>
  <c r="AO163" i="1" s="1"/>
  <c r="AN45" i="1"/>
  <c r="AO45" i="1" s="1"/>
  <c r="AN17" i="1"/>
  <c r="AO17" i="1" s="1"/>
  <c r="AN215" i="1"/>
  <c r="AO215" i="1" s="1"/>
  <c r="AN39" i="1"/>
  <c r="AO39" i="1" s="1"/>
  <c r="AN142" i="1"/>
  <c r="AO142" i="1" s="1"/>
  <c r="AN47" i="1"/>
  <c r="AO47" i="1" s="1"/>
  <c r="AN18" i="1"/>
  <c r="AO18" i="1" s="1"/>
  <c r="AN198" i="1"/>
  <c r="AO198" i="1" s="1"/>
  <c r="AN150" i="1"/>
  <c r="AO150" i="1" s="1"/>
  <c r="AN36" i="1"/>
  <c r="AO36" i="1" s="1"/>
  <c r="AN195" i="1"/>
  <c r="AO195" i="1" s="1"/>
  <c r="AN44" i="1"/>
  <c r="AO44" i="1" s="1"/>
  <c r="AN19" i="1"/>
  <c r="AO19" i="1" s="1"/>
  <c r="AN143" i="1"/>
  <c r="AO143" i="1" s="1"/>
  <c r="AN213" i="1"/>
  <c r="AO213" i="1" s="1"/>
  <c r="AN192" i="1"/>
  <c r="AO192" i="1" s="1"/>
  <c r="AN208" i="1"/>
  <c r="AO208" i="1" s="1"/>
  <c r="AN144" i="1"/>
  <c r="AO144" i="1" s="1"/>
  <c r="AN202" i="1"/>
  <c r="AO202" i="1" s="1"/>
  <c r="AN20" i="1"/>
  <c r="AO20" i="1" s="1"/>
  <c r="AN37" i="1"/>
  <c r="AO37" i="1" s="1"/>
  <c r="AN32" i="1"/>
  <c r="AO32" i="1" s="1"/>
  <c r="AN65" i="1"/>
  <c r="AO65" i="1" s="1"/>
  <c r="AN186" i="1"/>
  <c r="AO186" i="1" s="1"/>
  <c r="AN189" i="1"/>
  <c r="AO189" i="1" s="1"/>
  <c r="AN38" i="1"/>
  <c r="AO38" i="1" s="1"/>
  <c r="AN211" i="1"/>
  <c r="AO211" i="1" s="1"/>
  <c r="AN102" i="1"/>
  <c r="AO102" i="1" s="1"/>
  <c r="AN197" i="1"/>
  <c r="AO197" i="1" s="1"/>
  <c r="AN40" i="1"/>
  <c r="AO40" i="1" s="1"/>
  <c r="AN66" i="1"/>
  <c r="AO66" i="1" s="1"/>
  <c r="AN101" i="1"/>
  <c r="AO101" i="1" s="1"/>
  <c r="AN53" i="1"/>
  <c r="AO53" i="1" s="1"/>
  <c r="AN131" i="1"/>
  <c r="AO131" i="1" s="1"/>
  <c r="AN57" i="1"/>
  <c r="AO57" i="1" s="1"/>
  <c r="AN41" i="1"/>
  <c r="AO41" i="1" s="1"/>
  <c r="AN35" i="1"/>
  <c r="AO35" i="1" s="1"/>
  <c r="AN223" i="1"/>
  <c r="AO223" i="1" s="1"/>
  <c r="AN90" i="1"/>
  <c r="AO90" i="1" s="1"/>
  <c r="AN214" i="1"/>
  <c r="AO214" i="1" s="1"/>
  <c r="AN154" i="1"/>
  <c r="AO154" i="1" s="1"/>
  <c r="AN33" i="1"/>
  <c r="AO33" i="1" s="1"/>
  <c r="AN200" i="1"/>
  <c r="AO200" i="1" s="1"/>
  <c r="AN93" i="1"/>
  <c r="AO93" i="1" s="1"/>
  <c r="AN46" i="1"/>
  <c r="AO46" i="1" s="1"/>
  <c r="AN201" i="1"/>
  <c r="AO201" i="1" s="1"/>
  <c r="AN79" i="1"/>
  <c r="AO79" i="1" s="1"/>
  <c r="AN157" i="1"/>
  <c r="AO157" i="1" s="1"/>
  <c r="AN178" i="1"/>
  <c r="AO178" i="1" s="1"/>
  <c r="AN92" i="1"/>
  <c r="AO92" i="1" s="1"/>
  <c r="AN88" i="1"/>
  <c r="AO88" i="1" s="1"/>
  <c r="AN89" i="1"/>
  <c r="AO89" i="1" s="1"/>
  <c r="AN222" i="1"/>
  <c r="AO222" i="1" s="1"/>
  <c r="AN219" i="1"/>
  <c r="AO219" i="1" s="1"/>
  <c r="AN221" i="1"/>
  <c r="AO221" i="1" s="1"/>
  <c r="AN91" i="1"/>
  <c r="AO91" i="1" s="1"/>
  <c r="AN61" i="1"/>
  <c r="AO61" i="1" s="1"/>
  <c r="AN224" i="1"/>
  <c r="AO224" i="1" s="1"/>
  <c r="AN225" i="1"/>
  <c r="AO225" i="1" s="1"/>
  <c r="AN43" i="1"/>
  <c r="AO43" i="1" s="1"/>
  <c r="AN207" i="1"/>
  <c r="AO207" i="1" s="1"/>
  <c r="AN216" i="1"/>
  <c r="AO216" i="1" s="1"/>
  <c r="AN113" i="1"/>
  <c r="AO113" i="1" s="1"/>
  <c r="AN56" i="1"/>
  <c r="AO56" i="1" s="1"/>
  <c r="AN30" i="1"/>
  <c r="AO30" i="1" s="1"/>
  <c r="AN172" i="1"/>
  <c r="AO172" i="1" s="1"/>
  <c r="AN16" i="1"/>
  <c r="AO16" i="1" s="1"/>
  <c r="AN183" i="1"/>
  <c r="AO183" i="1" s="1"/>
  <c r="AN23" i="1"/>
  <c r="AO23" i="1" s="1"/>
  <c r="AN206" i="1"/>
  <c r="AO206" i="1" s="1"/>
  <c r="AN161" i="1"/>
  <c r="AO161" i="1" s="1"/>
  <c r="AN94" i="1"/>
  <c r="AO94" i="1" s="1"/>
  <c r="AN164" i="1"/>
  <c r="AO164" i="1" s="1"/>
  <c r="AN15" i="1"/>
  <c r="AO15" i="1" s="1"/>
  <c r="AN100" i="1"/>
  <c r="AO100" i="1" s="1"/>
  <c r="AN203" i="1"/>
  <c r="AO203" i="1" s="1"/>
  <c r="AN205" i="1"/>
  <c r="AO205" i="1" s="1"/>
  <c r="AN75" i="1"/>
  <c r="AO75" i="1" s="1"/>
  <c r="AN204" i="1"/>
  <c r="AO204" i="1" s="1"/>
  <c r="AN227" i="1"/>
  <c r="AO227" i="1" s="1"/>
  <c r="AN209" i="1"/>
  <c r="AO209" i="1" s="1"/>
  <c r="AN149" i="1"/>
  <c r="AO149" i="1" s="1"/>
  <c r="AN107" i="1"/>
  <c r="AO107" i="1" s="1"/>
  <c r="AN151" i="1"/>
  <c r="AO151" i="1" s="1"/>
  <c r="C14" i="1"/>
  <c r="D14" i="1" l="1"/>
  <c r="E14" i="1" s="1"/>
  <c r="F14" i="1" s="1"/>
  <c r="G14" i="1" s="1"/>
  <c r="H14" i="1" s="1"/>
  <c r="I14" i="1" l="1"/>
  <c r="J14" i="1" s="1"/>
  <c r="K14" i="1" s="1"/>
  <c r="L14" i="1" s="1"/>
  <c r="M14" i="1" s="1"/>
  <c r="N14" i="1" s="1"/>
  <c r="O14" i="1" s="1"/>
  <c r="P14" i="1" s="1"/>
  <c r="Q14" i="1" s="1"/>
  <c r="R14" i="1" s="1"/>
  <c r="S14" i="1" s="1"/>
  <c r="T14" i="1" s="1"/>
  <c r="U14" i="1" s="1"/>
  <c r="V14" i="1" s="1"/>
  <c r="W14" i="1" s="1"/>
  <c r="X14" i="1" l="1"/>
  <c r="Z14" i="1" s="1"/>
  <c r="AA14" i="1" s="1"/>
  <c r="AB14" i="1" s="1"/>
  <c r="AC14" i="1" s="1"/>
  <c r="AD14" i="1" s="1"/>
  <c r="AE14" i="1" s="1"/>
  <c r="AF14" i="1" s="1"/>
  <c r="AG14" i="1" s="1"/>
  <c r="AH14" i="1" s="1"/>
  <c r="AI14" i="1" s="1"/>
  <c r="AJ14" i="1" s="1"/>
  <c r="AK14" i="1" s="1"/>
  <c r="AL14" i="1" s="1"/>
  <c r="AM14" i="1" s="1"/>
  <c r="AN14" i="1" s="1"/>
  <c r="AO14" i="1" s="1"/>
  <c r="AP14" i="1" s="1"/>
  <c r="AQ14" i="1" s="1"/>
  <c r="Y14" i="1"/>
</calcChain>
</file>

<file path=xl/sharedStrings.xml><?xml version="1.0" encoding="utf-8"?>
<sst xmlns="http://schemas.openxmlformats.org/spreadsheetml/2006/main" count="4581" uniqueCount="1693">
  <si>
    <t>DIVISI/DEPARTEMEN</t>
  </si>
  <si>
    <t>: Divisi Information Technology</t>
  </si>
  <si>
    <t>TUGAS UTAMA</t>
  </si>
  <si>
    <t>:</t>
  </si>
  <si>
    <t xml:space="preserve"> - Menyediakan solusi aplikasi untuk mendukung efisiensi kegiatan operasional dan bisnis guna mencapai profitabilitas yang tinggi.</t>
  </si>
  <si>
    <t xml:space="preserve"> - Memastikan tersedianya infrastruktur teknologi informasi guna mendukung kegiatan dan bisnis di perusahaan.</t>
  </si>
  <si>
    <t xml:space="preserve"> - Memastikan tersedianya data yang terverifikasi agar dapat digunakan dalam pengambilan keputusan management.</t>
  </si>
  <si>
    <t>NAMA PENANGGUNG JAWAB RISIKO</t>
  </si>
  <si>
    <t>PERIODE</t>
  </si>
  <si>
    <t>Identifikasi</t>
  </si>
  <si>
    <t xml:space="preserve">Analisis </t>
  </si>
  <si>
    <t>Rencana Tindak Lanjut</t>
  </si>
  <si>
    <t>Kode/No</t>
  </si>
  <si>
    <t>Penjabaran Risiko</t>
  </si>
  <si>
    <t>Kategori Risiko</t>
  </si>
  <si>
    <t>Internal/
Eksternal</t>
  </si>
  <si>
    <t>Nama 
Aset</t>
  </si>
  <si>
    <t>Kategori 
Aset</t>
  </si>
  <si>
    <t>Akar Masalah</t>
  </si>
  <si>
    <t>Ancaman</t>
  </si>
  <si>
    <t>Kerentanan</t>
  </si>
  <si>
    <t>Pengendalian Saat Ini</t>
  </si>
  <si>
    <t>Kerahasiaan/
Keutuhan/
Ketersediaan</t>
  </si>
  <si>
    <t>Referensi 
Pengendalian</t>
  </si>
  <si>
    <t>Kode 
(R/P)</t>
  </si>
  <si>
    <t>Tingkat Dampak</t>
  </si>
  <si>
    <t>Tingkat Probabilitas</t>
  </si>
  <si>
    <t>Nilai Risiko</t>
  </si>
  <si>
    <t>Tingkat Risiko</t>
  </si>
  <si>
    <t xml:space="preserve">Risk Appetite </t>
  </si>
  <si>
    <t>Risk Tolerance</t>
  </si>
  <si>
    <t>Rencana Penanganan Risiko</t>
  </si>
  <si>
    <t>Analisis Risiko</t>
  </si>
  <si>
    <t>Status</t>
  </si>
  <si>
    <t>Sign off</t>
  </si>
  <si>
    <t>DONE</t>
  </si>
  <si>
    <t>Penyebab</t>
  </si>
  <si>
    <t>Akibat</t>
  </si>
  <si>
    <t>Clause</t>
  </si>
  <si>
    <t>Annex</t>
  </si>
  <si>
    <t>Aktivitas</t>
  </si>
  <si>
    <t>PIC</t>
  </si>
  <si>
    <t>Target Waktu</t>
  </si>
  <si>
    <t>Rencana Reviu</t>
  </si>
  <si>
    <t>Hasil</t>
  </si>
  <si>
    <t>Dampak</t>
  </si>
  <si>
    <t>Probabilitas</t>
  </si>
  <si>
    <t>Nilai Risiko Baru</t>
  </si>
  <si>
    <t>IT</t>
  </si>
  <si>
    <t>Internal</t>
  </si>
  <si>
    <t>Risiko</t>
  </si>
  <si>
    <t>SEDANG-RENDAH</t>
  </si>
  <si>
    <t>Software</t>
  </si>
  <si>
    <t>SEDANG</t>
  </si>
  <si>
    <t>TINGGI</t>
  </si>
  <si>
    <t>RENDAH</t>
  </si>
  <si>
    <t>SEDANG-TINGGI</t>
  </si>
  <si>
    <t>Hardware</t>
  </si>
  <si>
    <t>TINGKAT PROBABILITAS</t>
  </si>
  <si>
    <t>Nilai</t>
  </si>
  <si>
    <t>Level</t>
  </si>
  <si>
    <t>Risiko IT 1</t>
  </si>
  <si>
    <t>Risiko IT 2</t>
  </si>
  <si>
    <t>Risiko IT 3</t>
  </si>
  <si>
    <t>Risiko IT 4</t>
  </si>
  <si>
    <t>Risiko IT 5</t>
  </si>
  <si>
    <t>Rendah</t>
  </si>
  <si>
    <t>Hampir Tidak Pernah Terjadi/Sangat Jarang</t>
  </si>
  <si>
    <t>Sedang-Rendah</t>
  </si>
  <si>
    <t>Kemungkinan Terjadi Ada Tetapi Kecil/Jarang</t>
  </si>
  <si>
    <t>Sedang</t>
  </si>
  <si>
    <t>Mungkin Saja Terjadi/Mungkin</t>
  </si>
  <si>
    <t>Sedang-Tinggi</t>
  </si>
  <si>
    <t>Kemungkinan Besar Jarang Terjadi/Sering</t>
  </si>
  <si>
    <t>Tinggi</t>
  </si>
  <si>
    <t>Hampir Selalu Terjadi/Sangat Sering</t>
  </si>
  <si>
    <t>TINGKAT DAMPAK</t>
  </si>
  <si>
    <t>PELUANG</t>
  </si>
  <si>
    <t xml:space="preserve">Dampak </t>
  </si>
  <si>
    <t>Pengembangan Produk/Layanan Baru</t>
  </si>
  <si>
    <t>Penambahan 
Pelanggan</t>
  </si>
  <si>
    <t>Peningkatan Produktivitas</t>
  </si>
  <si>
    <t>Pengembangan Teknologi Baru</t>
  </si>
  <si>
    <t>Penghematan Biaya</t>
  </si>
  <si>
    <t>Deskripsi</t>
  </si>
  <si>
    <t>Bisnis</t>
  </si>
  <si>
    <t>Finansial</t>
  </si>
  <si>
    <t>Operasional
(Produk atau Pelayanan)</t>
  </si>
  <si>
    <t>Merusak Reputasi</t>
  </si>
  <si>
    <t>Perundangan, Peraturan dan Kepatuhan</t>
  </si>
  <si>
    <t>Dampaknya Sangat Kecil</t>
  </si>
  <si>
    <t>Sangat kecil, tidak ada</t>
  </si>
  <si>
    <t>Sangat kecil, tidak ada citra negatif yang mengakibatkan penurunan kepercayaan</t>
  </si>
  <si>
    <t>Sangat kecil, tidak ada sanksi yang dikenakan ke perusahaan</t>
  </si>
  <si>
    <t>Dampaknya Kecil/Minor</t>
  </si>
  <si>
    <t>Tidak mengganggu proses bisnis namun terdapat sedikit keluhan</t>
  </si>
  <si>
    <t>Sedikit kerugian atau biaya yang harus dikeluarkan berkisar &lt; Rp 50.000.000,00</t>
  </si>
  <si>
    <t>Masih bisa ditoleransi, mengakibatkan penundaan aktivitas (operasional tidak dapat dijalankan) maksimum 2 Jam</t>
  </si>
  <si>
    <t>Terdapat citra negatif, namun masih bisa ditoleransi oleh perusahaan</t>
  </si>
  <si>
    <t>Risiko kecil ketika tidak terpenuhi, seperti sanksi berupa teguran tertulis karena sebagian kecil regulasi sudah terdokumentasi, tetapi belum diterapkan secara konsisten</t>
  </si>
  <si>
    <t>Cukup sulit pengembangan produk atau jasa baru</t>
  </si>
  <si>
    <t>Cukup sulit penambahan baru</t>
  </si>
  <si>
    <t>Sedikit menambah produktifitas, 0-5%</t>
  </si>
  <si>
    <t>Sedikit dapat mengembangkan teknologi, 0-5%</t>
  </si>
  <si>
    <t>Sedikit menguntungkan, potensi keuntungan 0-5%</t>
  </si>
  <si>
    <t>Dampaknya Sedang/Moderate</t>
  </si>
  <si>
    <t>Hanya beberapa proses bisnis tidak berjalan, namun terdapat keluhan secara formal</t>
  </si>
  <si>
    <t>Menghabiskan cukup biaya atau kerugian yang harus dikeluarkan berkisar Rp 50.000.000,00 - Rp 100.000.000,00</t>
  </si>
  <si>
    <t>Cukup berpengaruh terhadap mutu produk atau layanan, mengakibatkan penundaan aktivitas (operasional tidak dapat dijalankan) maksimum 12 Jam</t>
  </si>
  <si>
    <t>Terdapat citra negatif yang cukup berpengaruh terhadap reputasi perusahaan sehingga mempengaruhi kinerja atau kebijakan</t>
  </si>
  <si>
    <t>Cukup berbahaya, potensi Ilegal operasional, terdapat sanksi berupa teguran tertulis karena masih banyak regulasi yang belum diterapkan</t>
  </si>
  <si>
    <t>Cukup mudah untuk pengembangan produk atau jasa baru</t>
  </si>
  <si>
    <t>Cukup mudah untuk penambahan pelanggan baru</t>
  </si>
  <si>
    <t>Cukup menambah produktivitas, 5-15%</t>
  </si>
  <si>
    <t>Cukup untk dapat dengan mudah mengembangkan , 5-15%</t>
  </si>
  <si>
    <t>Cukup menguntungkan, potensi keuntungan 5-15%</t>
  </si>
  <si>
    <t>Dampaknya Besar/Major</t>
  </si>
  <si>
    <t>Sebagian proses bisnis tidak berjalan dengan adanya keluhan yang perlu dieskalasi dan berpotensi menyebar</t>
  </si>
  <si>
    <t>Banyak menghabiskan biaya atau kerugian yang berkisar Rp 100.000.000,00 - Rp 500.000.000,00</t>
  </si>
  <si>
    <t>Potensi bahaya terhadap mutu produk/layanan, mengakibatkan penundaan aktivitas (operasional tidak dapat dijalankan) maksimum 24 Jam</t>
  </si>
  <si>
    <t>Potensi bahaya berupa pemberitaan negatif yang berpengaruh terhadap reputasi perusahaan</t>
  </si>
  <si>
    <t>Ilegal operasional pada berbagai area, terdapat sanksi berupa pemanggilan dari pihak yang berwenang terkait pelanggaran regulasi yang berlaku</t>
  </si>
  <si>
    <t>Sangat mudah pengembangan produk atau jasa baru</t>
  </si>
  <si>
    <t xml:space="preserve">Sangat mudah </t>
  </si>
  <si>
    <t>Peningkatan produktivitas baik,
sekitar 15-30%</t>
  </si>
  <si>
    <t>Pengembangan teknologi realtif baik, sekitar  15-30%</t>
  </si>
  <si>
    <t>Sangat menguntungkan, potensi keuntungan 15-30%</t>
  </si>
  <si>
    <t>Dampaknya Sangat Besar/Catasthropic</t>
  </si>
  <si>
    <t>Proses bisnis tidak berjalan total dengan adanya potensi pemutusan hubungan kerja sama atau bisnis</t>
  </si>
  <si>
    <t>Membutuhkan biaya sangat besar atau kerugian yang berkisar &gt; Rp 500.000.000,00</t>
  </si>
  <si>
    <t>Merusak mutu produk atau layanan, mengakibatkan penundaan aktivitas (operasional tidak dapat dijalankan) lebih dari 1 hari</t>
  </si>
  <si>
    <t>Merusak reputasi dengan diikutinya kehilangan kepercayaan dari pihak berkepentingan</t>
  </si>
  <si>
    <t>Ilegal operasional potensi dihukum berat, terdapat sanksi penutupan perusahaan akibat melanggar regulasi yang berlaku</t>
  </si>
  <si>
    <t>Mampu mengembangkan beberapa produk atau jasa baru</t>
  </si>
  <si>
    <t>Pasti Mampu menambah pelanggan baru</t>
  </si>
  <si>
    <t>Mampu menambah produktivitas denga sangat baik, diatas 30%</t>
  </si>
  <si>
    <t>Mampu dalam pengembangan teknologi dengan  sangat baik, diatas 30%</t>
  </si>
  <si>
    <t>Sangat menguntungkan, diatas 30%</t>
  </si>
  <si>
    <t>Tabel Matriks Risiko</t>
  </si>
  <si>
    <t>PROBABILITAS</t>
  </si>
  <si>
    <t>Tabel Matrik Risiko</t>
  </si>
  <si>
    <t>DAMPAK</t>
  </si>
  <si>
    <t xml:space="preserve">Tinggi </t>
  </si>
  <si>
    <t xml:space="preserve">Sedang </t>
  </si>
  <si>
    <t>Tabel Matriks Resiko</t>
  </si>
  <si>
    <t>Sedang Rendah</t>
  </si>
  <si>
    <t>Sedang Tinggi</t>
  </si>
  <si>
    <t>Sangat Tinggi</t>
  </si>
  <si>
    <t xml:space="preserve">NILAI RISIKO POJK </t>
  </si>
  <si>
    <t>Indikator Risiko</t>
  </si>
  <si>
    <t>Nilai POJK 10</t>
  </si>
  <si>
    <t xml:space="preserve">RENDAH : </t>
  </si>
  <si>
    <t>0 &lt; NR ≤ 1</t>
  </si>
  <si>
    <t xml:space="preserve">SEDANG-RENDAH : </t>
  </si>
  <si>
    <t>1 &lt; NR ≤ 2</t>
  </si>
  <si>
    <t>SEDANG :</t>
  </si>
  <si>
    <t>2 &lt; NR ≤ 3</t>
  </si>
  <si>
    <t>SEDANG-TINGGI :</t>
  </si>
  <si>
    <t>3 &lt; NR ≤ 4</t>
  </si>
  <si>
    <t>TINGGI :</t>
  </si>
  <si>
    <t>4 &lt; NR ≤ 5</t>
  </si>
  <si>
    <t>Nilai Risiko Inheren</t>
  </si>
  <si>
    <t>NILAI RISIKO</t>
  </si>
  <si>
    <t>TINGKAT RISIKO</t>
  </si>
  <si>
    <t>1x1</t>
  </si>
  <si>
    <t>1x2</t>
  </si>
  <si>
    <t>1x3</t>
  </si>
  <si>
    <t>2x1</t>
  </si>
  <si>
    <t>2x2</t>
  </si>
  <si>
    <t>3x1</t>
  </si>
  <si>
    <t>1x4</t>
  </si>
  <si>
    <t>1x5</t>
  </si>
  <si>
    <t>2x3</t>
  </si>
  <si>
    <t>2x4</t>
  </si>
  <si>
    <t>3x2</t>
  </si>
  <si>
    <t>3x3</t>
  </si>
  <si>
    <t>4x1</t>
  </si>
  <si>
    <t>4x2</t>
  </si>
  <si>
    <t>5x1</t>
  </si>
  <si>
    <t>2x5</t>
  </si>
  <si>
    <t>3x4</t>
  </si>
  <si>
    <t>4x3</t>
  </si>
  <si>
    <t>5x2</t>
  </si>
  <si>
    <t>3x5</t>
  </si>
  <si>
    <t>4x4</t>
  </si>
  <si>
    <t>5x3</t>
  </si>
  <si>
    <t>4x5</t>
  </si>
  <si>
    <t>5x5</t>
  </si>
  <si>
    <t>5x4</t>
  </si>
  <si>
    <t>Intangible</t>
  </si>
  <si>
    <t>Peluang</t>
  </si>
  <si>
    <t>PANDUAN PENGISIAN</t>
  </si>
  <si>
    <t>Penjabaran Risiko/Peluang</t>
  </si>
  <si>
    <t>Nama Aset</t>
  </si>
  <si>
    <t>Kategori Aset</t>
  </si>
  <si>
    <t>Penyebab dan Akibat</t>
  </si>
  <si>
    <t>Kode (R/P)</t>
  </si>
  <si>
    <t>√</t>
  </si>
  <si>
    <t/>
  </si>
  <si>
    <t>RISK REGISTER</t>
  </si>
  <si>
    <t>Revisi</t>
  </si>
  <si>
    <t>Halaman</t>
  </si>
  <si>
    <t>1 / 1</t>
  </si>
  <si>
    <t>X</t>
  </si>
  <si>
    <t>No</t>
  </si>
  <si>
    <t>Bagian</t>
  </si>
  <si>
    <t>Kolom</t>
  </si>
  <si>
    <t>Keterangan</t>
  </si>
  <si>
    <t>Kode</t>
  </si>
  <si>
    <t>Diisi dengan 3 huruf awal nama Divisi/Departemen atau
Diisi dengan 3 huruf awal setiap kata Divisi/Departemen yang lebih dari satu kata</t>
  </si>
  <si>
    <t>Diisi dengan nomor urut risiko Divisi/Departemen</t>
  </si>
  <si>
    <r>
      <rPr>
        <b/>
        <sz val="11"/>
        <color theme="1"/>
        <rFont val="Calibri"/>
        <family val="2"/>
      </rPr>
      <t xml:space="preserve">Risiko : </t>
    </r>
    <r>
      <rPr>
        <sz val="11"/>
        <color theme="1"/>
        <rFont val="Calibri"/>
        <family val="2"/>
      </rPr>
      <t xml:space="preserve">
Diisi dengan risiko yang mungkin terjadi atau sudah pernah terjadi di dalam Divisi/Departemen sebagai akibat dari suatu proses kerja.
</t>
    </r>
    <r>
      <rPr>
        <b/>
        <sz val="11"/>
        <color theme="1"/>
        <rFont val="Calibri"/>
        <family val="2"/>
      </rPr>
      <t>Peluang :</t>
    </r>
    <r>
      <rPr>
        <sz val="11"/>
        <color theme="1"/>
        <rFont val="Calibri"/>
        <family val="2"/>
      </rPr>
      <t xml:space="preserve">
Diisi dengan peluang yang mungkin terjadi sebagai akibat dari  penggunaan aset dalam suatu proses kerja.</t>
    </r>
  </si>
  <si>
    <t>Diisi dengan memilih 1 (satu) dari 9 (sembilan) kategori risiko di bawah ini:
- Strategis
- Operasional
- Asuransi
- Kredit
- Pasar
- Likuiditas
- Hukum
- Kepatuhan
- Reputasi</t>
  </si>
  <si>
    <t>Sebutkan nama aset yang digunakan dalam suatu proses untuk mendukung bisnis/operasional perusahaan. Aset yang dicatat yang mengandung informasi/pendukung penyimpanan atau pengelolaan suatu informasi.</t>
  </si>
  <si>
    <t>Diisi dengan memilih 1 (satu) dari 5 (lima) kategori aset di bawah ini:
- Hardware
- Software
- Intangible
- Dokumen/Informasi
- People</t>
  </si>
  <si>
    <t>Analisis</t>
  </si>
  <si>
    <t>Diisi dengan penyebab yang mungkin atau sudah pernah timbul dari risiko yang ada.</t>
  </si>
  <si>
    <t>Diisi dengan akibat yang mungkin atau sudah pernah timbul dari risiko yang ada.</t>
  </si>
  <si>
    <t>Diisi dengan tindakan yang dapat dilakukan oleh Divisi/Departemen terkait pada saat itu dalam mengatasi risiko yang timbul.</t>
  </si>
  <si>
    <t>Dipilih antara R (Risiko) atau P (Peluang) sesuai kolom penjabaran Risiko/Peluang yang diisi sebelumnya.</t>
  </si>
  <si>
    <t>Tingkat Dampak
(D)</t>
  </si>
  <si>
    <r>
      <rPr>
        <sz val="11"/>
        <color theme="1"/>
        <rFont val="Calibri"/>
        <family val="2"/>
      </rPr>
      <t xml:space="preserve">Diisi dengan dampak yang mungkin atau sudah pernah timbul dari risiko yang ada berdasarkan parameter.
*salah satu kondisi yang sesuai parameter dampak akan diperhitungkan menjadi nilai/tingkat dampak
</t>
    </r>
    <r>
      <rPr>
        <b/>
        <sz val="11"/>
        <color theme="1"/>
        <rFont val="Calibri"/>
        <family val="2"/>
      </rPr>
      <t>(Dapat dilihat pada Parameter)</t>
    </r>
  </si>
  <si>
    <t>Tingkat Probabilitas
(P)</t>
  </si>
  <si>
    <r>
      <rPr>
        <sz val="11"/>
        <color theme="1"/>
        <rFont val="Calibri"/>
        <family val="2"/>
      </rPr>
      <t xml:space="preserve">Diisi dengan tingkat frekuensi terjadi atau kemungkinan terjadinya risiko.
</t>
    </r>
    <r>
      <rPr>
        <b/>
        <sz val="11"/>
        <color theme="1"/>
        <rFont val="Calibri"/>
        <family val="2"/>
      </rPr>
      <t>(Dapat dilihat pada Parameter)</t>
    </r>
  </si>
  <si>
    <t>Nilai risiko inheren (bawaan) yang muncul dan dirasakan oleh Divisi/Departemen.
Dihitung dengan rumus:
= D x P</t>
  </si>
  <si>
    <r>
      <rPr>
        <sz val="11"/>
        <color theme="1"/>
        <rFont val="Calibri"/>
        <family val="2"/>
      </rPr>
      <t xml:space="preserve">Diisi dengan kriteria hasil risiko yang terjadi dari perhitungan DxP.
</t>
    </r>
    <r>
      <rPr>
        <b/>
        <sz val="11"/>
        <color theme="1"/>
        <rFont val="Calibri"/>
        <family val="2"/>
      </rPr>
      <t>(Dapat dilihat pada Parameter)</t>
    </r>
  </si>
  <si>
    <t>Rencana Tindak Lanjut
(Khusus Nilai Risiko Yang Melewati Risk Appetite)</t>
  </si>
  <si>
    <t>Rencana Penanganan Risiko - Aktivitas</t>
  </si>
  <si>
    <t>Diisi dengan tindak lanjut yang direkomendasikan oleh fungsi Risk Management guna mengatasi risiko yang teridentifikasi.
*Sesuai dengan Kebijakan dan Strategi Manajemen Risiko Perusahaan, untuk setiap Risiko memiliki Risk Appetite Tingkat 2 (Dua)</t>
  </si>
  <si>
    <t>Rencana Penanganan Risiko - PIC</t>
  </si>
  <si>
    <t>Diisi dengan penanggung jawab dari Divisi/Departemen terkait dalam melaksanakan tindak lanjut yang sudah ditentukan.</t>
  </si>
  <si>
    <t>Rencana Penanganan Risiko - Target Waktu</t>
  </si>
  <si>
    <t>Diisi dengan tanggal penyelesaian tindak lanjut dalam mengatasi risiko.</t>
  </si>
  <si>
    <t>Rencana Penanganan Risiko - Rencana Reviu</t>
  </si>
  <si>
    <t>Diisi dengan tanggal penilaian efektifitas tindak lanjut dalam mengatasi risiko.</t>
  </si>
  <si>
    <t>Rencana Penanganan Risiko - Hasil</t>
  </si>
  <si>
    <t>Bukti dari implementasi tindak lanjut yang dilaksanakan.</t>
  </si>
  <si>
    <t>Analisis Risiko - Dampak</t>
  </si>
  <si>
    <t>Tingkat keparahan yang dirasakan perusahaan/organisasi jika risiko terkait timbul.</t>
  </si>
  <si>
    <t>Analisis Risiko - Probabilitas</t>
  </si>
  <si>
    <t>Tingkat frekuensi terjadi atau kemungkinan terjadinya risiko.</t>
  </si>
  <si>
    <t>Analisis Risiko - Nilai Risiko Baru</t>
  </si>
  <si>
    <t>Nilai baru mengenai tingkat risiko yang muncul dan dirasakan oleh perusahaan/organisasi setelah ditindak lanjuti.
Dihitung dengan rumus:
= D x P</t>
  </si>
  <si>
    <t>Status (CLOSE/OPEN)</t>
  </si>
  <si>
    <t>Diisi dengan status pemantauan risiko yang ditindak lanjuti, apakah sudah teratasi atau belum.</t>
  </si>
  <si>
    <t>Sign off by</t>
  </si>
  <si>
    <t>Jika sudah teratasi dan status CLOSE, maka di tanda tangani oleh evaluator/reviewer</t>
  </si>
  <si>
    <t>Sign off date</t>
  </si>
  <si>
    <t>Diisi dengan tanggal sign off dilakukan.</t>
  </si>
  <si>
    <t>DONE
Maret 2026</t>
  </si>
  <si>
    <t xml:space="preserve"> - In Progress -
1 Maret 2026</t>
  </si>
  <si>
    <t>: Triwulan 1 2026</t>
  </si>
  <si>
    <t>Nama Bagian</t>
  </si>
  <si>
    <t>Aset</t>
  </si>
  <si>
    <t>Digital Application Development</t>
  </si>
  <si>
    <t>Source Code Application</t>
  </si>
  <si>
    <t>Information</t>
  </si>
  <si>
    <t>Development Tools</t>
  </si>
  <si>
    <t>Hak Cipta / Kekayaan Intelektual (IP) Aplikasi</t>
  </si>
  <si>
    <t>Tim Programmer / Developer (In-house)</t>
  </si>
  <si>
    <t>People</t>
  </si>
  <si>
    <t>API Spec Documentation</t>
  </si>
  <si>
    <t>Business Analyst</t>
  </si>
  <si>
    <t>Dokumen BRD, FSD, &amp; User Story</t>
  </si>
  <si>
    <t>Pemetaan Proses Bisnis (Business Process Mapping)</t>
  </si>
  <si>
    <t>Personel Business Analyst</t>
  </si>
  <si>
    <t>Matriks Persyaratan Fungsional &amp; Non-Fungsional</t>
  </si>
  <si>
    <t>Quality Assurance</t>
  </si>
  <si>
    <t>Test Case / Skenario Uji</t>
  </si>
  <si>
    <t>Data Dummy</t>
  </si>
  <si>
    <t>Automation Testing</t>
  </si>
  <si>
    <t>Personel Quality Assurance</t>
  </si>
  <si>
    <t>Test Environment (Lingkungan Uji)</t>
  </si>
  <si>
    <t>Digital Strategy</t>
  </si>
  <si>
    <t>Roadmap Digital</t>
  </si>
  <si>
    <t>Hasil Riset Inovasi Teknologi</t>
  </si>
  <si>
    <t>Personel Data Strategy</t>
  </si>
  <si>
    <t>Enterprise Architecture Model (Blue Print IT)</t>
  </si>
  <si>
    <t>IT Balanced Scorecard (Metrik Kinerja IT)</t>
  </si>
  <si>
    <t>Data Management</t>
  </si>
  <si>
    <t>Database Core System</t>
  </si>
  <si>
    <t>Database Non Core System</t>
  </si>
  <si>
    <t>Database Management Tools</t>
  </si>
  <si>
    <t>Dokumen Arsitektur Data</t>
  </si>
  <si>
    <t>Personel Data Engineer</t>
  </si>
  <si>
    <t>Personel DBA</t>
  </si>
  <si>
    <t>Master Data Management</t>
  </si>
  <si>
    <t>Data Retention &amp; Disposal Rules</t>
  </si>
  <si>
    <t>Dokumen ROPA</t>
  </si>
  <si>
    <t>Dokumen DPIA</t>
  </si>
  <si>
    <t>DevSecOps</t>
  </si>
  <si>
    <t>Script CI/CD Pipeline</t>
  </si>
  <si>
    <t>Vulnerability Scanner</t>
  </si>
  <si>
    <t>Data list environment (Container Images)</t>
  </si>
  <si>
    <t>Personel DevSecOps</t>
  </si>
  <si>
    <t>Personel Security Analyst</t>
  </si>
  <si>
    <t>Monitoring Tools</t>
  </si>
  <si>
    <t>IT Infra - Sysadmin</t>
  </si>
  <si>
    <t>Perangkat Server</t>
  </si>
  <si>
    <t>Sistem Operasi</t>
  </si>
  <si>
    <t>Konfigurasi Server</t>
  </si>
  <si>
    <t>Server &amp; OS Credential</t>
  </si>
  <si>
    <t>Data Center</t>
  </si>
  <si>
    <t>Personel IT Infra - Sysadmin</t>
  </si>
  <si>
    <t>Lisensi Server</t>
  </si>
  <si>
    <t>Dokumen Baseline Hardening</t>
  </si>
  <si>
    <t>Data Backup &amp; Restore Point</t>
  </si>
  <si>
    <t>Mail Server</t>
  </si>
  <si>
    <t>Core System</t>
  </si>
  <si>
    <t>SSL Sertificate</t>
  </si>
  <si>
    <t>IT Infra - Network</t>
  </si>
  <si>
    <t>Perangkat Jaringan</t>
  </si>
  <si>
    <t>Topologi Jaringan &amp; Konfigurasi Routing</t>
  </si>
  <si>
    <t>Personel IT Infra - Network</t>
  </si>
  <si>
    <t>Lisensi perangkat Network</t>
  </si>
  <si>
    <t>Matriks Firewall Rules &amp; Access Control List (ACL)</t>
  </si>
  <si>
    <t>Matriks VLAN</t>
  </si>
  <si>
    <t>IT Infrastructure Technical Support</t>
  </si>
  <si>
    <t>Endpoint / PC &amp; Laptop</t>
  </si>
  <si>
    <t>Aplikasi Ticketing</t>
  </si>
  <si>
    <t>Katalog Layanan IT (IT Service Catalog)</t>
  </si>
  <si>
    <t>IT Core Development</t>
  </si>
  <si>
    <t>Source Code Core System Applications</t>
  </si>
  <si>
    <t>Dokumen Teknis Aplikasi Core</t>
  </si>
  <si>
    <t>Personel IT Core Development</t>
  </si>
  <si>
    <t>IT Application Production Support</t>
  </si>
  <si>
    <t>Personel IT Prod-Support</t>
  </si>
  <si>
    <t>Chief Technology &amp; Information Officer</t>
  </si>
  <si>
    <t>Dokumen IT Budget</t>
  </si>
  <si>
    <t>Dokumen Kebijakan &amp; Strategi Keamanan (ISMS)</t>
  </si>
  <si>
    <t>Job Desc Tim IT</t>
  </si>
  <si>
    <t>Dokumen project update</t>
  </si>
  <si>
    <t>Personel CTIO</t>
  </si>
  <si>
    <t>Data Analytics</t>
  </si>
  <si>
    <t>Dashboard Monitoring Tool</t>
  </si>
  <si>
    <t>Kumpulan Dataset Analitik</t>
  </si>
  <si>
    <t>Personel Data Analytics</t>
  </si>
  <si>
    <t>IT Governance</t>
  </si>
  <si>
    <t>SOP IT Department</t>
  </si>
  <si>
    <t>Form form pengajuan ke IT Department</t>
  </si>
  <si>
    <t>Dokumen Risk Appetite &amp; Risk Tolerance</t>
  </si>
  <si>
    <t>Personel IT Governance</t>
  </si>
  <si>
    <t>Matrix Hak Akses Istimewa</t>
  </si>
  <si>
    <t>RASCI MATRIX</t>
  </si>
  <si>
    <t>BCDRP Plan &amp; Scenario</t>
  </si>
  <si>
    <t>IT Vendor/Supplier Management</t>
  </si>
  <si>
    <t>Dokumen Kontrak Kerja Sama (PKS) &amp; NDA Vendor</t>
  </si>
  <si>
    <t>Laporan Service Level Agreement (SLA) Vendor</t>
  </si>
  <si>
    <t>Lisensi Layanan 3rd Party</t>
  </si>
  <si>
    <t>Personel IT Supplier Management</t>
  </si>
  <si>
    <t>Tenaga Alih Daya (Outsource IT dari Vendor)</t>
  </si>
  <si>
    <t>IT Security</t>
  </si>
  <si>
    <t>Laporan Cyber Threat Intelligence (CTI) &amp; Feeds</t>
  </si>
  <si>
    <t>Dokumen Incident Response Plan (IRP) &amp; Forensic Playbooks</t>
  </si>
  <si>
    <t>Sistem Security Information and Event Management (SIEM)</t>
  </si>
  <si>
    <t>Aplikasi/Sistem Identity and Access Management (IAM) &amp; PAM</t>
  </si>
  <si>
    <t>Matriks Hak Akses (Access Control Matrix) &amp; Log Review Akses</t>
  </si>
  <si>
    <t>Laporan Vulnerability Assessment &amp; Penetration Testing</t>
  </si>
  <si>
    <t>Modul Security Awareness &amp; Hasil Incident Simulation</t>
  </si>
  <si>
    <t>Jenis Aset</t>
  </si>
  <si>
    <t>CIA</t>
  </si>
  <si>
    <t>Kerahasiaan [C]</t>
  </si>
  <si>
    <t>Keutuhan [I]</t>
  </si>
  <si>
    <t>Ketersediaan [A]</t>
  </si>
  <si>
    <t>: Endiaz Ludia Arsanto (Head of IT DevSecOps)</t>
  </si>
  <si>
    <t>Aplikasi Identity and Access Management (IAM) &amp; PAM</t>
  </si>
  <si>
    <t>Jenis Risiko</t>
  </si>
  <si>
    <t>Strategis</t>
  </si>
  <si>
    <t>Operasional</t>
  </si>
  <si>
    <t>Kredit</t>
  </si>
  <si>
    <t>Pasar</t>
  </si>
  <si>
    <t>Likuiditas</t>
  </si>
  <si>
    <t>Hukum</t>
  </si>
  <si>
    <t>Kepatuhan</t>
  </si>
  <si>
    <t>Reputasi</t>
  </si>
  <si>
    <t>Asuransi</t>
  </si>
  <si>
    <t>Risiko/Peluang</t>
  </si>
  <si>
    <t>External</t>
  </si>
  <si>
    <t>Internal / Eksternal</t>
  </si>
  <si>
    <t>New - Open</t>
  </si>
  <si>
    <t>In Progress</t>
  </si>
  <si>
    <t>Closed</t>
  </si>
  <si>
    <t>Kerahasiaan [C] + Keutuhan [I]</t>
  </si>
  <si>
    <t>Kerahasiaan [C] + Ketersediaan [A]</t>
  </si>
  <si>
    <t>Keutuhan [I] + Ketersediaan [A]</t>
  </si>
  <si>
    <t>Semua (C - I - A)</t>
  </si>
  <si>
    <t xml:space="preserve"> -</t>
  </si>
  <si>
    <t>Respon Paska Kejadian</t>
  </si>
  <si>
    <t>Pencegahan</t>
  </si>
  <si>
    <t>Risk Owner</t>
  </si>
  <si>
    <t>INT/EX</t>
  </si>
  <si>
    <t>R / P</t>
  </si>
  <si>
    <t>Tingkat</t>
  </si>
  <si>
    <t>Appetite</t>
  </si>
  <si>
    <t>Tolerance</t>
  </si>
  <si>
    <t>Respon Kejadian</t>
  </si>
  <si>
    <t>Target</t>
  </si>
  <si>
    <t xml:space="preserve"> CTIO</t>
  </si>
  <si>
    <t>CTIO</t>
  </si>
  <si>
    <t>Log Aplikasi / Log Server</t>
  </si>
  <si>
    <t>Kerentanan pada Dependensi Pihak Ketiga – Penggunaan library/package open-source yang mengandung celah keamanan (CVE) yang belum di-patch</t>
  </si>
  <si>
    <t>Tidak adanya proses pemantauan CVE secara otomatis dan patch management pada library/package open-source yang digunakan dalam pengembangan aplikasi</t>
  </si>
  <si>
    <t>Eksploitasi celah keamanan oleh pihak tidak berwenang, potensi kebocoran data, gangguan layanan, hingga Remote Code Execution (RCE)</t>
  </si>
  <si>
    <t>Eksploitasi known vulnerability (CVE publik), serangan supply chain</t>
  </si>
  <si>
    <t>Tidak adanya Software Composition Analysis (SCA); proses patch management belum terdefinisi; dependensi tidak dipantau secara berkala</t>
  </si>
  <si>
    <t>Review manual saat code review; firewall dan antivirus pada infrastruktur</t>
  </si>
  <si>
    <t>8.1 – Perencanaan dan pengendalian operasional</t>
  </si>
  <si>
    <t>A.8.8
Manajemen kerentanan teknis</t>
  </si>
  <si>
    <r>
      <rPr>
        <b/>
        <sz val="10"/>
        <color theme="1"/>
        <rFont val="Montserrat"/>
      </rPr>
      <t>Rendah</t>
    </r>
    <r>
      <rPr>
        <sz val="10"/>
        <color theme="1"/>
        <rFont val="Montserrat"/>
      </rPr>
      <t xml:space="preserve"> — organisasi tidak bersedia membiarkan sistem berjalan dengan CVE yang sudah diketahui publik, karena menyangkut keamanan data dan kepatuhan regulasi</t>
    </r>
  </si>
  <si>
    <r>
      <rPr>
        <b/>
        <sz val="10"/>
        <color theme="1"/>
        <rFont val="Montserrat"/>
      </rPr>
      <t>Sedang</t>
    </r>
    <r>
      <rPr>
        <sz val="10"/>
        <color theme="1"/>
        <rFont val="Montserrat"/>
      </rPr>
      <t xml:space="preserve"> — organisasi masih dapat beroperasi selama nilai risiko residual ≤ 12 (setelah mitigasi diterapkan); jika residual masih &gt;12, wajib eskalasi</t>
    </r>
  </si>
  <si>
    <t>Isolasi komponen terdampak, patch darurat, investigasi forensik, notifikasi jika terjadi data breach</t>
  </si>
  <si>
    <t>Implementasi SCA tools (Snyk, Dependabot, OWASP Dependency-Check); kebijakan patch management; integrasi scanning ke CI/CD pipeline; monitoring CVE database rutin</t>
  </si>
  <si>
    <t xml:space="preserve"> - Vulnerability Management – Dependency Scanning via CI/CD Pipeline
 - Automate penarikan  informasi CVE terhadap open source yang digunakan.</t>
  </si>
  <si>
    <t xml:space="preserve"> - CI/CD sudah terintegrasi dengan vulnerability checking.
 - Untuk automate penarikan CVE dan alert monitoring belum ada, jadi masih ada risiko.</t>
  </si>
  <si>
    <t>Hardcoded Secrets: Credentials, API keys, atau token secara tidak sengaja tertulis di dalam source code dan di-push ke repositori.</t>
  </si>
  <si>
    <t>Kurangnya awareness developer terhadap praktik keamanan; tidak adanya mekanisme otomatis untuk mendeteksi secrets sebelum code di-push ke repositori</t>
  </si>
  <si>
    <t>Akses tidak sah ke sistem, database, atau layanan eksternal; kebocoran data; penyalahgunaan API; potensi kerugian finansial dan reputasi</t>
  </si>
  <si>
    <t>Pencurian kredensial, unauthorized access, lateral movement oleh attacker yang menemukan secrets di repositori</t>
  </si>
  <si>
    <t>Tidak adanya secret scanning pada pipeline; tidak ada kebijakan larangan hardcoded credentials; repositori mungkin bersifat publik atau dapat diakses pihak yang tidak berwenang</t>
  </si>
  <si>
    <t>Code review manual; access control pada repositori. Sudah terimplementasi GitLeaks untuk cek ada tidaknya credential pada source code.</t>
  </si>
  <si>
    <t>A.8.10 – Penghapusan informasi; 
A.8.13 – Backup informasi; 
A.5.17 – Informasi autentikasi</t>
  </si>
  <si>
    <r>
      <rPr>
        <b/>
        <sz val="10"/>
        <color theme="1"/>
        <rFont val="Montserrat"/>
      </rPr>
      <t>Rendah</t>
    </r>
    <r>
      <rPr>
        <sz val="10"/>
        <color theme="1"/>
        <rFont val="Montserrat"/>
      </rPr>
      <t xml:space="preserve"> — organisasi tidak bersedia membiarkan credentials/secrets terekspos di repositori dalam kondisi apapun, karena dapat membuka akses langsung ke sistem produksi</t>
    </r>
  </si>
  <si>
    <r>
      <rPr>
        <b/>
        <sz val="10"/>
        <color theme="1"/>
        <rFont val="Montserrat"/>
      </rPr>
      <t>Sedang</t>
    </r>
    <r>
      <rPr>
        <sz val="10"/>
        <color theme="1"/>
        <rFont val="Montserrat"/>
      </rPr>
      <t xml:space="preserve"> — organisasi masih dapat beroperasi selama nilai risiko residual ≤ 12; jika residual masih &gt;12, wajib eskalasi segera</t>
    </r>
  </si>
  <si>
    <t>Rotasi/revoke segera semua credentials/API keys yang terekspos; audit log akses; investigasi forensik; notifikasi pihak terdampak jika ada data breach; hapus commit history yang mengandung secrets</t>
  </si>
  <si>
    <t>Implementasi secret scanning tools (GitGuardian, TruffleHog, GitHub Secret Scanning); integrasi pre-commit hooks untuk blokir push yang mengandung secrets; penggunaan secret manager (HashiCorp Vault, AWS Secrets Manager); pelatihan security awareness untuk developer</t>
  </si>
  <si>
    <t xml:space="preserve"> - Sudah dilakukan Instalasi Gitleaks pada CI/CD Pipeline
 - Belum terimplementasinya gerbang validasi secara otomatis (saat ini masih manual, pada pipeline ke production saja).</t>
  </si>
  <si>
    <t xml:space="preserve"> - Instalasi Gitleaks pada CI/CD Pipeline
 - Automate pencegahan untuk lanjut pipeline jika ditemukan adanya leak pada source code yang mengandung password ataupun informasi sensitif lainnya.
 - Pasang pre-commit hooks di sisi developer (bukan hanya di CI/CD) agar secrets terblokir bahkan sebelum di-push</t>
  </si>
  <si>
    <t>Akses Berlebih pada Tools CI/CD: Service account atau user memiliki hak akses admin yang tidak perlu pada Jenkins/GitLab/GitHub Actions.</t>
  </si>
  <si>
    <t>Penerapan hak akses tidak mengikuti prinsip Least Privilege; user CI/CD dijadikan sudoers tanpa pembatasan; tidak adanya review berkala terhadap hak akses service account</t>
  </si>
  <si>
    <t>Penyalahgunaan akses admin untuk modifikasi pipeline berbahaya, pencurian credentials yang tersimpan di Jenkins, eskalasi privilege, hingga kompromi seluruh environment CI/CD</t>
  </si>
  <si>
    <t>Insider threat, privilege escalation, unauthorized modification pipeline, pencurian credentials dari Jenkins credential store</t>
  </si>
  <si>
    <t>User CI/CD berstatus sudoers (akses root penuh); semua credentials GIT tersimpan terpusat di Jenkins tanpa pembatasan akses granular; tidak ada pemisahan privilege yang jelas antar role</t>
  </si>
  <si>
    <t>User CI/CD dan user GIT sudah dipisahkan akunnya; credentials disimpan di Jenkins credential store</t>
  </si>
  <si>
    <t>A.8.2 – Hak akses istimewa; 
A.5.15 – Manajemen akses; 
A.8.18 – Penggunaan program utilitas dengan hak istimewa</t>
  </si>
  <si>
    <r>
      <rPr>
        <b/>
        <sz val="10"/>
        <color theme="1"/>
        <rFont val="Montserrat"/>
      </rPr>
      <t>Rendah</t>
    </r>
    <r>
      <rPr>
        <sz val="10"/>
        <color theme="1"/>
        <rFont val="Montserrat"/>
      </rPr>
      <t xml:space="preserve"> — organisasi tidak bersedia memberikan akses admin/sudoers yang tidak perlu pada service account CI/CD, karena dapat menjadi entry point kompromi seluruh pipeline dan sistem produksi</t>
    </r>
  </si>
  <si>
    <r>
      <t xml:space="preserve"> </t>
    </r>
    <r>
      <rPr>
        <b/>
        <sz val="10"/>
        <color theme="1"/>
        <rFont val="Montserrat"/>
      </rPr>
      <t>Sedang</t>
    </r>
    <r>
      <rPr>
        <sz val="10"/>
        <color theme="1"/>
        <rFont val="Montserrat"/>
      </rPr>
      <t xml:space="preserve"> — organisasi masih dapat beroperasi selama nilai risiko residual ≤ 12; jika residual masih &gt;12, wajib eskalasi segera</t>
    </r>
  </si>
  <si>
    <t xml:space="preserve"> Revoke akses sudoers segera; audit log aktivitas akun terdampak; rotasi semua credentials yang tersimpan di Jenkins; investigasi apakah sudah ada penyalahgunaan akses</t>
  </si>
  <si>
    <t xml:space="preserve"> Terapkan prinsip Least Privilege pada semua service account; hapus status sudoers pada user CI/CD; batasi akses credentials Jenkins per pipeline/job; implementasi PAM (Privileged Access Management)</t>
  </si>
  <si>
    <t>Sudah dilakukan review terhadap user user di server jenkins. Dan untuk user yang tidak seharusnya ada sudah dihapus.</t>
  </si>
  <si>
    <t>Access Control Review – Penerapan Least Privilege pada service account CI/CD dan manajemen credentials Jenkins
 - Migrasi credentials ke secret manager (HashiCorp Vault atau yang setara) agar tidak semua tersimpan flat di Jenkins
 - Terapkan prinsip separation of duties — user yang bisa approve deployment tidak boleh sama dengan yang bisa modifikasi pipeline script</t>
  </si>
  <si>
    <t>Container Image Rentan: Menggunakan base image Docker yang usang atau sudah disusupi malware sebelum di-deploy ke Environment Testing dan production.</t>
  </si>
  <si>
    <t xml:space="preserve">Tidak adanya kebijakan wajib penggunaan base image yang terverifikasi dan up-to-date; </t>
  </si>
  <si>
    <t>Deployment malware ke environment production, eksploitasi kerentanan pada container, lateral movement antar container, gangguan layanan, hingga kebocoran data</t>
  </si>
  <si>
    <t>Supply chain attack melalui base image berbahaya, eksploitasi CVE pada image usang, malware yang sudah tertanam sebelum image digunakan</t>
  </si>
  <si>
    <t>Tidak ada kebijakan minimum standard base image; image usang masih bisa di-deploy tanpa hambatan otomatis</t>
  </si>
  <si>
    <t>Trivy sudah terinstalasi dan terintegrasi di CI/CD pipeline, namun hasil scanning tidak memblokir pipeline secara otomatis</t>
  </si>
  <si>
    <t>A.8.8 – Manajemen kerentanan teknis; 
A.8.25 – Siklus hidup pengembangan yang aman</t>
  </si>
  <si>
    <r>
      <rPr>
        <b/>
        <sz val="10"/>
        <color theme="1"/>
        <rFont val="Montserrat"/>
      </rPr>
      <t>Rendah</t>
    </r>
    <r>
      <rPr>
        <sz val="10"/>
        <color theme="1"/>
        <rFont val="Montserrat"/>
      </rPr>
      <t xml:space="preserve"> — organisasi tidak bersedia men-deploy container image yang mengandung kerentanan atau malware ke environment manapun, karena dapat mengkompromi seluruh infrastruktur production</t>
    </r>
  </si>
  <si>
    <t>Isolasi container terdampak segera; rollback ke image versi bersih; forensik untuk identifikasi apakah malware sudah aktif; audit seluruh container yang menggunakan image yang sama; notifikasi jika ada data terdampak</t>
  </si>
  <si>
    <t xml:space="preserve"> Jadikan Trivy sebagai gatekeeper wajib (pipeline gagal otomatis jika ditemukan CVE Critical/High); kebijakan penggunaan base image resmi dan terverifikasi; image registry internal dengan whitelist base image yang diizinkan; update base image secara berkala</t>
  </si>
  <si>
    <t xml:space="preserve"> - Jadikan Trivy sebagai gatekeeper — pipeline otomatis gagal dan tidak bisa naik production jika ditemukan CVE severity Critical atau High
 - Buat internal image registry — simpan dan kelola base image yang sudah diverifikasi secara terpusat, developer wajib menarik dari sini
 - Implementasi image signing (Cosign/Notary) — hanya image yang sudah ditandatangani dan terverifikasi yang boleh di-deploy</t>
  </si>
  <si>
    <r>
      <rPr>
        <b/>
        <sz val="10"/>
        <color theme="1"/>
        <rFont val="Montserrat"/>
      </rPr>
      <t>Belum turun</t>
    </r>
    <r>
      <rPr>
        <sz val="10"/>
        <color theme="1"/>
        <rFont val="Montserrat"/>
      </rPr>
      <t xml:space="preserve"> — Trivy yang sudah ada hanya memberi visibilitas (tahu ada kerentanan), tapi tidak mencegah image rentan naik production. Tanpa gatekeeper, temuan Trivy bisa diabaikan</t>
    </r>
  </si>
  <si>
    <t>Bypass Security Gates – Deployment tidak secara otomatis melewati tahap SAST/DAST di dalam pipeline agar proses build berjalan lebih cepat</t>
  </si>
  <si>
    <t>Tidak adanya kontrol wajib yang mencegah pipeline berjalan tanpa melewati tahap SAST/DAST; tekanan waktu delivery membuat developer mencari jalan pintas; belum ada kebijakan yang melarang bypass security gates secara eksplisit</t>
  </si>
  <si>
    <t>Code dengan kerentanan keamanan lolos ke production tanpa terdeteksi; potensi eksploitasi celah keamanan aplikasi; pelanggaran kebijakan keamanan internal</t>
  </si>
  <si>
    <t>Insider threat (disengaja), human error (tidak disengaja), deployment aplikasi rentan ke production</t>
  </si>
  <si>
    <t>SAST/DAST belum dijadikan gatekeeper wajib sehingga tahapannya bisa dilewati; tidak ada mekanisme alert jika security gate di-skip; tidak ada audit trail yang memonitor bypass</t>
  </si>
  <si>
    <t>SAST dan DAST sudah terintegrasi di pipeline namun belum sebagai gatekeeper; hasil scanning bersifat informatif, tidak memblokir pipeline</t>
  </si>
  <si>
    <t>A.8.25 – Siklus hidup pengembangan yang aman; 
A.8.8 – Manajemen kerentanan teknis; 
A.5.15 – Manajemen akses</t>
  </si>
  <si>
    <r>
      <rPr>
        <b/>
        <sz val="10"/>
        <color theme="1"/>
        <rFont val="Montserrat"/>
      </rPr>
      <t>Rendah</t>
    </r>
    <r>
      <rPr>
        <sz val="10"/>
        <color theme="1"/>
        <rFont val="Montserrat"/>
      </rPr>
      <t xml:space="preserve"> — organisasi tidak bersedia membiarkan code yang belum melalui pemeriksaan keamanan masuk ke production, karena berpotensi membuka celah eksploitasi langsung pada aplikasi</t>
    </r>
  </si>
  <si>
    <t xml:space="preserve"> Rollback deployment yang melewati security gate; audit pipeline log untuk identifikasi siapa dan kapan bypass terjadi; review kode yang lolos tanpa scanning; lakukan SAST/DAST manual terhadap kode terdampak</t>
  </si>
  <si>
    <t xml:space="preserve"> Jadikan SAST/DAST sebagai gatekeeper wajib (pipeline otomatis gagal jika di-skip atau ditemukan Critical/High); proteksi konfigurasi pipeline agar tidak bisa dimodifikasi sembarangan; implementasi approval workflow untuk exception bypass</t>
  </si>
  <si>
    <t xml:space="preserve"> - Jadikan SAST &amp; DAST sebagai gatekeeper wajib — pipeline otomatis gagal jika tahap SAST di-skip atau ditemukan temuan Critical/High
 - Proteksi konfigurasi pipeline — batasi siapa yang bisa mengubah atau menonaktifkan stage SAST/DAST di Jenkinsfile/GitLab CI; hanya DevSecOps yang boleh memodifikasi.
 - Buat exception process — jika ada kondisi darurat yang membutuhkan bypass, wajib ada approval dari DevSecOps Lead/CTIO dengan dokumentasi tertulis</t>
  </si>
  <si>
    <r>
      <rPr>
        <b/>
        <sz val="10"/>
        <color theme="1"/>
        <rFont val="Montserrat"/>
      </rPr>
      <t>Belum bisa Closed</t>
    </r>
    <r>
      <rPr>
        <sz val="10"/>
        <color theme="1"/>
        <rFont val="Montserrat"/>
      </rPr>
      <t xml:space="preserve"> -  karena aktivitas utama yaitu SAST/DAST sebagai gatekeeper belum diimplementasi</t>
    </r>
  </si>
  <si>
    <t>Sengketa Hak Cipta Karya Karyawan – Karyawan internal mendaftarkan HKI atas karya inovasi yang diciptakan menggunakan fasilitas dan waktu kerja perusahaan atas nama pribadi akibat tidak adanya klausul pengalihan hak ekonomi yang spesifik dalam kontrak kerja</t>
  </si>
  <si>
    <t>Kontrak kerja standar tidak memuat klausul pengalihan hak ekonomi dan HKI secara spesifik; tidak adanya kebijakan internal yang mengatur kepemilikan karya inovasi yang dihasilkan selama hubungan kerja</t>
  </si>
  <si>
    <t>Kehilangan kepemilikan aset intelektual strategis; sengketa hukum berkepanjangan; potensi larangan penggunaan algoritma/sistem yang sudah berjalan di production; kerugian kompetitif jika karya digunakan oleh pihak ketiga atau kompetitor</t>
  </si>
  <si>
    <t>Karyawan mendaftarkan HKI atas nama pribadi; karyawan resign dan mengkomersialkan karya melalui entitas lain; litigasi hukum dari mantan karyawan</t>
  </si>
  <si>
    <t>Tidak adanya klausul pelepasan hak ekonomi dalam kontrak kerja; tidak ada kebijakan inventarisasi dan pencatatan karya inovasi karyawan; tidak ada proses review legal terhadap kontrak kerja secara berkala</t>
  </si>
  <si>
    <t>Kontrak kerja standar dengan NDA umum; belum ada klausul spesifik terkait pengalihan HKI</t>
  </si>
  <si>
    <t>5.1 – Kepemimpinan dan komitmen; 
7.5 – Informasi terdokumentasi</t>
  </si>
  <si>
    <t>A.5.1 – Kebijakan keamanan informasi; 
A.5.19 – Keamanan informasi dalam hubungan pemasok; 
A.6.1 – Penyaringan</t>
  </si>
  <si>
    <r>
      <rPr>
        <b/>
        <sz val="10"/>
        <color theme="1"/>
        <rFont val="Montserrat"/>
      </rPr>
      <t>Rendah</t>
    </r>
    <r>
      <rPr>
        <sz val="10"/>
        <color theme="1"/>
        <rFont val="Montserrat"/>
      </rPr>
      <t xml:space="preserve"> — perusahaan tidak bersedia kehilangan kepemilikan atas aset intelektual strategis yang dihasilkan menggunakan sumber daya perusahaan, mengingat dampak hukum dan kompetitif yang signifikan</t>
    </r>
  </si>
  <si>
    <t xml:space="preserve"> Sedang — perusahaan masih dapat beroperasi selama nilai risiko residual ≤ 12; jika residual masih &gt;12, wajib eskalasi ke level manajemen dan legal counsel</t>
  </si>
  <si>
    <t>Upayakan penyelesaian sengketa melalui mediasi sebelum litigasi; dokumentasikan seluruh bukti penggunaan fasilitas dan waktu kantor; lakukan audit terhadap kontrak kerja seluruh karyawan IT aktif</t>
  </si>
  <si>
    <t xml:space="preserve"> Revisi kontrak kerja dengan menambahkan klausul pengalihan hak ekonomi dan HKI secara eksplisit; implementasi kebijakan kepemilikan karya inovasi; pencatatan dan inventarisasi karya inovasi karyawan secara berkala</t>
  </si>
  <si>
    <t>Personel IT Governance berkoordinasi dengan Legal/HR</t>
  </si>
  <si>
    <t>Legal &amp; IP Management – Revisi kontrak kerja dan implementasi kebijakan kepemilikan HKI karyawan.
Daftarkan HKI strategis atas nama perusahaan — algoritma atau sistem kritis yang sudah ada segera didaftarkan ke DJKI atas nama perusahaan</t>
  </si>
  <si>
    <t>(Belum ada yang dijalankan)</t>
  </si>
  <si>
    <t>Tidak Adanya Review Log Perangkat Jaringan – Log aktivitas pada perangkat network tidak pernah direview secara berkala, sehingga anomali dan indikasi insiden keamanan tidak terdeteksi secara dini</t>
  </si>
  <si>
    <t>Tidak adanya prosedur dan jadwal review log yang terdefinisi; tidak ada tools monitoring terpusat yang mengagregasi log perangkat jaringan; keterbatasan sumber daya untuk melakukan review log secara rutin</t>
  </si>
  <si>
    <t>Insiden keamanan tidak terdeteksi dalam waktu lama (high MTTD); aktivitas mencurigakan seperti port scanning, brute force, atau lateral movement tidak tertangani; potensi pelanggaran kepatuhan regulasi terkait log management</t>
  </si>
  <si>
    <t>Akses tidak sah yang tidak terdeteksi; serangan yang sedang berlangsung tanpa diketahui; insider threat yang aktivitasnya tidak terpantau</t>
  </si>
  <si>
    <t>Tidak ada proses review log yang terjadwal dan terdokumentasi; tidak ada SIEM atau log aggregator terpusat; tidak ada alert otomatis untuk aktivitas anomali pada perangkat jaringan</t>
  </si>
  <si>
    <t>Log tersimpan di masing-masing perangkat namun tidak pernah direview secara aktif</t>
  </si>
  <si>
    <t>8.1 – Perencanaan dan pengendalian operasional; 
9.1 – Pemantauan, pengukuran, analisis dan evaluasi</t>
  </si>
  <si>
    <t>A.8.15 – Logging; 
A.8.16 – Aktivitas pemantauan; 
A.8.17 – Sinkronisasi jam</t>
  </si>
  <si>
    <r>
      <rPr>
        <b/>
        <sz val="10"/>
        <color theme="1"/>
        <rFont val="Montserrat"/>
      </rPr>
      <t>Rendah</t>
    </r>
    <r>
      <rPr>
        <sz val="10"/>
        <color theme="1"/>
        <rFont val="Montserrat"/>
      </rPr>
      <t xml:space="preserve"> — perusahaan tidak bersedia membiarkan aktivitas jaringan berjalan tanpa pemantauan log yang memadai, mengingat log merupakan sumber bukti utama dalam investigasi insiden dan pemenuhan kewajiban kepatuhan regulasi</t>
    </r>
  </si>
  <si>
    <r>
      <rPr>
        <b/>
        <sz val="10"/>
        <color theme="1"/>
        <rFont val="Montserrat"/>
      </rPr>
      <t>Sedang</t>
    </r>
    <r>
      <rPr>
        <sz val="10"/>
        <color theme="1"/>
        <rFont val="Montserrat"/>
      </rPr>
      <t xml:space="preserve"> — perusahaan masih dapat beroperasi selama nilai risiko residual ≤ 12; jika residual masih &gt;12, wajib eskalasi segera kepada manajemen dan tim keamanan</t>
    </r>
  </si>
  <si>
    <t>Lakukan review forensik log secara retroaktif untuk mengidentifikasi potensi insiden yang belum tertangani; aktivasi prosedur incident response jika ditemukan indikasi kompromi; dokumentasikan temuan dan laporkan ke manajemen</t>
  </si>
  <si>
    <t xml:space="preserve"> - Susun dan tetapkan SOP Review Log — dokumen prosedur yang mengatur frekuensi review (harian/mingguan), format pelaporan, dan PIC yang bertanggung jawab
- Inventarisasi seluruh perangkat jaringan — pastikan semua perangkat (router, switch, firewall, load balancer) sudah dikonfigurasi untuk menghasilkan dan menyimpan log dengan format standar
 - Implementasi log aggregator terpusat — deploy SIEM (seperti Wazuh, Graylog, atau Splunk) untuk mengagregasi log dari seluruh perangkat jaringan dalam satu platform
 - Lakukan review log retroaktif — telusuri log historis yang tersedia untuk mengidentifikasi potensi insiden yang sudah terjadi namun belum terdeteksi
 - Tetapkan jadwal pelaporan rutin — laporan ringkasan hasil review log disampaikan kepada IT Security / manajemen secara berkala (mingguan/bulanan)</t>
  </si>
  <si>
    <t xml:space="preserve"> - Wazuh sudah terimplentasi, tapi yang diukur masih sebatas SCA di server berdasarkan CIS Control.</t>
  </si>
  <si>
    <t>Head of IT Operation - Infrastructure</t>
  </si>
  <si>
    <t>Wazuh telah terimplementasi namun baru mencakup SCA server berbasis CIS Control, log perangkat jaringan belum teragregasi sehingga risiko belum mengalami penurunan signifikan, status In Progress dan menjadi prioritas untuk segera dilakukan onboarding log perangkat jaringan ke Wazuh.</t>
  </si>
  <si>
    <t>7.5 – Informasi terdokumentasi; 
8.1 – Perencanaan dan pengendalian operasional</t>
  </si>
  <si>
    <t>Pelanggaran Paten Fitur Digital – Tim IT mengembangkan dan merilis fitur baru yang terinspirasi dari kompetitor tanpa melalui proses verifikasi legal terkait status paten atas alur proses bisnis digital yang dikembangkan</t>
  </si>
  <si>
    <t>Tidak adanya prosedur wajib review legal HKI sebelum pengembangan fitur baru; tidak ada koordinasi terstruktur antara Tim IT, Tim Bisnis, dan Tim Legal dalam proses inisiasi pengembangan; kurangnya awareness Tim IT terhadap risiko pelanggaran paten dalam pengembangan fitur digital</t>
  </si>
  <si>
    <t>Tuntutan hukum pelanggaran paten dari pemegang hak; sanksi finansial berupa ganti rugi atau royalti; kewajiban penghentian dan penarikan fitur dari production; kerusakan reputasi perusahaan di mata regulator, mitra, dan nasabah</t>
  </si>
  <si>
    <t>Gugatan hukum dari pemegang paten; cease and desist order; klaim ganti rugi finansial; larangan penggunaan fitur oleh putusan pengadilan</t>
  </si>
  <si>
    <t>Tidak ada proses patent clearance sebelum pengembangan fitur; tidak ada mekanisme koordinasi wajib dengan Tim Legal dalam SDLC; tidak ada inventarisasi paten kompetitor yang dipantau secara berkala</t>
  </si>
  <si>
    <t>Belum ada proses review atau penelusuran HKI terkait fitur atau solusi yang berasal dari referensi eksternal</t>
  </si>
  <si>
    <t>5.1 – Kepemimpinan dan komitmen; 
8.1 – Perencanaan dan pengendalian operasional</t>
  </si>
  <si>
    <t>A.5.1 – Kebijakan keamanan informasi; 
A.5.32 – Hak kekayaan intelektual</t>
  </si>
  <si>
    <r>
      <rPr>
        <b/>
        <sz val="10"/>
        <color theme="1"/>
        <rFont val="Montserrat"/>
      </rPr>
      <t>Rendah</t>
    </r>
    <r>
      <rPr>
        <sz val="10"/>
        <color theme="1"/>
        <rFont val="Montserrat"/>
      </rPr>
      <t xml:space="preserve"> — perusahaan tidak bersedia menanggung risiko tuntutan hukum pelanggaran paten yang dapat mengakibatkan sanksi finansial signifikan dan kewajiban penghentian fitur yang sudah berjalan, mengingat dampaknya langsung menyentuh aspek hukum dan reputasi perusahaan</t>
    </r>
  </si>
  <si>
    <r>
      <t xml:space="preserve"> </t>
    </r>
    <r>
      <rPr>
        <b/>
        <sz val="10"/>
        <color theme="1"/>
        <rFont val="Montserrat"/>
      </rPr>
      <t>Sedang</t>
    </r>
    <r>
      <rPr>
        <sz val="10"/>
        <color theme="1"/>
        <rFont val="Montserrat"/>
      </rPr>
      <t xml:space="preserve"> — perusahaan masih dapat beroperasi selama nilai risiko residual ≤ 9; jika residual masih &gt;9, wajib eskalasi ke Legal Counsel dan manajemen senior untuk penanganan segera</t>
    </r>
  </si>
  <si>
    <t xml:space="preserve"> Hentikan sementara fitur yang berpotensi melanggar paten; engajemen Legal Counsel segera untuk asesmen risiko hukum; dokumentasikan seluruh proses pengembangan sebagai bahan pembelaan; evaluasi opsi redesign fitur untuk menghindari elemen yang dipatenkan</t>
  </si>
  <si>
    <t xml:space="preserve"> - Susun kebijakan IP Review — dokumen resmi yang mewajibkan patent clearance sebelum pengembangan fitur baru yang terinspirasi dari solusi atau produk eksternal
 - Integrasikan patent clearance ke dalam SDLC — tambahkan gate wajib di tahap inisiasi/requirements yang mengharuskan sign-off dari Tim Legal sebelum development dimulai
 - Lakukan patent landscape monitoring — pantau pendaftaran paten kompetitor secara berkala melalui database paten (DJKI, USPTO, EPO) untuk mengidentifikasi risiko sedini mungkin
 - Sosialisasi awareness HKI — edukasi Tim IT dan Tim Bisnis mengenai risiko pelanggaran paten dan pentingnya patent clearance sebelum pengembangan fitur
 - Dokumentasikan proses inovasi internal — catat seluruh proses pengembangan fitur sebagai bukti orisinalitas dan untuk keperluan pembelaan hukum jika diperlukan</t>
  </si>
  <si>
    <t>Pelanggaran HKI melalui Output Generative AI – Developer dan Tim UI/UX menggunakan tools AI generatif untuk menghasilkan kode dan aset visual aplikasi tanpa verifikasi HKI, berpotensi mereproduksi karya berlisensi pihak ketiga secara tidak sengaja</t>
  </si>
  <si>
    <t>Tidak adanya kebijakan penggunaan Generative AI dalam proses pengembangan; tidak ada mekanisme verifikasi orisinalitas output AI sebelum digunakan dalam produksi; ketiadaan AI Governance dan awareness HKI di kalangan Developer dan Tim UI/UX</t>
  </si>
  <si>
    <t>Tuntutan hukum pelanggaran hak cipta dari pemilik karya asli; sanksi finansial berupa ganti rugi dan royalti; kewajiban penarikan fitur atau aset yang melanggar dari aplikasi nasabah; kerusakan reputasi perusahaan di mata regulator, mitra bisnis, dan nasabah</t>
  </si>
  <si>
    <t>Gugatan hak cipta dari pemegang lisensi; cease and desist order; klaim ganti rugi finansial; tuntutan penarikan produk dari pasar</t>
  </si>
  <si>
    <t>Tidak ada kebijakan AI Governance untuk penggunaan Generative AI; tidak ada proses review orisinalitas output AI; tidak ada awareness HKI di kalangan tim pengembangan; tidak ada inventarisasi tools AI yang digunakan secara resmi oleh perusahaan</t>
  </si>
  <si>
    <r>
      <rPr>
        <b/>
        <sz val="10"/>
        <color theme="1"/>
        <rFont val="Montserrat"/>
      </rPr>
      <t>Belum ada</t>
    </r>
    <r>
      <rPr>
        <sz val="10"/>
        <color theme="1"/>
        <rFont val="Montserrat"/>
      </rPr>
      <t xml:space="preserve"> kebijakan, awareness, maupun mekanisme review terkait penggunaan Generative AI dan implikasi HKI-nya</t>
    </r>
  </si>
  <si>
    <t>A.5.32 – Hak kekayaan intelektual; 
A.5.1 – Kebijakan keamanan informasi; 
A.6.3 – Kesadaran, pendidikan dan pelatihan keamanan informasi</t>
  </si>
  <si>
    <r>
      <rPr>
        <b/>
        <sz val="10"/>
        <color theme="1"/>
        <rFont val="Montserrat"/>
      </rPr>
      <t>Rendah</t>
    </r>
    <r>
      <rPr>
        <sz val="10"/>
        <color theme="1"/>
        <rFont val="Montserrat"/>
      </rPr>
      <t xml:space="preserve"> — perusahaan tidak bersedia menanggung risiko tuntutan pelanggaran hak cipta yang bersumber dari penggunaan output Generative AI tanpa verifikasi, mengingat dampaknya langsung menyentuh aspek hukum, reputasi, dan kepercayaan nasabah</t>
    </r>
  </si>
  <si>
    <t xml:space="preserve"> Identifikasi dan tarik segera aset atau kode yang terindikasi melanggar hak cipta dari environment production; engajemen Legal Counsel untuk asesmen risiko hukum; audit seluruh output AI yang sudah digunakan dalam produk aktif; dokumentasikan proses pengembangan sebagai bahan pembelaan</t>
  </si>
  <si>
    <t xml:space="preserve"> - Susun kebijakan AI Governance — dokumen resmi yang mengatur tools AI apa yang boleh digunakan, batasan penggunaannya, dan kewajiban verifikasi output sebelum masuk ke production
 - Inventarisasi penggunaan tools AI saat ini — identifikasi tools Generative AI yang sudah digunakan oleh Developer dan Tim UI/UX secara resmi maupun mandiri
 - Sosialisasi awareness HKI dan AI Governance — edukasi seluruh Developer dan Tim UI/UX mengenai risiko hukum penggunaan output Generative AI dan kewajiban verifikasi
 - Tetapkan whitelist tools AI yang diizinkan — hanya tools yang memiliki klausul indemnifikasi HKI yang jelas (seperti GitHub Copilot Enterprise) yang boleh digunakan secara resmi</t>
  </si>
  <si>
    <r>
      <t xml:space="preserve"> </t>
    </r>
    <r>
      <rPr>
        <b/>
        <sz val="10"/>
        <color theme="1"/>
        <rFont val="Montserrat"/>
      </rPr>
      <t xml:space="preserve">Belum ada </t>
    </r>
    <r>
      <rPr>
        <sz val="10"/>
        <color theme="1"/>
        <rFont val="Montserrat"/>
      </rPr>
      <t>pengendalian yang berjalan terkait AI Governance dan review HKI output AI, risiko masih terbuka penuh, status New - Open dan menjadi prioritas untuk segera disusun kebijakan sebelum output AI berikutnya masuk ke production</t>
    </r>
  </si>
  <si>
    <r>
      <t xml:space="preserve"> </t>
    </r>
    <r>
      <rPr>
        <b/>
        <sz val="10"/>
        <color theme="1"/>
        <rFont val="Montserrat"/>
      </rPr>
      <t>Belum ada</t>
    </r>
    <r>
      <rPr>
        <sz val="10"/>
        <color theme="1"/>
        <rFont val="Montserrat"/>
      </rPr>
      <t xml:space="preserve"> pengendalian yang berjalan terkait review HKI sehingga risiko masih terbuka penuh, status New - Open dan menjadi prioritas untuk segera dibentuk prosedur patent clearance sebelum ada fitur baru yang dirilis</t>
    </r>
  </si>
  <si>
    <t>Sengketa Kepemilikan Source Code Vendor – Ketiadaan klausul IP Assignment yang eksplisit dalam PKS dengan vendor software house membuka peluang sengketa kepemilikan dan penolakan penyerahan source code aplikasi yang dikembangkan pihak ketiga</t>
  </si>
  <si>
    <t>Tidak adanya klausul IP Assignment yang eksplisit dan komprehensif dalam PKS; proses review legal kontrak tidak mencakup aspek HKI secara menyeluruh; tidak adanya standar template kontrak vendor yang memuat klausul pengalihan hak cipta secara wajib</t>
  </si>
  <si>
    <t>Kehilangan kendali atas source code aplikasi strategis; vendor menolak penyerahan atau mengajukan klaim pembayaran tambahan; terhambatnya proses pemeliharaan, pengembangan lanjutan, atau perpindahan vendor; potensi litigasi hukum yang berkepanjangan dan merugikan operasional bisnis</t>
  </si>
  <si>
    <t>Penolakan penyerahan source code oleh vendor; klaim finansial tambahan sebagai syarat pengalihan; vendor menggunakan source code untuk kepentingan pihak lain; ketergantungan permanen pada vendor (vendor lock-in)</t>
  </si>
  <si>
    <t>PKS hanya memuat pernyataan kepemilikan umum tanpa klausul IP Assignment yang mengikat secara spesifik; tidak ada mekanisme escrow source code; tidak ada standar review legal kontrak yang mencakup aspek HKI; beberapa vendor sudah menunjukkan resistensi terhadap klausul kepemilikan yang ada</t>
  </si>
  <si>
    <t>PKS memuat pernyataan bahwa source code adalah milik perusahaan, namun tanpa klausul IP Assignment eksplisit; beberapa vendor menolak dan meminta pembayaran tambahan untuk penyerahan source code</t>
  </si>
  <si>
    <t>A.5.19 – Keamanan informasi dalam hubungan pemasok; 
A.5.20 – Persyaratan keamanan informasi dalam perjanjian pemasok; 
A.5.32 – Hak kekayaan intelektual</t>
  </si>
  <si>
    <r>
      <rPr>
        <b/>
        <sz val="10"/>
        <color theme="1"/>
        <rFont val="Montserrat"/>
      </rPr>
      <t>Rendah</t>
    </r>
    <r>
      <rPr>
        <sz val="10"/>
        <color theme="1"/>
        <rFont val="Montserrat"/>
      </rPr>
      <t xml:space="preserve"> — perusahaan tidak bersedia kehilangan kendali atas source code aplikasi strategis yang dibangun menggunakan anggaran perusahaan, mengingat ketergantungan operasional dan risiko hukum yang ditimbulkan sangat signifikan</t>
    </r>
  </si>
  <si>
    <t xml:space="preserve"> Engajemen Legal Counsel segera untuk asesmen posisi hukum perusahaan; identifikasi seluruh vendor yang berpotensi sengketa; upayakan negosiasi penyelesaian sebelum litigasi; amankan salinan source code yang tersedia; dokumentasikan seluruh bukti pembayaran dan korespondensi sebagai bahan pembelaan</t>
  </si>
  <si>
    <t xml:space="preserve"> - Audit seluruh kontrak vendor aktif — identifikasi PKS yang belum memuat klausul IP Assignment eksplisit dan kategorikan berdasarkan tingkat risiko dan nilai strategis aplikasinya
 - Revisi template PKS standar — tambahkan klausul IP Assignment yang eksplisit, komprehensif, dan mengikat secara hukum sebagai bagian wajib dari setiap kontrak pengembangan aplikasi dengan vendor
 - Lakukan addendum kontrak — untuk vendor aktif yang kontraknya belum memuat klausul IP Assignment, negosiasikan dan tandatangani addendum sebelum engagement berlanjut
 - Implementasi source code escrow — seluruh source code yang dikembangkan vendor wajib dideposit ke escrow yang dikelola pihak netral sebagai jaminan akses perusahaan
 - Sosialisasi ke Tim IT dan Procurement — edukasi bahwa setiap engagement vendor pengembangan aplikasi wajib melalui review legal HKI sebelum kontrak ditandatangani
 - Dokumentasikan seluruh bukti pembayaran dan deliverable — pastikan setiap pembayaran ke vendor terdokumentasi lengkap sebagai bukti kepemilikan dalam skenario sengketa hukum</t>
  </si>
  <si>
    <t>Personel IT Vendor/Supplier Management</t>
  </si>
  <si>
    <r>
      <t xml:space="preserve">PKS yang ada </t>
    </r>
    <r>
      <rPr>
        <b/>
        <sz val="10"/>
        <color theme="1"/>
        <rFont val="Montserrat"/>
      </rPr>
      <t>belum</t>
    </r>
    <r>
      <rPr>
        <sz val="10"/>
        <color theme="1"/>
        <rFont val="Montserrat"/>
      </rPr>
      <t xml:space="preserve"> memuat klausul IP Assignment yang eksplisit dan beberapa vendor sudah menunjukkan resistensi, risiko masih terbuka penuh pada level Tinggi, status New - Open dan menjadi prioritas utama untuk segera dilakukan revisi kontrak dan pengamanan source code</t>
    </r>
  </si>
  <si>
    <t>Capacity Planning Failure – Tidak adanya proses capacity planning yang terstruktur dan proaktif mengakibatkan over/under provisioning server resources yang berdampak pada degradasi performa layanan, pelanggaran SLA, dan inefisiensi biaya infrastruktur</t>
  </si>
  <si>
    <t>Capacity planning hanya dilakukan secara reaktif saat resource sudah kritis; tidak adanya proses capacity planning yang terjadwal dan terintegrasi dalam perencanaan strategis IT; tidak ada baseline metrik kapasitas yang dijadikan acuan perencanaan</t>
  </si>
  <si>
    <t>Degradasi performa layanan akibat under-provisioning; pelanggaran SLA yang berdampak pada penalti dan kepercayaan nasabah; pemborosan anggaran akibat over-provisioning; potensi downtime yang mempengaruhi operasional bisnis dan profitabilitas</t>
  </si>
  <si>
    <t>Lonjakan traffic yang tidak terantisipasi; resource exhaustion pada saat peak load; pemborosan anggaran infrastruktur yang tidak terdeteksi; pelanggaran SLA berulang</t>
  </si>
  <si>
    <t>Tidak ada proses capacity planning proaktif yang terjadwal; tidak ada threshold dan early warning system untuk resource utilization; capacity planning belum masuk dalam agenda perencanaan strategis IT; tidak ada baseline dan forecasting model penggunaan resource</t>
  </si>
  <si>
    <t>Capacity planning dilakukan secara reaktif hanya saat resource sudah dalam kondisi kritis; belum terintegrasi dalam perencanaan strategis IT</t>
  </si>
  <si>
    <t>A.8.6 – Manajemen kapasitas; 
A.8.16 – Aktivitas pemantauan</t>
  </si>
  <si>
    <r>
      <rPr>
        <b/>
        <sz val="10"/>
        <color theme="1"/>
        <rFont val="Montserrat"/>
      </rPr>
      <t>Rendah</t>
    </r>
    <r>
      <rPr>
        <sz val="10"/>
        <color theme="1"/>
        <rFont val="Montserrat"/>
      </rPr>
      <t xml:space="preserve"> — perusahaan tidak bersedia membiarkan pengelolaan kapasitas infrastruktur berjalan secara reaktif mengingat dampaknya langsung pada pemenuhan SLA, kepuasan nasabah, dan efisiensi anggaran operasional</t>
    </r>
  </si>
  <si>
    <r>
      <rPr>
        <b/>
        <sz val="10"/>
        <color theme="1"/>
        <rFont val="Montserrat"/>
      </rPr>
      <t>Sedang</t>
    </r>
    <r>
      <rPr>
        <sz val="10"/>
        <color theme="1"/>
        <rFont val="Montserrat"/>
      </rPr>
      <t xml:space="preserve"> — perusahaan masih dapat beroperasi selama nilai risiko residual ≤ 9; jika residual masih &gt;9, wajib eskalasi ke manajemen untuk penanganan segera dalam perencanaan anggaran dan infrastruktur berikutnya</t>
    </r>
  </si>
  <si>
    <t>Lakukan penambahan kapasitas darurat jika terjadi resource exhaustion; aktivasi prosedur eskalasi SLA; analisis root cause degradasi performa; dokumentasikan insiden dan dampak bisnis untuk justifikasi investasi capacity planning</t>
  </si>
  <si>
    <t xml:space="preserve"> - Dokumentasikan baseline metrik kapasitas — catat kondisi utilisasi CPU, RAM, storage, dan network saat ini untuk seluruh server sebagai titik acuan capacity planning
 - Integrasikan capacity planning ke dalam perencanaan strategis IT — jadikan capacity review sebagai agenda wajib dalam IT planning tahunan dan dikaitkan dengan roadmap bisnis dan proyeksi pertumbuhan
 - Implementasi monitoring threshold dan early warning — konfigurasi alert otomatis pada tools monitoring (Zabbix, Grafana, atau sejenisnya) untuk notifikasi dini saat utilisasi mendekati batas kritis
 - Tetapkan review kapasitas berkala — lakukan evaluasi kapasitas minimal triwulanan untuk memastikan provisi infrastruktur selaras dengan kebutuhan aktual dan proyeksi bisnis
 - Kaitkan capacity planning dengan IT Budget — pastikan hasil capacity review menjadi input langsung dalam penyusunan anggaran infrastruktur IT tahun berikutnya</t>
  </si>
  <si>
    <r>
      <t xml:space="preserve">PRTG dan review budgeting tahunan sudah memberikan penurunan probabilitas, namun risiko </t>
    </r>
    <r>
      <rPr>
        <b/>
        <sz val="10"/>
        <color theme="1"/>
        <rFont val="Montserrat"/>
      </rPr>
      <t>belum dapat ditutup</t>
    </r>
    <r>
      <rPr>
        <sz val="10"/>
        <color theme="1"/>
        <rFont val="Montserrat"/>
      </rPr>
      <t xml:space="preserve"> karena forecasting jangka panjang dan integrasi capacity planning dalam perencanaan strategis IT belum terealisasi, sehingga status tetap In Progress dan menjadi prioritas untuk segera dilengkapi.</t>
    </r>
  </si>
  <si>
    <t>Uncontrolled Change Management – Perubahan konfigurasi server dilakukan tanpa dokumentasi dan approval workflow meskipun SOP sudah tersedia, mengakibatkan instabilitas sistem, kegagalan audit, dan potensi pelanggaran kepatuhan</t>
  </si>
  <si>
    <t>SOP Change Management tersedia namun tidak dijalankan secara konsisten; tidak ada mekanisme teknis yang memaksa perubahan melalui approval workflow; tidak ada monitoring aktivitas perubahan konfigurasi secara real-time; budaya kepatuhan prosedur yang belum terbangun di tim infrastruktur</t>
  </si>
  <si>
    <t>Instabilitas sistem akibat perubahan yang tidak terdokumentasi dan tidak dapat di-rollback; kegagalan audit internal dan eksternal karena tidak adanya audit trail; pelanggaran kepatuhan regulasi; kesulitan troubleshooting insiden karena tidak ada catatan perubahan yang dapat ditelusuri</t>
  </si>
  <si>
    <t>Perubahan konfigurasi yang tidak terotorisasi; sistem tidak stabil akibat perubahan tanpa testing; kegagalan audit regulasi; insider threat melalui perubahan konfigurasi tersembunyi</t>
  </si>
  <si>
    <t>SOP Change Management tidak dijalankan; tidak ada enforcement teknis yang memaksa approval sebelum perubahan; tidak ada monitoring dan logging aktivitas perubahan konfigurasi; tidak ada mekanisme rollback yang terdokumentasi</t>
  </si>
  <si>
    <t>Akses server sudah direview dan hak akses istimewa sudah teridentifikasi; SOP Change Management sudah tersedia namun belum dijalankan; perubahan masih langsung dilakukan ke server tanpa monitoring aktivitas</t>
  </si>
  <si>
    <t>A.8.9 – Manajemen konfigurasi;
 A.8.15 – Logging; 
A.8.32 – Manajemen perubahan</t>
  </si>
  <si>
    <r>
      <rPr>
        <b/>
        <sz val="10"/>
        <color theme="1"/>
        <rFont val="Montserrat"/>
      </rPr>
      <t>Rendah</t>
    </r>
    <r>
      <rPr>
        <sz val="10"/>
        <color theme="1"/>
        <rFont val="Montserrat"/>
      </rPr>
      <t xml:space="preserve"> — perusahaan tidak bersedia membiarkan perubahan konfigurasi berjalan tanpa dokumentasi dan approval mengingat dampaknya langsung pada stabilitas sistem, kemampuan audit, dan pemenuhan kewajiban kepatuhan regulasi</t>
    </r>
  </si>
  <si>
    <r>
      <rPr>
        <b/>
        <sz val="10"/>
        <color theme="1"/>
        <rFont val="Montserrat"/>
      </rPr>
      <t>Sedang</t>
    </r>
    <r>
      <rPr>
        <sz val="10"/>
        <color theme="1"/>
        <rFont val="Montserrat"/>
      </rPr>
      <t xml:space="preserve"> — perusahaan masih dapat beroperasi selama nilai risiko residual ≤ 9; jika residual masih &gt;9, wajib eskalasi ke manajemen untuk penanganan segera</t>
    </r>
  </si>
  <si>
    <t>Identifikasi dan dokumentasikan seluruh perubahan yang sudah dilakukan tanpa melalui prosedur; lakukan audit konfigurasi untuk memastikan tidak ada perubahan berbahaya yang sudah masuk; aktivasi prosedur rollback jika ditemukan perubahan yang menyebabkan instabilitas</t>
  </si>
  <si>
    <t xml:space="preserve"> - Jalankan SOP Change Management secara konsisten — lakukan sosialisasi ulang dan tetapkan tanggal efektif pemberlakuan wajib SOP kepada seluruh tim infrastruktur
 - Implementasi enforcement teknis approval workflow — gunakan tools seperti Ansible, Terraform, atau ticketing system (JIRA/ServiceNow) sebagai gerbang wajib sebelum perubahan konfigurasi dapat dilakukan
 - Aktifkan monitoring dan logging aktivitas perubahan — integrasikan log aktivitas server ke SIEM (Wazuh) untuk mendeteksi perubahan konfigurasi yang dilakukan di luar prosedur secara real-time
 - Implementasi Configuration Management Database (CMDB) — catat baseline seluruh konfigurasi server sebagai referensi perbandingan untuk mendeteksi perubahan yang tidak terotorisasi
 - Tetapkan mekanisme rollback terdokumentasi — setiap perubahan wajib disertai rollback plan yang terdokumentasi sebelum dieksekusi
 - Implementasi prinsip separation of duties — personel yang mengajukan perubahan tidak boleh sama dengan yang menyetujui dan mengeksekusi perubahan
 - Tetapkan KPI kepatuhan Change Management — pantau persentase perubahan yang melalui prosedur vs yang bypass sebagai metrik kinerja tim infrastruktur</t>
  </si>
  <si>
    <r>
      <rPr>
        <b/>
        <sz val="10"/>
        <color theme="1"/>
        <rFont val="Montserrat"/>
      </rPr>
      <t>Belum bisa Closed</t>
    </r>
    <r>
      <rPr>
        <sz val="10"/>
        <color theme="1"/>
        <rFont val="Montserrat"/>
      </rPr>
      <t xml:space="preserve"> -  karena aktivitas terkait approval perubahan belum dijalankan dan belum dilengkapi evidence implementasinya</t>
    </r>
  </si>
  <si>
    <t>Patch Management pada endpoint Tidak Menyeluruh dan Weak Credentials – Proses patch management belum mencakup seluruh perangkat (khususnya macOS) dan password admin lokal diketahui oleh pengguna yang tidak seharusnya, membuka celah eksploitasi berupa breach, ransomware, dan compliance violation</t>
  </si>
  <si>
    <t>Keterbatasan kapasitas storage WSUS sehingga tidak semua patch dapat ditarik; tidak adanya solusi patch management untuk perangkat non-Windows; fitur RTR CrowdStrike untuk reset password belum dijalankan; tidak adanya kebijakan rotasi dan pengelolaan password admin lokal yang ketat</t>
  </si>
  <si>
    <t>Eksploitasi kerentanan pada perangkat yang belum ter-patch; penyebaran ransomware melalui endpoint yang rentan; akses tidak sah menggunakan kredensial admin lokal yang diketahui pengguna; pelanggaran kepatuhan regulasi akibat tidak terpenuhinya standar patch management dan manajemen kredensial</t>
  </si>
  <si>
    <t>Eksploitasi CVE pada endpoint yang belum ter-patch; serangan ransomware; privilege escalation menggunakan password admin lokal; insider threat melalui akses kredensial yang tidak terkontrol</t>
  </si>
  <si>
    <t>WSUS tidak mencakup perangkat macOS; storage WSUS terbatas sehingga patch tidak lengkap; password admin lokal diketahui oleh pengguna; fitur RTR CrowdStrike untuk reset password belum diaktifkan; tidak ada monitoring kepatuhan patch secara menyeluruh</t>
  </si>
  <si>
    <t>WSUS aktif untuk patch Windows namun terkendala kapasitas storage; CrowdStrike terpasang dengan fitur RTR tersedia namun belum digunakan untuk reset password admin lokal; perangkat macOS belum tercakup dalam patch management</t>
  </si>
  <si>
    <t>A.8.8 – Manajemen kerentanan teknis; 
A.5.17 – Informasi autentikasi; 
A.8.7 – Perlindungan terhadap malware</t>
  </si>
  <si>
    <r>
      <rPr>
        <b/>
        <sz val="10"/>
        <color theme="1"/>
        <rFont val="Montserrat"/>
      </rPr>
      <t>Rendah</t>
    </r>
    <r>
      <rPr>
        <sz val="10"/>
        <color theme="1"/>
        <rFont val="Montserrat"/>
      </rPr>
      <t xml:space="preserve"> — perusahaan tidak bersedia membiarkan endpoint beroperasi dalam kondisi belum ter-patch dan dengan kredensial admin yang tidak terkontrol, mengingat risiko langsung terhadap keamanan data nasabah dan pemenuhan kewajiban kepatuhan regulasi</t>
    </r>
  </si>
  <si>
    <r>
      <rPr>
        <b/>
        <sz val="10"/>
        <color theme="1"/>
        <rFont val="Montserrat"/>
      </rPr>
      <t>Sedang</t>
    </r>
    <r>
      <rPr>
        <sz val="10"/>
        <color theme="1"/>
        <rFont val="Montserrat"/>
      </rPr>
      <t xml:space="preserve"> — perusahaan masih dapat beroperasi selama nilai risiko residual ≤ 9; jika residual masih &gt;9, wajib eskalasi segera kepada manajemen dan tim keamanan</t>
    </r>
  </si>
  <si>
    <t>Isolasi endpoint yang terindikasi terkompromi; aktivasi prosedur incident response; reset segera seluruh password admin lokal melalui RTR CrowdStrike; audit menyeluruh terhadap endpoint yang belum ter-patch; notifikasi kepada regulator jika data nasabah terdampak</t>
  </si>
  <si>
    <t xml:space="preserve"> - Jalankan fitur RTR CrowdStrike untuk reset password admin lokal — lakukan reset dan randomisasi password admin lokal pada seluruh endpoint secara terpusat sesegera mungkin
 - Tetapkan kebijakan rotasi password admin lokal — password admin lokal wajib di-rotate secara berkala (minimal 90 hari) dan tidak boleh diketahui oleh pengguna endpoint
 - Ekspansi kapasitas storage WSUS — tambah kapasitas storage atau terapkan seleksi patch berbasis prioritas (Critical dan High wajib ditarik penuh) untuk memastikan patch keamanan kritis tidak terlewat
 - Implementasi solusi patch management untuk macOS — deploy tools seperti Jamf Pro atau Kandji untuk mengelola patch seluruh perangkat macOS secara terpusat
 - Inventarisasi seluruh endpoint aktif — pastikan seluruh perangkat Windows dan macOS terdaftar dan tercakup dalam solusi patch management yang ada
 - Terapkan kebijakan patch management berbasis SLA — tetapkan batas waktu wajib patch: Critical ≤ 7 hari, High ≤ 14 hari, Medium ≤ 30 hari untuk seluruh platform
 - Pertimbangkan implementasi LAPS (Local Administrator Password Solution) — untuk otomatisasi randomisasi dan pengelolaan password admin lokal pada seluruh endpoint Windows</t>
  </si>
  <si>
    <r>
      <t xml:space="preserve">WSUS dan CrowdStrike sudah tersedia namun cakupan patch </t>
    </r>
    <r>
      <rPr>
        <b/>
        <sz val="10"/>
        <color theme="1"/>
        <rFont val="Montserrat"/>
      </rPr>
      <t>belum menyeluruh</t>
    </r>
    <r>
      <rPr>
        <sz val="10"/>
        <color theme="1"/>
        <rFont val="Montserrat"/>
      </rPr>
      <t xml:space="preserve"> dan password admin lokal belum dirotasi, risiko belum mengalami penurunan signifikan, status In Progress dan menjadi prioritas untuk segera diselesaikan terutama reset kredensial admin lokal dan perluasan patch macOS</t>
    </r>
  </si>
  <si>
    <t>Server Downtime &amp; Data Loss – Keterbatasan infrastruktur backup, belum optimalnya cakupan DR untuk proses bisnis kritis, dan tidak adanya pengujian restore end-to-end meningkatkan risiko business interruption dan data loss yang berdampak pada operasional bisnis asuransi</t>
  </si>
  <si>
    <t>Keterbatasan kapasitas storage dan performa server backup; cakupan backup ke DR belum mencakup seluruh proses bisnis kritis; pengujian restore end-to-end belum dilaksanakan akibat keterbatasan sumber daya; tidak adanya validasi berkala terhadap integritas dan kelengkapan backup</t>
  </si>
  <si>
    <t>Kegagalan hardware server yang tidak dapat dipulihkan tepat waktu; ransomware yang mengenkripsi data produksi dan backup; bencana alam atau insiden yang memaksa aktivasi DR; corruption data yang tidak terdeteksi pada backup</t>
  </si>
  <si>
    <t>Storage backup terbatas sehingga tidak semua data kritis ter-backup penuh; performa server backup lambat berpotensi menyebabkan backup tidak selesai dalam window yang ditentukan; cakupan DR belum 100% mencakup proses bisnis kritis; restore end-to-end belum pernah diuji secara menyeluruh</t>
  </si>
  <si>
    <t>Veeam aktif dengan metode backup 3-2-1; backup rutin sudah berjalan; replikasi otomatis ke DR sudah aktif; SOP restore sudah tersedia dan restore parsial sudah pernah dijalankan</t>
  </si>
  <si>
    <t>A.8.13 – Backup informasi; 
A.5.29 – Keamanan informasi selama gangguan; 
A.5.30 – Kesiapan ICT untuk keberlangsungan bisnis</t>
  </si>
  <si>
    <r>
      <rPr>
        <b/>
        <sz val="10"/>
        <color theme="1"/>
        <rFont val="Montserrat"/>
      </rPr>
      <t>Rendah</t>
    </r>
    <r>
      <rPr>
        <sz val="10"/>
        <color theme="1"/>
        <rFont val="Montserrat"/>
      </rPr>
      <t xml:space="preserve"> — perusahaan tidak bersedia menanggung risiko kegagalan pemulihan data pada saat bencana nyata mengingat dampaknya langsung pada keberlangsungan operasional bisnis asuransi, kepercayaan nasabah, dan pemenuhan kewajiban regulasi</t>
    </r>
  </si>
  <si>
    <r>
      <rPr>
        <b/>
        <sz val="10"/>
        <color theme="1"/>
        <rFont val="Montserrat"/>
      </rPr>
      <t>Sedang</t>
    </r>
    <r>
      <rPr>
        <sz val="10"/>
        <color theme="1"/>
        <rFont val="Montserrat"/>
      </rPr>
      <t xml:space="preserve"> — perusahaan masih dapat beroperasi selama nilai risiko residual ≤ 9; jika residual masih &gt;9, wajib eskalasi ke manajemen untuk penanganan segera dalam perencanaan anggaran infrastruktur</t>
    </r>
  </si>
  <si>
    <t>Aktivasi prosedur DR dan eskalasi ke manajemen; jalankan restore dari backup terakhir yang valid; koordinasi dengan vendor Veeam untuk dukungan teknis darurat; dokumentasikan timeline insiden dan dampak bisnis untuk keperluan pelaporan regulasi</t>
  </si>
  <si>
    <t xml:space="preserve"> - Inventarisasi proses bisnis kritis — identifikasi dan dokumentasikan seluruh proses bisnis kritis yang belum tercakup dalam replikasi DR, prioritaskan berdasarkan dampak bisnis
 - Perluas cakupan backup DR hingga 100% proses kritis — pastikan seluruh sistem dan data yang mendukung proses bisnis kritis masuk dalam scope replikasi otomatis ke DR
 - Ekspansi kapasitas storage backup — tambah kapasitas storage atau implementasi tiered storage untuk mengatasi keterbatasan yang menyebabkan backup tidak optimal
 - Tetapkan dan dokumentasikan RTO &amp; RPO — definisikan target Recovery Time Objective dan Recovery Point Objective untuk setiap sistem kritis sebagai acuan pengujian dan perencanaan DR
 - Jadwalkan DR drill berkala — laksanakan pengujian restore end-to-end minimal setahun sekali atau setiap ada perubahan infrastruktur signifikan, dengan hasil terdokumentasi
 - Update BCDRP sesuai hasil DR drill — setiap temuan dari hasil DR drill wajib ditindaklanjuti dan didokumentasikan sebagai penyempurnaan dokumen BCDRP</t>
  </si>
  <si>
    <t>Ekspansi kapasitas storage backup; optimasi konfigurasi Veeam untuk peningkatan performa; perluas cakupan DR untuk mencakup seluruh proses bisnis kritis; jadwalkan dan laksanakan DR drill dan restore end-to-end secara berkala</t>
  </si>
  <si>
    <t>(Belum seluruhnya dijalankan)</t>
  </si>
  <si>
    <t>Ekspansi kapasitas storage WSUS atau migrasi ke solusi patch management yang lebih scalable; implementasi solusi patch management untuk perangkat macOS; jalankan fitur RTR CrowdStrike untuk reset dan randomisasi password admin lokal; tetapkan kebijakan rotasi kredensial admin lokal secara berkala</t>
  </si>
  <si>
    <t>Enforcement wajib SOP Change Management melalui mekanisme teknis; implementasi tools Configuration Management dan audit trail; implementasi monitoring aktivitas perubahan konfigurasi secara real-time</t>
  </si>
  <si>
    <t>Implementasi proses capacity planning proaktif yang terjadwal; integrasikan capacity planning ke dalam perencanaan strategis IT tahunan; implementasi monitoring dan alerting berbasis threshold untuk early warning resource utilization</t>
  </si>
  <si>
    <t>Topologi Jaringan menyebabkan bottleneck yang tidak terdeteksi dan berdampak pada kualitas layanan nasabah.</t>
  </si>
  <si>
    <t>Topologi jaringan belum pernah direview relevansinya terhadap kondisi bisnis terkini; tidak ada tools monitoring performa jaringan (APM/NPM) untuk mendeteksi bottleneck secara real-time; personil yang memahami topologi dan konfigurasi jaringan sangat terbatas sehingga review dan optimasi sulit dilakukan</t>
  </si>
  <si>
    <t>Latensi tinggi yang memperlambat proses operasional dan transaksi nasabah; degradasi kualitas layanan digital yang berdampak pada kepuasan dan kepercayaan nasabah; kesulitan troubleshooting karena tidak ada visibility jaringan yang memadai; potensi pelanggaran SLA layanan</t>
  </si>
  <si>
    <t>Bottleneck jaringan yang tidak terdeteksi; kegagalan routing akibat konfigurasi yang tidak relevan; single point of failure akibat keterbatasan pengetahuan personil; gangguan layanan yang berkepanjangan</t>
  </si>
  <si>
    <t>Topologi jaringan tidak pernah direview dan berpotensi tidak relevan dengan kebutuhan bisnis saat ini; tidak ada APM/NPM untuk monitoring performa jaringan; pengetahuan konfigurasi jaringan terpusat pada personil terbatas (single point of knowledge); tidak ada baseline performa jaringan sebagai acuan deteksi anomali</t>
  </si>
  <si>
    <t>Pembatasan bandwidth per level karyawan sudah diterapkan sebagai kontrol dasar, topologi jaringan sudah teridentifikasi dokumentasinya</t>
  </si>
  <si>
    <t>A.8.6 – Manajemen kapasitas; 
A.8.16 – Aktivitas pemantauan; 
A.8.9 – Manajemen konfigurasi</t>
  </si>
  <si>
    <r>
      <rPr>
        <b/>
        <sz val="10"/>
        <color theme="1"/>
        <rFont val="Montserrat"/>
      </rPr>
      <t>Sedang</t>
    </r>
    <r>
      <rPr>
        <sz val="10"/>
        <color theme="1"/>
        <rFont val="Montserrat"/>
      </rPr>
      <t xml:space="preserve"> — perusahaan dapat mentolerir degradasi performa jaringan minor dalam jangka pendek, namun tidak bersedia membiarkan kondisi bottleneck yang tidak terpantau berlanjut mengingat dampaknya pada kualitas layanan nasabah dan pemenuhan SLA</t>
    </r>
  </si>
  <si>
    <r>
      <rPr>
        <b/>
        <sz val="10"/>
        <color theme="1"/>
        <rFont val="Montserrat"/>
      </rPr>
      <t>Sedang</t>
    </r>
    <r>
      <rPr>
        <sz val="10"/>
        <color theme="1"/>
        <rFont val="Montserrat"/>
      </rPr>
      <t xml:space="preserve"> — perusahaan masih dapat beroperasi selama nilai risiko residual ≤ 12; jika residual masih &gt;12, wajib eskalasi ke manajemen untuk penanganan segera</t>
    </r>
  </si>
  <si>
    <t>Identifikasi segmen jaringan yang mengalami bottleneck melalui analisis manual; lakukan rerouting atau penambahan bandwidth darurat; eskalasi ke vendor jaringan untuk dukungan teknis; dokumentasikan insiden dan dampak layanan untuk keperluan SLA review</t>
  </si>
  <si>
    <t>Lakukan review menyeluruh topologi jaringan dan relevansinya terhadap kebutuhan bisnis terkini; implementasi tools monitoring performa jaringan (NPM/APM); lakukan knowledge transfer konfigurasi jaringan untuk mengurangi ketergantungan pada personil terbatas</t>
  </si>
  <si>
    <t>Pembatasan bandwidth sudah berjalan namun tanpa monitoring performa dan review topologi, bottleneck tidak dapat terdeteksi secara proaktif, risiko belum mengalami penurunan signifikan, status In Progress dan menjadi prioritas untuk segera dilakukan review topologi dan implementasi monitoring jaringan</t>
  </si>
  <si>
    <t xml:space="preserve"> - Lakukan review menyeluruh topologi jaringan — evaluasi relevansi topologi dan konfigurasi routing yang ada terhadap kondisi dan kebutuhan bisnis terkini, identifikasi segmen yang tidak efisien
 - Dokumentasikan topologi dan konfigurasi jaringan terkini — buat dokumentasi lengkap dan up-to-date sebagai referensi operasional dan dasar perencanaan optimasi
 - Tetapkan baseline performa jaringan — ukur dan dokumentasikan kondisi normal latensi dan bandwidth sebagai acuan deteksi anomali dan bottleneck
 - Lakukan knowledge transfer konfigurasi jaringan — transfer pengetahuan dari personil yang memahami topologi ke minimal 2 personil lain untuk menghilangkan single point of knowledge
 - Implementasi QoS (Quality of Service) — prioritaskan traffic untuk aplikasi dan layanan kritis nasabah agar tidak terdampak oleh traffic non-kritis
 - Jadwalkan review topologi jaringan berkala — lakukan evaluasi topologi minimal tahunan atau setiap ada perubahan signifikan pada infrastruktur atau kebutuhan bisnis
 - Implementasi Network Performance Monitoring (NPM) — deploy tools seperti PRTG, SolarWinds, atau Grafana+Prometheus untuk monitoring latensi, throughput, dan utilisasi bandwidth secara real-time</t>
  </si>
  <si>
    <t>Network Security &amp; DDoS Vulnerability – Konfigurasi firewall yang tidak terdokumentasi, ketiadaan WAF dan DDoS mitigation plan, serta log yang tidak direview membuka celah eksploitasi berupa service unavailability dan data exfiltration yang mengancam keberlangsungan layanan dan revenue perusahaan</t>
  </si>
  <si>
    <t>Konfigurasi firewall tidak terdokumentasi dan hanya dipahami personil terbatas; tidak adanya WAF untuk perlindungan aplikasi web; tidak tersedianya DDoS mitigation plan; log firewall tidak direview akibat volume yang terlalu besar dan tidak adanya tools agregasi log yang memadai</t>
  </si>
  <si>
    <t>Service unavailability akibat serangan DDoS yang tidak termitogasi; data exfiltration melalui celah konfigurasi firewall yang tidak optimal; kesulitan forensik dan investigasi insiden akibat log tidak direview; kegagalan audit keamanan; potensi kerugian revenue dan reputasi perusahaan</t>
  </si>
  <si>
    <t>Serangan DDoS yang melumpuhkan layanan; eksploitasi celah konfigurasi firewall; data exfiltration melalui jaringan; serangan aplikasi web yang tidak tertangkal tanpa WAF; insider threat akibat pengetahuan konfigurasi yang terpusat</t>
  </si>
  <si>
    <t>Konfigurasi firewall tidak terdokumentasi dan menjadi single point of knowledge; tidak ada WAF untuk perlindungan layer aplikasi; tidak ada DDoS mitigation plan; log firewall tidak dianalisis secara berkala; keterbatasan fitur firewall yang ada untuk menghadapi ancaman modern</t>
  </si>
  <si>
    <t>Fitur IPS/IDS sudah diaktifkan pada firewall; akses ke server menerapkan dua layer kontrol termasuk pengaturan di firewall; segregasi VLAN sudah diterapkan</t>
  </si>
  <si>
    <t>A.8.20 – Keamanan jaringan; 
A.8.21 – Keamanan layanan jaringan; 
A.8.22 – Segregasi jaringan; 
A.8.15 – Logging; 
A.8.16 – Aktivitas pemantauan</t>
  </si>
  <si>
    <r>
      <rPr>
        <b/>
        <sz val="10"/>
        <color theme="1"/>
        <rFont val="Montserrat"/>
      </rPr>
      <t>Rendah</t>
    </r>
    <r>
      <rPr>
        <sz val="10"/>
        <color theme="1"/>
        <rFont val="Montserrat"/>
      </rPr>
      <t xml:space="preserve"> — perusahaan tidak bersedia menanggung risiko service unavailability dan data exfiltration akibat celah keamanan jaringan yang tidak tertangani, mengingat dampak langsung terhadap keberlangsungan layanan nasabah, kerahasiaan data, dan revenue perusahaan</t>
    </r>
  </si>
  <si>
    <t>Sedang — perusahaan masih dapat beroperasi selama nilai risiko residual ≤ 12; jika residual masih &gt;12, wajib eskalasi segera ke manajemen senior dan tim keamanan</t>
  </si>
  <si>
    <t>Aktivasi prosedur incident response segera; lakukan traffic filtering darurat untuk mitigasi DDoS; isolasi segmen jaringan yang terdampak; engajemen vendor firewall untuk dukungan teknis darurat; dokumentasikan timeline insiden untuk keperluan forensik dan pelaporan regulasi</t>
  </si>
  <si>
    <t>Dokumentasikan seluruh konfigurasi firewall dan firewall rules secara komprehensif; implementasi WAF untuk perlindungan layer aplikasi; susun DDoS mitigation plan; implementasi log aggregator untuk memudahkan analisis log firewall</t>
  </si>
  <si>
    <t xml:space="preserve"> - Dokumentasikan seluruh konfigurasi firewall dan firewall rules — buat dokumentasi komprehensif termasuk ACL, policy rules, zona keamanan, dan justifikasi setiap rule yang ada
- Lakukan review dan hardening firewall rules — identifikasi rules yang tidak relevan, terlalu permisif, atau sudah tidak digunakan dan lakukan pembersihan secara terkontrol
 - Lakukan knowledge transfer konfigurasi firewall — transfer pengetahuan dari personil yang memahami konfigurasi ke minimal 2 personil lain untuk menghilangkan single point of knowledge
 - Implementasi log aggregator terpusat — integrasikan log firewall ke SIEM (Wazuh atau sejenisnya) untuk memudahkan analisis tanpa harus menarik log secara manual
 - Implementasi WAF (Web Application Firewall) — deploy WAF untuk perlindungan layer aplikasi web dari serangan seperti SQL Injection, XSS, dan OWASP Top 10
 - Evaluasi upgrade atau penggantian firewall — kaji apakah firewall yang ada masih memadai untuk menghadapi ancaman modern atau perlu upgrade fitur/kapasitas
 - Tetapkan jadwal review log firewall berkala — setelah log aggregator aktif, tetapkan SOP review log minimal mingguan dengan format pelaporan yang terstandardisasi
 - Jadwalkan simulasi serangan DDoS — lakukan tabletop exercise atau simulasi terbatas untuk memvalidasi efektivitas DDoS mitigation plan yang telah disusun</t>
  </si>
  <si>
    <t>IPS/IDS, dual-layer access control, dan segregasi VLAN sudah berjalan namun konfigurasi firewall tidak terdokumentasi, log tidak direview, dan WAF serta DDoS mitigation plan belum tersedia, risiko mengalami penurunan parsial, status In Progress dan menjadi prioritas untuk segera dilakukan dokumentasi konfigurasi dan penyusunan DDoS mitigation plan</t>
  </si>
  <si>
    <t>Network Configuration Management Gap – Perubahan konfigurasi jaringan dilakukan tanpa change log, diagram jaringan outdated, tidak ada review akses dan log, serta keterbatasan knowledge tim mengakibatkan troubleshooting lambat dan kegagalan audit konfigurasi</t>
  </si>
  <si>
    <t>Tidak adanya prosedur change management yang diterapkan untuk perubahan konfigurasi jaringan; diagram jaringan tidak pernah diperbarui sesuai kondisi aktual; keterbatasan knowledge tim infrastruktur jaringan terhadap kondisi eksisting; tidak ada mekanisme review akses dan log jaringan secara berkala</t>
  </si>
  <si>
    <t>Troubleshooting lambat akibat tidak adanya dokumentasi perubahan yang dapat ditelusuri; kegagalan audit konfigurasi internal maupun eksternal; ketidakmampuan mendeteksi perubahan tidak terotorisasi; potensi misconfiguration yang tidak teridentifikasi membuka celah keamanan; ketergantungan ekstrem pada personil tertentu</t>
  </si>
  <si>
    <t>Perubahan konfigurasi tidak terotorisasi yang tidak terdeteksi; misconfiguration yang menyebabkan gangguan layanan; kegagalan audit regulasi; eksploitasi celah konfigurasi yang tidak terdokumentasi; knowledge loss akibat turnover personil jaringan</t>
  </si>
  <si>
    <t>Tidak ada change log untuk perubahan konfigurasi jaringan; diagram jaringan outdated dan tidak mencerminkan kondisi aktual; tidak ada review berkala terhadap akses dan log jaringan; knowledge konfigurasi jaringan terpusat pada personil terbatas; tidak ada baseline konfigurasi yang terdokumentasi</t>
  </si>
  <si>
    <t>Implementasi DMZ sudah dilakukan; akses ke perangkat jaringan sudah dibatasi pada personil tertentu</t>
  </si>
  <si>
    <t>A.8.9 – Manajemen konfigurasi; 
A.8.20 – Keamanan jaringan; 
A.8.22 – Segregasi jaringan; 
A.8.15 – Logging</t>
  </si>
  <si>
    <r>
      <rPr>
        <b/>
        <sz val="10"/>
        <color theme="1"/>
        <rFont val="Montserrat"/>
      </rPr>
      <t>Rendah</t>
    </r>
    <r>
      <rPr>
        <sz val="10"/>
        <color theme="1"/>
        <rFont val="Montserrat"/>
      </rPr>
      <t xml:space="preserve"> — perusahaan tidak bersedia membiarkan perubahan konfigurasi jaringan berjalan tanpa dokumentasi dan change log mengingat frekuensi kejadian yang sangat tinggi dan dampaknya terhadap kemampuan audit serta respons insiden</t>
    </r>
  </si>
  <si>
    <t>Identifikasi perubahan konfigurasi terakhir yang dilakukan melalui penelusuran manual; lakukan audit konfigurasi darurat untuk memastikan tidak ada misconfiguration berbahaya; dokumentasikan kondisi konfigurasi saat ini sebagai baseline; eskalasi ke manajemen jika ditemukan perubahan tidak terotorisasi</t>
  </si>
  <si>
    <t>Implementasi change management wajib untuk seluruh perubahan konfigurasi jaringan; perbarui dan dokumentasikan diagram jaringan sesuai kondisi aktual; implementasi network configuration backup otomatis; lakukan knowledge transfer kepada seluruh anggota tim jaringan</t>
  </si>
  <si>
    <t>DMZ dan pembatasan akses sudah berjalan namun perubahan konfigurasi masih terjadi tanpa change log berkali-kali dalam setahun dan dokumentasi jaringan belum diperbarui, risiko belum mengalami penurunan signifikan, status In Progress dan menjadi prioritas utama mengingat frekuensi kejadian yang sangat tinggi</t>
  </si>
  <si>
    <t xml:space="preserve"> - Audit dan dokumentasikan konfigurasi jaringan eksisting — catat kondisi aktual seluruh perangkat jaringan sebagai baseline sebelum perubahan apapun dilakukan ke depannya
 - Perbarui diagram jaringan sesuai kondisi aktual — buat diagram topologi yang mencerminkan kondisi infrastruktur jaringan saat ini secara akurat dan lengkap
 - Implementasi SOP change management jaringan — seluruh perubahan konfigurasi jaringan wajib melalui prosedur pengajuan, review, approval, dan pencatatan change log sebelum dieksekusi
 - Implementasi network configuration backup otomatis — deploy tools seperti Oxidized atau RANCID untuk backup konfigurasi perangkat jaringan secara otomatis dan terjadwal
 - Integrasikan log perangkat jaringan ke SIEM — arahkan log seluruh perangkat jaringan ke Wazuh atau log aggregator terpusat untuk memudahkan review dan deteksi anomali
 - Lakukan knowledge transfer konfigurasi jaringan — transfer pengetahuan dari personil yang memahami infrastruktur ke seluruh anggota tim jaringan untuk menghilangkan single point of knowledge
 - Jadwalkan network configuration audit — lakukan audit konfigurasi jaringan minimal semesteran untuk memastikan tidak ada misconfiguration atau perubahan tidak terotorisasi yang terakumulasi</t>
  </si>
  <si>
    <t>Network Resilience &amp; Single Point of Failure – Infrastruktur jaringan tanpa redundansi memadai dan kondisi perangkat yang sudah end-of-life/end-of-support berpotensi mengakibatkan total outage yang menghentikan operasional bisnis dan berdampak pada kepercayaan serta retensi nasabah</t>
  </si>
  <si>
    <t>Desain infrastruktur jaringan tidak mempertimbangkan redundansi pada komponen kritis; mayoritas perangkat jaringan sudah melewati batas end-of-life dan end-of-support; keterbatasan anggaran yang menghambat refresh dan penambahan perangkat redundan; tidak ada perencanaan network resilience dalam roadmap infrastruktur</t>
  </si>
  <si>
    <t>Total outage yang menghentikan seluruh operasional bisnis; gangguan layanan kepada nasabah yang berkepanjangan; potensi perpindahan nasabah ke kompetitor; kerugian revenue akibat downtime; potensi pelanggaran SLA; risiko keamanan akibat perangkat yang tidak lagi mendapat patch keamanan dari vendor</t>
  </si>
  <si>
    <t>Hardware failure pada perangkat tanpa redundansi; kegagalan ISP tunggal tanpa failover; eksploitasi kerentanan pada perangkat end-of-support yang tidak mendapat patch keamanan; bencana alam atau gangguan fisik yang melumpuhkan perangkat tanpa backup</t>
  </si>
  <si>
    <t>Mayoritas perangkat jaringan tidak memiliki backup device; single ISP tanpa failover; perangkat obsolete tidak mendapat update keamanan dari vendor; tidak ada mekanisme automatic failover jika terjadi kegagalan perangkat</t>
  </si>
  <si>
    <t>Beberapa perangkat jaringan sudah memiliki backup device; konfigurasi jaringan sudah dibackup secara rutin</t>
  </si>
  <si>
    <t>A.8.6 – Manajemen kapasitas; 
A.8.20 – Keamanan jaringan; 
A.5.30 – Kesiapan ICT untuk keberlangsungan bisnis</t>
  </si>
  <si>
    <r>
      <rPr>
        <b/>
        <sz val="10"/>
        <color theme="1"/>
        <rFont val="Montserrat"/>
      </rPr>
      <t>Rendah</t>
    </r>
    <r>
      <rPr>
        <sz val="10"/>
        <color theme="1"/>
        <rFont val="Montserrat"/>
      </rPr>
      <t xml:space="preserve"> — perusahaan tidak bersedia menanggung risiko total outage akibat single point of failure pada infrastruktur jaringan, mengingat dampak langsung pada keberlangsungan operasional bisnis, kepuasan nasabah, dan potensi kehilangan revenue secara signifikan</t>
    </r>
  </si>
  <si>
    <r>
      <rPr>
        <b/>
        <sz val="10"/>
        <color theme="1"/>
        <rFont val="Montserrat"/>
      </rPr>
      <t>Sedang</t>
    </r>
    <r>
      <rPr>
        <sz val="10"/>
        <color theme="1"/>
        <rFont val="Montserrat"/>
      </rPr>
      <t xml:space="preserve"> — perusahaan masih dapat beroperasi selama nilai risiko residual ≤ 9; jika residual masih &gt;9, wajib eskalasi ke manajemen senior untuk penanganan dalam perencanaan anggaran infrastruktur</t>
    </r>
  </si>
  <si>
    <t>Aktivasi prosedur darurat konektivitas jaringan; koordinasi dengan ISP untuk pemulihan layanan; aktifkan backup device yang tersedia; eskalasi ke manajemen dan komunikasi ke unit bisnis terdampak; dokumentasikan downtime dan dampak bisnis untuk keperluan SLA review dan pelaporan</t>
  </si>
  <si>
    <t>Susun roadmap network redundancy secara bertahap berdasarkan prioritas kritikal; implementasi dual ISP dengan automatic failover; lakukan refresh perangkat yang sudah end-of-life sesuai prioritas risiko; integrasikan perencanaan network resilience ke dalam IT Budget tahunan</t>
  </si>
  <si>
    <t>Beberapa perangkat sudah memiliki backup device dan konfigurasi sudah dibackup rutin, namun mayoritas infrastruktur masih beroperasi tanpa redundansi dan banyak perangkat sudah end-of-life, risiko belum mengalami penurunan signifikan, status In Progress dan menjadi prioritas untuk segera disusun roadmap redundansi dan dijadikan agenda IT Budget berikutnya</t>
  </si>
  <si>
    <t xml:space="preserve"> - Inventarisasi seluruh perangkat jaringan — identifikasi dan kategorikan perangkat berdasarkan status (end-of-life, end-of-support, aktif) dan tingkat kritikal terhadap operasional bisnis
 - Pemetaan single point of failure — identifikasi seluruh titik kritis jaringan yang tidak memiliki redundansi dan urutkan berdasarkan dampak bisnis jika gagal
 - Susun roadmap network redundancy — buat rencana bertahap implementasi redundansi berdasarkan prioritas kritikal, disesuaikan dengan ketersediaan anggaran
 - Refresh perangkat end-of-life secara bertahap — prioritaskan penggantian perangkat yang paling kritis dan paling berisiko gagal berdasarkan hasil inventarisasi
 - Susun dan uji Network Recovery Plan — dokumentasikan prosedur pemulihan jaringan untuk setiap skenario kegagalan perangkat kritis dan lakukan simulasi berkala
 - Jadwalkan review kondisi perangkat berkala — lakukan evaluasi kondisi fisik dan performa perangkat jaringan minimal semesteran untuk antisipasi kegagalan dini</t>
  </si>
  <si>
    <t>Ticket Backlog &amp; Long Resolution Time – Ketergantungan pada satu personil support tanpa mekanisme backup yang memadai berpotensi mengakibatkan akumulasi backlog tiket, pelanggaran SLA, dan penurunan produktivitas pengguna saat personil utama tidak tersedia</t>
  </si>
  <si>
    <t>Personel IT Infra - Tech Support</t>
  </si>
  <si>
    <t>Jumlah personil support tidak sebanding dengan potensi volume tiket saat kondisi gangguan; tidak adanya mekanisme backup personil yang terdefinisi; belum ada proses triase dan prioritisasi tiket yang formal untuk kondisi resource terbatas</t>
  </si>
  <si>
    <t>Akumulasi backlog tiket yang tidak tertangani saat personil utama berhalangan; pelanggaran SLA layanan IT; penurunan produktivitas pengguna akibat gangguan yang tidak terselesaikan tepat waktu; potensi eskalasi keluhan dari unit bisnis</t>
  </si>
  <si>
    <t>Ketidakhadiran mendadak personil support (sakit, cuti, resign); lonjakan volume tiket yang melebihi kapasitas satu personil; single point of failure pada fungsi IT support</t>
  </si>
  <si>
    <t>Seluruh penanganan tiket bergantung pada satu personil; tidak ada backup personil atau mekanisme pengalihan beban kerja yang terdefinisi; tidak ada proses prioritisasi tiket formal untuk kondisi darurat resource terbatas</t>
  </si>
  <si>
    <t>Pengaturan dispatch tiket sudah berjalan melalui aplikasi helpdesk; SLA saat ini terpenuhi di angka 95%</t>
  </si>
  <si>
    <t>8.1 – Perencanaan dan pengendalian operasional; 
7.1 – Sumber daya</t>
  </si>
  <si>
    <t>A.5.37 – Prosedur operasi yang terdokumentasi; 
A.6.1 – Penyaringan; 
A.8.6 – Manajemen kapasitas</t>
  </si>
  <si>
    <r>
      <rPr>
        <b/>
        <sz val="10"/>
        <color theme="1"/>
        <rFont val="Montserrat"/>
      </rPr>
      <t>Sedang</t>
    </r>
    <r>
      <rPr>
        <sz val="10"/>
        <color theme="1"/>
        <rFont val="Montserrat"/>
      </rPr>
      <t xml:space="preserve"> — perusahaan dapat mentolerir keterbatasan personil support dalam jangka pendek selama SLA masih terpenuhi, namun tidak bersedia membiarkan kondisi single point of resource berlanjut tanpa mekanisme backup yang terdefinisi</t>
    </r>
  </si>
  <si>
    <r>
      <rPr>
        <b/>
        <sz val="10"/>
        <color theme="1"/>
        <rFont val="Montserrat"/>
      </rPr>
      <t>Sedang</t>
    </r>
    <r>
      <rPr>
        <sz val="10"/>
        <color theme="1"/>
        <rFont val="Montserrat"/>
      </rPr>
      <t xml:space="preserve"> — perusahaan masih dapat beroperasi selama nilai risiko residual ≤ 6; jika residual masih &gt;6, wajib eskalasi ke manajemen untuk evaluasi penambahan resource atau mekanisme backup</t>
    </r>
  </si>
  <si>
    <t>Aktifkan mekanisme eskalasi darurat ke personil IT lain yang tersedia; terapkan triase tiket untuk prioritaskan insiden kritis; komunikasikan kondisi keterbatasan layanan kepada unit bisnis terdampak; dokumentasikan backlog untuk penanganan segera setelah personil kembali</t>
  </si>
  <si>
    <t>Tetapkan mekanisme backup personil yang terdefinisi untuk kondisi personil utama tidak tersedia; susun prosedur triase dan prioritisasi tiket formal; evaluasi model ketenagaan IT support yang lebih resilient</t>
  </si>
  <si>
    <t>Dispatch helpdesk sudah berjalan dan SLA masih terpenuhi 95%, namun ketergantungan pada satu personil menjadikan risiko aktif setiap saat, status New - Open dan menjadi prioritas untuk segera ditetapkan mekanisme backup personil sebelum kondisi gangguan terjadi</t>
  </si>
  <si>
    <t xml:space="preserve"> - Tetapkan mekanisme backup personil — definisikan secara formal siapa yang menjadi backup support saat personil utama tidak tersedia, termasuk alur eskalasi dan batas kewenangan backup
 - Susun prosedur triase dan prioritisasi tiket — buat matriks prioritas tiket (Critical, High, Medium, Low) beserta definisi, target penyelesaian, dan alur eskalasi untuk kondisi resource terbatas
 - Dokumentasikan knowledge base penanganan tiket umum — buat panduan penyelesaian untuk tiket-tiket yang paling sering muncul agar dapat ditangani oleh personil lain saat dibutuhkan
 - Optimalkan fitur helpdesk untuk otomatisasi — manfaatkan fitur auto-assignment, SLA reminder, dan eskalasi otomatis pada aplikasi helpdesk untuk mengurangi beban manual personil
 - Pantau tren volume tiket secara berkala — analisis pola volume tiket per periode untuk mengidentifikasi peak time dan merencanakan antisipasi kebutuhan resource</t>
  </si>
  <si>
    <t>Recurring Issues &amp; No Root Cause Analysis – Tiket yang sama dibuka berulang kali tanpa proses RCA mengakibatkan pemborosan sumber daya support, peningkatan support cost, dan penurunan kepuasan pengguna secara berkelanjutan</t>
  </si>
  <si>
    <t>Tidak adanya proses RCA yang terstruktur untuk tiket berulang; keterbatasan developer untuk melakukan perbaikan permanen pada sistem; ketergantungan pada vendor eksternal yang membutuhkan biaya tambahan untuk perbaikan; budaya penyelesaian tiket yang berfokus pada quick fix tanpa analisis akar masalah</t>
  </si>
  <si>
    <t>Pemborosan sumber daya support untuk menangani permasalahan yang sama berulang kali; peningkatan support cost akibat volume tiket yang tidak berkurang; penurunan kepuasan dan produktivitas pengguna; potensi eskalasi keluhan ke manajemen akibat permasalahan yang tidak terselesaikan secara permanen</t>
  </si>
  <si>
    <t>Akumulasi recurring ticket yang terus meningkat; burnout personil support akibat menangani masalah yang sama berulang; penurunan kepercayaan pengguna terhadap layanan IT; pemborosan anggaran support yang tidak efisien</t>
  </si>
  <si>
    <t>Tidak ada proses RCA yang terdefinisi dan dijalankan; tidak ada mekanisme identifikasi dan kategorisasi recurring ticket; keterbatasan developer untuk perbaikan permanen; ketergantungan vendor eksternal tanpa SLA perbaikan yang jelas</t>
  </si>
  <si>
    <t>Aplikasi helpdesk sudah berjalan dengan SLA di atas 95%; dispatch manager sudah tersedia untuk pengaturan tiket</t>
  </si>
  <si>
    <t>8.1 – Perencanaan dan pengendalian operasional; 
10.1 – Ketidaksesuaian dan tindakan korektif</t>
  </si>
  <si>
    <t>A.5.37 – Prosedur operasi yang terdokumentasi; 
A.8.6 – Manajemen kapasitas</t>
  </si>
  <si>
    <r>
      <rPr>
        <b/>
        <sz val="10"/>
        <color theme="1"/>
        <rFont val="Montserrat"/>
      </rPr>
      <t>Rendah</t>
    </r>
    <r>
      <rPr>
        <sz val="10"/>
        <color theme="1"/>
        <rFont val="Montserrat"/>
      </rPr>
      <t xml:space="preserve"> — perusahaan tidak bersedia membiarkan permasalahan yang sama terus berulang tanpa tindakan perbaikan permanen, mengingat dampak kumulatif terhadap efisiensi sumber daya, biaya operasional, dan kepuasan pengguna</t>
    </r>
  </si>
  <si>
    <r>
      <rPr>
        <b/>
        <sz val="10"/>
        <color theme="1"/>
        <rFont val="Montserrat"/>
      </rPr>
      <t>Sedang</t>
    </r>
    <r>
      <rPr>
        <sz val="10"/>
        <color theme="1"/>
        <rFont val="Montserrat"/>
      </rPr>
      <t xml:space="preserve"> — perusahaan masih dapat beroperasi selama nilai risiko residual ≤ 9; jika residual masih &gt;9, wajib eskalasi ke manajemen untuk alokasi sumber daya perbaikan permanen</t>
    </r>
  </si>
  <si>
    <t>Identifikasi dan kategorikan seluruh recurring ticket yang sedang aktif; lakukan quick win fix untuk permasalahan yang dapat diselesaikan tanpa keterlibatan developer atau vendor; dokumentasikan pattern recurring ticket sebagai dasar prioritas RCA</t>
  </si>
  <si>
    <t>Implementasi proses RCA wajib untuk tiket yang muncul lebih dari dua kali; buat recurring ticket dashboard untuk monitoring dan prioritisasi; susun backlog perbaikan permanen berdasarkan frekuensi dan dampak</t>
  </si>
  <si>
    <t>Helpdesk dan dispatch sudah berjalan baik namun tidak ada proses RCA sehingga recurring ticket terus berulang tanpa penyelesaian permanen, risiko masih terbuka penuh pada level Tinggi, status New - Open dan menjadi prioritas untuk segera diimplementasikan proses RCA dan penyusunan backlog perbaikan permanen</t>
  </si>
  <si>
    <t xml:space="preserve"> - Identifikasi dan kategorikan seluruh recurring ticket — analisis data historis helpdesk untuk mengidentifikasi tiket yang muncul berulang, kategorikan berdasarkan frekuensi dan dampak bisnis
 - Susun dan tetapkan SOP RCA — dokumen prosedur yang mewajibkan RCA untuk setiap tiket yang muncul lebih dari dua kali, termasuk format laporan dan PIC yang bertanggung jawab
 - Susun backlog perbaikan permanen — buat daftar terstruktur seluruh permasalahan recurring beserta estimasi effort, biaya, dan prioritas perbaikan sebagai input perencanaan developer dan vendor
 - Alokasikan kapasitas developer untuk perbaikan recurring — sisihkan sebagian kapasitas developer secara reguler khusus untuk menyelesaikan backlog perbaikan permanen recurring ticket
 - Implementasi self-service knowledge base — buat panduan penyelesaian mandiri untuk permasalahan umum yang berulang agar pengguna dapat menyelesaikan sendiri tanpa membuka tiket
 - Tetapkan KPI pengurangan recurring ticket — pantau persentase penurunan volume recurring ticket sebagai metrik kinerja IT Prod-Support secara berkala</t>
  </si>
  <si>
    <t>Tidak adanya monitoring aktivitas selama sesi remote berlangsung; belum diimplementasikannya change management dan approval workflow sebelum akses remote diberikan; keterbatasan jumlah FortiToken yang berpotensi mendorong workaround tidak aman; tidak ada mekanisme perekaman sesi remote sebagai audit trail</t>
  </si>
  <si>
    <t xml:space="preserve">Akses remote support yang belum dilengkapi monitoring aktivitas, approval workflow, dan audit trail yang memadai — meskipun FortiToken sudah diterapkan — berpotensi mengakibatkan aktivitas tidak terotorisasi selama sesi remote tidak dapat terdeteksi dan diinvestigasi, sehingga membuka celah data breach, penyalahgunaan akses oleh support staff maupun vendor, serta pelanggaran kepatuhan regulasi yang sulit dibuktikan.
</t>
  </si>
  <si>
    <t>Aktivitas tidak terotorisasi selama sesi remote tidak dapat terdeteksi; ketidakmampuan melakukan investigasi forensik jika terjadi insiden akibat tidak adanya audit trail; potensi data breach melalui akses remote yang tidak terpantau; pelanggaran kepatuhan regulasi akibat tidak terpenuhinya persyaratan audit trail akses istimewa</t>
  </si>
  <si>
    <t>Data exfiltration oleh support staff atau vendor selama sesi remote; penyalahgunaan akses remote di luar scope yang diizinkan; akses tidak terotorisasi melalui token yang dipinjam atau disalahgunakan; insider threat melalui sesi remote tanpa pengawasan</t>
  </si>
  <si>
    <t>Tidak ada monitoring dan perekaman aktivitas sesi remote; tidak ada approval workflow sebelum akses remote diberikan; jumlah FortiToken terbatas berpotensi memicu penggunaan tidak standar; tidak ada audit trail yang dapat digunakan untuk investigasi insiden</t>
  </si>
  <si>
    <t>Seluruh akses remote termasuk vendor sudah diwajibkan menggunakan autentikasi dua faktor berbasis FortiToken</t>
  </si>
  <si>
    <t>A.5.15 – Manajemen akses; 
A.8.5 – Autentikasi aman; 
A.8.15 – Logging; 
A.8.16 – Aktivitas pemantauan; 
A.5.17 – Informasi autentikasi</t>
  </si>
  <si>
    <r>
      <rPr>
        <b/>
        <sz val="10"/>
        <color theme="1"/>
        <rFont val="Montserrat"/>
      </rPr>
      <t>Rendah</t>
    </r>
    <r>
      <rPr>
        <sz val="10"/>
        <color theme="1"/>
        <rFont val="Montserrat"/>
      </rPr>
      <t xml:space="preserve"> — perusahaan tidak bersedia membiarkan sesi remote berlangsung tanpa monitoring dan audit trail mengingat akses remote memberikan visibilitas langsung ke perangkat dan data pengguna yang berpotensi mengandung informasi sensitif nasabah</t>
    </r>
  </si>
  <si>
    <r>
      <rPr>
        <b/>
        <sz val="10"/>
        <color theme="1"/>
        <rFont val="Montserrat"/>
      </rPr>
      <t>Sedang</t>
    </r>
    <r>
      <rPr>
        <sz val="10"/>
        <color theme="1"/>
        <rFont val="Montserrat"/>
      </rPr>
      <t xml:space="preserve"> — perusahaan masih dapat beroperasi selama nilai risiko residual ≤ 9; jika residual masih &gt;9, wajib eskalasi segera ke manajemen dan tim keamanan</t>
    </r>
  </si>
  <si>
    <t>Revoke akses remote yang mencurigakan segera; lakukan investigasi manual terhadap log FortiToken untuk mengidentifikasi sesi yang tidak terotorisasi; audit perangkat yang diakses jika terdapat indikasi penyalahgunaan; dokumentasikan temuan untuk keperluan forensik dan pelaporan</t>
  </si>
  <si>
    <t>Implementasi monitoring dan perekaman sesi remote; terapkan approval workflow sebelum akses remote diberikan; penuhi kebutuhan FortiToken agar seluruh pengguna yang membutuhkan akses remote memiliki token resmi; integrasikan log akses remote ke SIEM</t>
  </si>
  <si>
    <t>FortiToken sudah diterapkan secara menyeluruh termasuk vendor sebagai kontrol autentikasi yang kuat, namun monitoring aktivitas dan approval workflow belum ada sehingga aktivitas selama sesi remote tidak dapat dipertanggungjawabkan, status In Progress dan menjadi prioritas untuk segera diimplementasikan monitoring sesi dan approval workflow</t>
  </si>
  <si>
    <t xml:space="preserve"> - Implementasi approval workflow sebelum akses remote — seluruh permintaan remote support wajib melalui proses pengajuan dan persetujuan yang terdokumentasi sebelum akses diberikan, termasuk untuk vendor
 - Implementasi session recording untuk sesi remote — deploy tools perekaman sesi (seperti CyberArk, BeyondTrust, atau fitur recording pada tools remote yang ada) sebagai audit trail yang dapat ditelusuri
 - Penuhi kebutuhan FortiToken — lakukan inventarisasi kebutuhan token dan pastikan seluruh personil yang memiliki kebutuhan akses remote mendapatkan token resmi untuk menghilangkan potensi workaround
 - Integrasikan log akses remote ke SIEM — arahkan seluruh log sesi remote ke Wazuh atau log aggregator terpusat untuk pemantauan dan deteksi anomali secara real-time
 - Tetapkan kebijakan akses remote — dokumen resmi yang mengatur scope akses, durasi sesi, kewajiban perekaman, dan konsekuensi penyalahgunaan untuk seluruh pengguna dan vendor
 - Implementasi time-limited access — akses remote diberikan hanya untuk durasi yang dibutuhkan dan otomatis dicabut setelah sesi selesai atau waktu yang ditentukan habis
 - Sosialisasi kebijakan akses remote ke vendor — pastikan seluruh vendor yang memiliki akses remote memahami dan menyetujui kebijakan penggunaan, monitoring, dan perekaman sesi
 - Jadwalkan review hak akses remote secara berkala — lakukan evaluasi daftar pengguna dan vendor yang memiliki akses remote minimal triwulanan untuk memastikan tidak ada akses yang sudah tidak relevan</t>
  </si>
  <si>
    <t>Ketiadaan kebijakan formal, SOP pemrosesan data pribadi, dan DPO yang kompeten — meskipun ROPA dan asesmen dampak bisnis telah tersedia secara parsial — berpotensi mengakibatkan pelanggaran kewajiban UU PDP yang tidak disadari dalam operasional, sehingga membuka eksposur terhadap sanksi administratif, tuntutan hukum subjek data, dan kerusakan reputasi perusahaan</t>
  </si>
  <si>
    <t>Tidak adanya kebijakan dan SOP formal terkait pemrosesan data pribadi sesuai UU PDP; ketiadaan personil yang ditunjuk dan kompeten sebagai DPO; tingkat awareness organisasi terhadap kewajiban UU PDP yang masih rendah di seluruh lini; DPIA belum tersedia sebagai instrumen identifikasi risiko pemrosesan data</t>
  </si>
  <si>
    <t>Sanksi administratif dari Kominfo/regulator; gugatan hukum dari subjek data; audit regulasi yang mengungkap ketidakpatuhan; kebocoran data pribadi akibat tidak adanya prosedur perlindungan yang memadai</t>
  </si>
  <si>
    <t>Tidak ada kebijakan dan SOP pemrosesan data pribadi; DPIA belum tersedia; tidak ada DPO atau personil yang ditunjuk dan kompeten; awareness UU PDP rendah di seluruh unit organisasi; tidak ada mekanisme penanganan permintaan hak subjek data</t>
  </si>
  <si>
    <t>Register of Processing Activities (ROPA) telah tersusun sebagai dokumentasi aktivitas pemrosesan data; asesmen dampak bisnis terkait perlindungan data telah tersedia secara parsial</t>
  </si>
  <si>
    <t>5.1 – Kepemimpinan dan komitmen; 
7.5 – Informasi terdokumentasi; 
8.1 – Perencanaan dan pengendalian operasional</t>
  </si>
  <si>
    <t>A.5.34 – Privasi dan perlindungan informasi pribadi; 
A.5.1 – Kebijakan keamanan informasi; 
A.6.3 – Kesadaran, pendidikan dan pelatihan keamanan informasi</t>
  </si>
  <si>
    <r>
      <rPr>
        <b/>
        <sz val="10"/>
        <color theme="1"/>
        <rFont val="Montserrat"/>
      </rPr>
      <t>Rendah</t>
    </r>
    <r>
      <rPr>
        <sz val="10"/>
        <color theme="1"/>
        <rFont val="Montserrat"/>
      </rPr>
      <t xml:space="preserve"> — perusahaan tidak bersedia menanggung risiko ketidakpatuhan terhadap UU PDP mengingat kewajiban regulasi bersifat mandatory dan sanksinya langsung menyentuh aspek hukum, finansial, dan reputasi perusahaan</t>
    </r>
  </si>
  <si>
    <r>
      <rPr>
        <b/>
        <sz val="10"/>
        <color theme="1"/>
        <rFont val="Montserrat"/>
      </rPr>
      <t>Sedang</t>
    </r>
    <r>
      <rPr>
        <sz val="10"/>
        <color theme="1"/>
        <rFont val="Montserrat"/>
      </rPr>
      <t xml:space="preserve"> — perusahaan masih dapat beroperasi selama nilai risiko residual ≤ 9; jika residual masih &gt;9, wajib eskalasi ke manajemen senior dan Legal Counsel untuk penanganan segera</t>
    </r>
  </si>
  <si>
    <t>Aktivasi prosedur penanganan insiden pelanggaran data pribadi; notifikasi kepada regulator dalam batas waktu yang ditetapkan UU PDP; identifikasi subjek data yang terdampak; engajemen Legal Counsel untuk asesmen eksposur hukum; dokumentasikan seluruh langkah penanganan sebagai bukti itikad baik kepada regulator</t>
  </si>
  <si>
    <t>Susun kebijakan dan SOP perlindungan data pribadi yang komprehensif sesuai UU PDP; tunjuk dan latih DPO atau personil yang bertanggung jawab atas kepatuhan UU PDP; susun DPIA untuk seluruh proses pemrosesan data berisiko tinggi; implementasi program awareness UU PDP ke seluruh unit organisasi</t>
  </si>
  <si>
    <t xml:space="preserve"> - Tunjuk DPO atau PIC kepatuhan UU PDP — tetapkan personil yang bertanggung jawab secara formal atas implementasi dan pemantauan kepatuhan UU PDP di seluruh unit organisasi
 - Susun kebijakan perlindungan data pribadi — dokumen kebijakan resmi yang mengatur prinsip pemrosesan, hak subjek data, kewajiban perusahaan, dan konsekuensi pelanggaran sesuai UU PDP
 - Susun SOP pemrosesan data pribadi — prosedur operasional yang mencakup pengumpulan, penyimpanan, penggunaan, pengungkapan, dan penghapusan data pribadi untuk setiap unit yang memproses data
 - Lakukan DPIA untuk proses berisiko tinggi — identifikasi dan nilai risiko privasi pada seluruh aktivitas pemrosesan data yang berpotensi berdampak tinggi terhadap hak subjek data
 - Implementasi mekanisme penanganan hak subjek data — susun prosedur formal untuk merespons permintaan akses, koreksi, penghapusan, dan penarikan persetujuan dari subjek data sesuai ketentuan UU PDP
 - Jadwalkan audit kepatuhan UU PDP berkala — lakukan evaluasi kepatuhan minimal tahunan untuk memastikan seluruh proses pemrosesan data pribadi sesuai dengan ketentuan yang berlaku</t>
  </si>
  <si>
    <t>Personel IT Governance berkoordinasi dengan Legal Counsel dan seluruh unit pemilik data</t>
  </si>
  <si>
    <t>ROPA dan asesmen dampak bisnis sudah tersedia namun kebijakan formal, SOP, DPIA, dan DPO yang kompeten belum ada, risiko masih terbuka penuh pada level Tinggi, status New - Open dan menjadi prioritas untuk segera ditunjuk DPO dan disusun kebijakan perlindungan data sebelum terjadi insiden yang memicu sanksi regulasi</t>
  </si>
  <si>
    <t>Ketergantungan tinggi pada library open-source dari sumber publik tunggal tanpa alternatif yang terdefinisi; banyak aplikasi legacy yang tidak memiliki developer aktif sehingga sulit dilakukan penggantian library; keragaman framework dan bahasa pemrograman yang tinggi mempersulit inventarisasi dan pemantauan dependensi secara menyeluruh</t>
  </si>
  <si>
    <t>Penghapusan atau penghentian proyek library open-source oleh maintainer; library tidak lagi tersedia di repositori publik; perubahan lisensi yang melarang penggunaan komersial; abandonware pada library yang digunakan aplikasi legacy</t>
  </si>
  <si>
    <t>Tidak ada inventarisasi lengkap dependensi open-source di seluruh aplikasi; aplikasi legacy tanpa developer aktif sangat sulit dimigrasikan ke library alternatif; keragaman framework dan bahasa mempersulit standardisasi manajemen dependensi; tidak semua library sudah ter-mirror di repositori lokal</t>
  </si>
  <si>
    <t>Repositori lokal sudah disiapkan untuk menyimpan library secara internal; CI/CD sudah terintegrasi dengan repositori Artifactory lokal sebagai sumber dependensi</t>
  </si>
  <si>
    <t>8.1 – Perencanaan dan pengendalian operasional; 
5.19 – Keamanan informasi dalam hubungan pemasok</t>
  </si>
  <si>
    <t>A.5.22 – Pemantauan, tinjauan, dan manajemen perubahan layanan pemasok; 
A.8.25 – Siklus hidup pengembangan yang aman; 
A.8.8 – Manajemen kerentanan teknis</t>
  </si>
  <si>
    <r>
      <rPr>
        <b/>
        <sz val="10"/>
        <color theme="1"/>
        <rFont val="Montserrat"/>
      </rPr>
      <t>Sedang</t>
    </r>
    <r>
      <rPr>
        <sz val="10"/>
        <color theme="1"/>
        <rFont val="Montserrat"/>
      </rPr>
      <t xml:space="preserve"> — perusahaan dapat menerima tingkat ketergantungan pada library open-source dalam batas yang terkendali, namun tidak bersedia membiarkan aplikasi legacy beroperasi tanpa inventarisasi dependensi yang memadai mengingat sulitnya pemulihan jika terjadi gangguan</t>
    </r>
  </si>
  <si>
    <r>
      <rPr>
        <b/>
        <sz val="10"/>
        <color theme="1"/>
        <rFont val="Montserrat"/>
      </rPr>
      <t>Sedang</t>
    </r>
    <r>
      <rPr>
        <sz val="10"/>
        <color theme="1"/>
        <rFont val="Montserrat"/>
      </rPr>
      <t xml:space="preserve"> — perusahaan masih dapat beroperasi selama nilai risiko residual ≤ 6; jika residual masih &gt;6, wajib eskalasi ke manajemen untuk alokasi sumber daya inventarisasi dan migrasi dependensi</t>
    </r>
  </si>
  <si>
    <t>Identifikasi seluruh aplikasi yang bergantung pada library terdampak; gunakan versi yang sudah ter-mirror di Artifactory sebagai fallback sementara; eskalasi ke tim pengembangan untuk asesmen dampak dan opsi migrasi; dokumentasikan seluruh dependensi yang teridentifikasi sebagai baseline inventarisasi</t>
  </si>
  <si>
    <t>Lakukan inventarisasi menyeluruh dependensi open-source di seluruh aplikasi; pastikan seluruh library kritis sudah ter-mirror di Artifactory lokal; susun kebijakan manajemen dependensi yang mewajibkan penggunaan repositori lokal sebagai sumber utama</t>
  </si>
  <si>
    <t xml:space="preserve"> - Inventarisasi seluruh dependensi open-source — petakan semua library dan framework yang digunakan di seluruh aplikasi termasuk legacy, lengkap dengan versi, status maintenance, dan sumber asalnya
 - Pastikan seluruh library kritis ter-mirror di Artifactory — lakukan audit cakupan Artifactory saat ini dan lengkapi dengan library yang belum ter-mirror, prioritaskan yang digunakan aplikasi kritis dan legacy
 - Implementasi Software Composition Analysis (SCA) — integrasikan SCA tools ke CI/CD untuk mendeteksi secara otomatis dependensi yang sudah tidak aktif, end-of-life, atau berisiko tinggi
 - Pantau status aktif library kritis secara berkala — lakukan monitoring terhadap repositori publik library yang digunakan untuk mendeteksi indikasi penghentian atau perubahan lisensi sedini mungkin</t>
  </si>
  <si>
    <t>Personel DevSecOps berkoordinasi dengan Personel IT Core Development dan Personel IT Prod-Support</t>
  </si>
  <si>
    <t xml:space="preserve"> Repositori lokal dan integrasi Artifactory sudah berjalan sebagai kontrol yang cukup memadai, namun inventarisasi dependensi belum menyeluruh terutama untuk aplikasi legacy, risiko berada pada level Rendah namun tetap perlu dipantau, status In Progress dan perlu dilanjutkan optimasi cakupan mirroring library ke Artifactory</t>
  </si>
  <si>
    <t>Tidak terpenuhinya prinsip SoD secara menyeluruh akibat satu individu mengelola proses deployment end-to-end tanpa pengawasan  berpotensi mengakibatkan fraud internal atau kebocoran data sensitif yang tidak terdeteksi, sehingga membuka eksposur terhadap kerugian finansial, pelanggaran kepatuhan, dan kerusakan integritas sistem</t>
  </si>
  <si>
    <t>Ketergantungan pada library open-source vendor tunggal yang berpotensi dihapus  berpotensi mengakibatkan kegagalan build dan deployment terutama pada aplikasi legacy tanpa developer aktif, sehingga menimbulkan gangguan operasional yang sulit dipulihkan akibat kompleksitas keragaman framework dan bahasa pemrograman</t>
  </si>
  <si>
    <t>Keterbatasan jumlah personil yang mengharuskan satu individu mengelola proses dari development hingga deployment secara mandiri; kompleksitas dan keragaman jenis aplikasi yang mempersulit standardisasi penerapan SoD; belum adanya mekanisme approval dan pengawasan yang menyeluruh untuk seluruh proses deployment</t>
  </si>
  <si>
    <t>Potensi fraud internal yang tidak terdeteksi akibat tidak adanya pengawasan pada proses end-to-end; kebocoran data sensitif yang sulit ditelusuri tanpa audit trail yang memadai; kegagalan audit internal dan eksternal akibat tidak terpenuhinya prinsip SoD; pelanggaran kepatuhan regulasi terkait pengendalian akses dan pemisahan tugas</t>
  </si>
  <si>
    <t>Fraud internal melalui manipulasi proses deployment tanpa pengawasan; kebocoran data sensitif oleh personil yang memiliki akses end-to-end; modifikasi tidak terotorisasi pada kode atau konfigurasi yang tidak terdeteksi; kegagalan audit regulasi akibat tidak terpenuhinya persyaratan SoD</t>
  </si>
  <si>
    <t>Proses deployment dilakukan secara mandiri tanpa mekanisme approval atau pengawasan; SoD belum diterapkan secara menyeluruh di luar environment container; keterbatasan personil memaksa konsentrasi kontrol pada individu tertentu; tidak ada mekanisme four-eyes principle pada proses kritis</t>
  </si>
  <si>
    <t>CI/CD pipeline sudah diimplementasikan sebagai kontrol proses deployment; review hak akses istimewa sudah dilaksanakan secara berkala; Segregation of Duties untuk environment container dan pengelolaan container sudah diterapkan</t>
  </si>
  <si>
    <t>A.5.3 – Segregasi tugas; 
A.8.2 – Hak akses istimewa; 
A.5.15 – Manajemen akses; 
A.8.15 – Logging</t>
  </si>
  <si>
    <r>
      <rPr>
        <b/>
        <sz val="10"/>
        <color theme="1"/>
        <rFont val="Montserrat"/>
      </rPr>
      <t>Rendah</t>
    </r>
    <r>
      <rPr>
        <sz val="10"/>
        <color theme="1"/>
        <rFont val="Montserrat"/>
      </rPr>
      <t xml:space="preserve"> — perusahaan tidak bersedia membiarkan proses kritis berjalan tanpa pemisahan tugas yang memadai mengingat potensi fraud internal dan kebocoran data yang dihasilkan dapat berdampak langsung pada integritas sistem, kepercayaan nasabah, dan pemenuhan kewajiban regulasi</t>
    </r>
  </si>
  <si>
    <r>
      <rPr>
        <b/>
        <sz val="10"/>
        <color theme="1"/>
        <rFont val="Montserrat"/>
      </rPr>
      <t>Sedang</t>
    </r>
    <r>
      <rPr>
        <sz val="10"/>
        <color theme="1"/>
        <rFont val="Montserrat"/>
      </rPr>
      <t xml:space="preserve"> — perusahaan masih dapat beroperasi selama nilai risiko residual ≤ 9; jika residual masih &gt;9, wajib eskalasi ke manajemen untuk evaluasi penambahan personil atau mekanisme kompensasi kontrol</t>
    </r>
  </si>
  <si>
    <t>Lakukan audit menyeluruh terhadap seluruh aktivitas deployment yang dilakukan secara mandiri dalam periode tertentu; identifikasi dan investigasi anomali pada log CI/CD; terapkan pembatasan akses darurat jika ditemukan indikasi penyalahgunaan; dokumentasikan temuan untuk keperluan forensik dan pelaporan</t>
  </si>
  <si>
    <t>Perluas penerapan SoD ke seluruh proses deployment yang saat ini masih dilakukan secara mandiri; implementasi four-eyes principle sebagai mekanisme approval wajib; perkuat audit trail dan logging pada seluruh proses deployment</t>
  </si>
  <si>
    <t xml:space="preserve"> CI/CD, review hak akses istimewa, dan SoD untuk environment container sudah berjalan sebagai kontrol yang memadai pada scope tersebut, namun proses deployment di luar container masih dilakukan secara mandiri tanpa pengawasan, risiko belum sepenuhnya tertangani, status In Progress dan menjadi prioritas untuk segera diperluas cakupan SoD ke seluruh proses deployment</t>
  </si>
  <si>
    <t xml:space="preserve"> Personel DevSecOps berkoordinasi dengan Personel IT Governance dan Personel Security Analyst</t>
  </si>
  <si>
    <t xml:space="preserve"> - Pemetaan proses deployment yang belum memiliki SoD — identifikasi seluruh proses deployment yang saat ini masih dilakukan secara mandiri oleh satu individu tanpa mekanisme pengawasan
 - Perkuat audit trail dan logging deployment — pastikan seluruh aktivitas deployment tercatat secara komprehensif di CI/CD pipeline dan terintegrasi ke SIEM untuk pemantauan anomali
 - Implementasi deployment approval workflow — tambahkan gate approval yang membutuhkan persetujuan dari personil yang berbeda pada setiap tahap deployment kritis di CI/CD pipeline
 - Review dan perbarui Matrix Hak Akses Istimewa — pastikan matriks hak akses mencerminkan prinsip SoD secara akurat dan tidak ada individu yang memiliki akses end-to-end tanpa kompensasi kontrol
 - Jadwalkan review kepatuhan SoD berkala — lakukan evaluasi penerapan SoD di seluruh proses kritis minimal triwulanan dan dokumentasikan hasilnya sebagai bukti kepatuhan</t>
  </si>
  <si>
    <t>Keterbatasan jumlah personil teknis yang bertanggung jawab atas implementasi persyaratan regulasi; kesenjangan kompetensi teknis dalam menerjemahkan ketentuan regulasi menjadi langkah implementasi konkret; ketergantungan implementasi pada segelintir personil yang sama sehingga rentan terhadap bottleneck kapasitas</t>
  </si>
  <si>
    <t>Sanksi administratif dan denda dari OJK; temuan audit regulasi yang tidak dapat dijelaskan; pembatasan kegiatan operasional oleh regulator; tuntutan hukum akibat pelanggaran ketentuan yang berlaku</t>
  </si>
  <si>
    <t>Ketidakterpenuhinya kewajiban teknis regulasi dalam batas waktu yang ditetapkan; sanksi administratif dari regulator OJK; kerugian finansial akibat denda atau penalti ketidakpatuhan; potensi pembatasan kegiatan usaha akibat temuan audit regulasi</t>
  </si>
  <si>
    <t>Keterbatasan kapasitas dan kompetensi teknis personil dalam mengimplementasikan persyaratan regulasi keamanan informasi berpotensi mengakibatkan ketidakterpenuhinya kewajiban teknis dalam batas waktu regulasi, sehingga membuka eksposur terhadap sanksi administratif, kerugian finansial, dan tindakan hukum dari OJK</t>
  </si>
  <si>
    <t>Kapasitas personil teknis tidak sebanding dengan volume dan kompleksitas persyaratan regulasi yang harus diimplementasikan; kompetensi teknis implementasi regulasi terpusat pada personil terbatas; tidak ada roadmap implementasi teknis regulasi yang terstruktur dan terpantau</t>
  </si>
  <si>
    <t>Fungsi Legal &amp; Compliance secara rutin menginformasikan dan mensosialisasikan setiap persyaratan regulasi baru kepada unit terkait; seluruh dokumentasi peraturan dan ketentuan regulasi tersimpan dan terkelola dalam Document Management System (DMS)</t>
  </si>
  <si>
    <t>5.1 – Kepemimpinan dan komitmen; 
6.1 – Tindakan untuk menangani risiko dan peluang; 
9.1 – Pemantauan, pengukuran, analisis dan evaluasi</t>
  </si>
  <si>
    <t>A.5.31 – Persyaratan hukum, undang-undang, peraturan dan kontrak; 
A.5.36 – Kepatuhan terhadap kebijakan dan standar keamanan informasi; 
A.6.3 – Kesadaran, pendidikan dan pelatihan keamanan informasi</t>
  </si>
  <si>
    <r>
      <rPr>
        <b/>
        <sz val="10"/>
        <color theme="1"/>
        <rFont val="Montserrat"/>
      </rPr>
      <t>Rendah</t>
    </r>
    <r>
      <rPr>
        <sz val="10"/>
        <color theme="1"/>
        <rFont val="Montserrat"/>
      </rPr>
      <t xml:space="preserve"> — perusahaan tidak bersedia menanggung risiko ketidakpatuhan terhadap regulasi OJK/BI mengingat kewajiban pemenuhan bersifat mandatory dan sanksinya berdampak langsung pada kelangsungan operasional, reputasi, dan aspek hukum perusahaan</t>
    </r>
  </si>
  <si>
    <r>
      <rPr>
        <b/>
        <sz val="10"/>
        <color theme="1"/>
        <rFont val="Montserrat"/>
      </rPr>
      <t>Sedang</t>
    </r>
    <r>
      <rPr>
        <sz val="10"/>
        <color theme="1"/>
        <rFont val="Montserrat"/>
      </rPr>
      <t xml:space="preserve"> — perusahaan masih dapat beroperasi selama nilai risiko residual ≤ 9; jika residual masih &gt;9, wajib eskalasi ke manajemen senior untuk alokasi sumber daya implementasi dan penanganan segera</t>
    </r>
  </si>
  <si>
    <t>Aktivasi tim respons kepatuhan untuk asesmen cepat terhadap gap implementasi; engajemen konsultan eksternal jika kapasitas internal tidak mencukupi; penyusunan remediation plan dengan timeline yang dapat dipertanggungjawabkan kepada regulator; dokumentasikan seluruh langkah pemenuhan sebagai bukti itikad baik</t>
  </si>
  <si>
    <t>Susun regulatory implementation roadmap yang memetakan seluruh kewajiban teknis beserta PIC, timeline, dan status implementasinya; tingkatkan kompetensi teknis personil melalui pelatihan regulasi; evaluasi kebutuhan penambahan personil atau penggunaan konsultan eksternal untuk implementasi regulasi kritis</t>
  </si>
  <si>
    <t xml:space="preserve"> Personel IT Governance berkoordinasi dengan Legal &amp; Compliance dan Personel CTIO</t>
  </si>
  <si>
    <t xml:space="preserve"> Sosialisasi regulasi dan dokumentasi DMS sudah berjalan dengan baik namun kapasitas dan kompetensi teknis implementasi masih menjadi hambatan utama, risiko belum mengalami penurunan pada aspek implementasi teknis, status In Progress dan menjadi prioritas untuk segera disusun regulatory implementation roadmap dan dievaluasi kebutuhan sumber daya tambahan</t>
  </si>
  <si>
    <t xml:space="preserve"> - Susun regulatory implementation roadmap — petakan seluruh kewajiban teknis regulasi yang berlaku (OJK/BI) beserta status implementasi, PIC, dan target penyelesaian dalam satu dokumen terpantau
 - Tetapkan PIC implementasi per regulasi — pastikan setiap kewajiban regulasi memiliki personil penanggung jawab yang jelas dengan akuntabilitas yang terdokumentasi
 - Evaluasi kebutuhan sumber daya tambahan — kaji opsi penambahan personil teknis, cross-training, atau penggunaan konsultan eksternal untuk mengatasi bottleneck kapasitas implementasi regulasi
 - Perkuat koordinasi IT dan Legal &amp; Compliance — bentuk forum rutin antara tim IT teknis dan Legal &amp; Compliance untuk memastikan setiap regulasi baru langsung ditindaklanjuti dengan rencana implementasi teknis
 - Jadwalkan review kepatuhan regulasi berkala — lakukan evaluasi status pemenuhan seluruh kewajiban regulasi minimal triwulanan dan laporkan hasilnya kepada manajemen senior</t>
  </si>
  <si>
    <t>Kehilangan aset intelektual strategis berupa source code aplikasi dan dokumen strategis yang berpotensi dicuri, dieksfiltrasi, dan diperjualbelikan oleh karyawan atau kompetitor kepada pihak yang tidak berwenang</t>
  </si>
  <si>
    <t>Tidak adanya solusi DLP untuk mencegah dan mendeteksi eksfiltrasi source code; tidak adanya pernyataan kepemilikan HKI yang eksplisit dalam kontrak kerja; developer memiliki kemampuan teknis untuk menarik source code dan berpotensi mengeksfiltrasi ke repositori publik; NDA yang ada tidak secara eksplisit mengatur kepemilikan dan larangan komersialisasi source code</t>
  </si>
  <si>
    <t>Kehilangan aset intelektual strategis berupa source code aplikasi; kerugian kompetitif akibat source code digunakan atau dijual kepada kompetitor; ketidakmampuan membuktikan kepemilikan secara hukum; potensi kerugian finansial dan reputasi yang signifikan</t>
  </si>
  <si>
    <t>Pencurian source code oleh karyawan aktif atau mantan karyawan; eksfiltrasi source code ke repositori publik; penjualan source code kepada kompetitor; penggunaan source code untuk kepentingan pribadi atau entitas lain</t>
  </si>
  <si>
    <t>Tidak ada solusi DLP yang memantau dan mencegah transfer data tidak terotorisasi; tidak ada pernyataan HKI kepemilikan source code dalam kontrak kerja; developer dapat melakukan git pull/clone dan berpotensi mengeksfiltrasi ke repositori publik; NDA belum secara eksplisit mengatur kepemilikan dan larangan komersialisasi source code</t>
  </si>
  <si>
    <t>Akses repositori source code sudah bersifat internal dan wajib melalui VPN; akses dibatasi per personil sesuai project yang ditangani; NDA sudah ditandatangani oleh seluruh personil yang memiliki akses source code</t>
  </si>
  <si>
    <t>8.1 – Perencanaan dan pengendalian operasional; 
5.1 – Kepemimpinan dan komitmen</t>
  </si>
  <si>
    <t>A.5.32 – Hak kekayaan intelektual; 
A.8.12 – Pencegahan kebocoran data; 
A.5.15 – Manajemen akses; 
A.6.1 – Penyaringan</t>
  </si>
  <si>
    <r>
      <rPr>
        <b/>
        <sz val="10"/>
        <color theme="1"/>
        <rFont val="Montserrat"/>
      </rPr>
      <t>Rendah</t>
    </r>
    <r>
      <rPr>
        <sz val="10"/>
        <color theme="1"/>
        <rFont val="Montserrat"/>
      </rPr>
      <t xml:space="preserve"> — perusahaan tidak bersedia menanggung risiko kehilangan source code sebagai aset intelektual strategis mengingat dampaknya langsung pada keunggulan kompetitif, keberlangsungan bisnis, dan kemampuan pembuktian kepemilikan secara hukum</t>
    </r>
  </si>
  <si>
    <t>Revoke akses repositori segera untuk personil yang terindikasi; lakukan audit log akses dan aktivitas git untuk mengidentifikasi scope eksfiltrasi; engajemen Legal Counsel untuk asesmen tindakan hukum; dokumentasikan seluruh bukti digital sebagai dasar tuntutan hukum</t>
  </si>
  <si>
    <t>Implementasi solusi DLP untuk memantau dan mencegah transfer source code ke repositori publik atau media eksternal; tambahkan pernyataan kepemilikan HKI eksplisit dalam kontrak kerja; perkuat monitoring aktivitas git repository</t>
  </si>
  <si>
    <t>Pembatasan akses VPN dan per project serta NDA sudah berjalan sebagai kontrol dasar, namun ketiadaan DLP dan pernyataan HKI eksplisit membuat jalur eksfiltrasi tetap terbuka dan sulit dibuktikan secara hukum, status In Progress dan menjadi prioritas untuk segera ditambahkan klausul HKI dan diimplementasikan DLP</t>
  </si>
  <si>
    <t xml:space="preserve"> - Tambahkan klausul HKI eksplisit dalam kontrak kerja — pernyataan resmi bahwa seluruh source code yang dihasilkan selama hubungan kerja adalah milik perusahaan dan dilarang digunakan, diperjualbelikan, atau dibagikan ke pihak manapun
 - Lakukan addendum kontrak untuk karyawan aktif — pastikan seluruh personil yang memiliki akses source code menandatangani addendum klausul HKI jika kontrak awal belum memuatnya
 - Evaluasi dan implementasi solusi DLP — deploy solusi DLP yang mampu mendeteksi dan mencegah transfer source code ke repositori publik, media eksternal, atau platform berbagi file
 - Blokir akses ke repositori publik dari jaringan perusahaan — terapkan pembatasan akses ke GitHub publik atau platform sejenisnya kecuali untuk kebutuhan yang terotorisasi
 - Sosialisasi kebijakan perlindungan IP kepada seluruh developer — edukasi mengenai kepemilikan source code, larangan eksfiltrasi, dan konsekuensi hukum pelanggaran kebijakan HKI perusahaan
 - Jadwalkan review hak akses repositori secara berkala — evaluasi daftar personil yang memiliki akses source code minimal triwulanan dan cabut akses yang sudah tidak relevan</t>
  </si>
  <si>
    <t>Personel IT Governance berkoordinasi dengan Legal Counsel, Personel Security Analyst, dan Personel DevSecOps</t>
  </si>
  <si>
    <t>Personil</t>
  </si>
  <si>
    <t>IT Security Analyst</t>
  </si>
  <si>
    <t>Owner 2</t>
  </si>
  <si>
    <t>Owner 1</t>
  </si>
  <si>
    <t>IT Infrastructure (Head)</t>
  </si>
  <si>
    <t>Kerentanan keamanan pada tahap requirement gathering dan pengujian aplikasi berpotensi lolos tanpa terdeteksi dan masuk ke lingkungan produks</t>
  </si>
  <si>
    <t>Standar kualifikasi dan kompetensi personil BA dan QA tidak mencakup aspek keamanan informasi; tidak adanya program pelatihan keamanan dasar seperti OWASP Top 10 dan prinsip Secure Design; proses bisnis yang belum terdefinisi dengan jelas mempersulit identifikasi kebutuhan keamanan sejak tahap awal; keterbatasan personil yang menghalangi alokasi waktu untuk pengembangan kompetensi keamanan</t>
  </si>
  <si>
    <t>Persyaratan keamanan tidak terdefinisi sejak tahap requirement; kerentanan aplikasi tidak teridentifikasi dalam proses pengujian; celah keamanan lolos ke environment production tanpa terdeteksi; peningkatan biaya remediasi akibat kerentanan yang ditemukan setelah release; potensi eksploitasi kerentanan yang berdampak pada data nasabah</t>
  </si>
  <si>
    <t>Kerentanan OWASP Top 10 yang tidak teridentifikasi sejak tahap desain; celah keamanan yang lolos dalam proses QA; pengembangan fitur yang secara inheren tidak aman akibat tidak adanya security requirement; eksploitasi celah keamanan pada aplikasi production</t>
  </si>
  <si>
    <t>Tidak ada standar kompetensi keamanan dalam kualifikasi BA dan QA; tidak ada program pelatihan keamanan yang diselenggarakan; prinsip Secure Design belum diintegrasikan ke dalam proses requirement dan testing; tidak ada security checklist atau security test case dalam proses QA</t>
  </si>
  <si>
    <r>
      <rPr>
        <b/>
        <sz val="10"/>
        <color theme="1"/>
        <rFont val="Montserrat"/>
      </rPr>
      <t>Belum terdapat pengendalian formal</t>
    </r>
    <r>
      <rPr>
        <sz val="10"/>
        <color theme="1"/>
        <rFont val="Montserrat"/>
      </rPr>
      <t xml:space="preserve"> yang diterapkan. Persyaratan kompetensi keamanan informasi belum diintegrasikan ke dalam standar kualifikasi, proses kerja, maupun program pengembangan kompetensi bagi personil Business Analyst dan Quality Assurance</t>
    </r>
  </si>
  <si>
    <t>7.2 – Kompetensi;
 7.3 – Kesadaran; 
8.1 – Perencanaan dan pengendalian operasional</t>
  </si>
  <si>
    <t>A.6.3 – Kesadaran, pendidikan dan pelatihan keamanan informasi; A.8.25 – Siklus hidup pengembangan yang aman; 
A.8.26 – Persyaratan keamanan aplikasi</t>
  </si>
  <si>
    <r>
      <rPr>
        <b/>
        <sz val="10"/>
        <color theme="1"/>
        <rFont val="Montserrat"/>
      </rPr>
      <t>Rendah</t>
    </r>
    <r>
      <rPr>
        <sz val="10"/>
        <color theme="1"/>
        <rFont val="Montserrat"/>
      </rPr>
      <t xml:space="preserve"> — perusahaan tidak bersedia membiarkan proses requirement dan pengujian aplikasi berjalan tanpa kompetensi keamanan dasar mengingat celah yang dihasilkan berpotensi langsung berdampak pada keamanan data nasabah dan integritas aplikasi production</t>
    </r>
  </si>
  <si>
    <r>
      <t xml:space="preserve"> </t>
    </r>
    <r>
      <rPr>
        <b/>
        <sz val="10"/>
        <color theme="1"/>
        <rFont val="Montserrat"/>
      </rPr>
      <t>Sedang</t>
    </r>
    <r>
      <rPr>
        <sz val="10"/>
        <color theme="1"/>
        <rFont val="Montserrat"/>
      </rPr>
      <t xml:space="preserve"> — perusahaan masih dapat beroperasi selama nilai risiko residual ≤ 9; jika residual masih &gt;9, wajib eskalasi ke manajemen untuk alokasi program pelatihan dan integrasi security requirement secara segera</t>
    </r>
  </si>
  <si>
    <t xml:space="preserve"> Lakukan security review menyeluruh terhadap requirement dan test case yang sudah berjalan; identifikasi celah keamanan yang berpotensi sudah lolos ke production; jadwalkan penetration testing untuk memvalidasi kondisi keamanan aplikasi yang ada; dokumentasikan temuan sebagai justifikasi urgensi program pelatihan</t>
  </si>
  <si>
    <t xml:space="preserve"> Integrasikan standar kompetensi keamanan informasi ke dalam kualifikasi dan job description BA dan QA; selenggarakan program pelatihan keamanan dasar mencakup OWASP Top 10 dan prinsip Secure Design; integrasikan security requirement dan security test case ke dalam proses kerja standar</t>
  </si>
  <si>
    <t xml:space="preserve"> - Integrasikan standar kompetensi keamanan ke dalam job description BA dan QA — tambahkan persyaratan pemahaman keamanan dasar seperti OWASP Top 10 sebagai kompetensi yang diharapkan dalam standar kualifikasi
 - Selenggarakan pelatihan keamanan dasar untuk BA dan QA — program pelatihan yang mencakup OWASP Top 10, prinsip Secure Design, dan identifikasi security requirement sejak tahap awal pengembangan
 - Susun security requirement template — buat template standar yang memandu BA dalam mendefinisikan persyaratan keamanan pada setiap fitur atau proses bisnis yang dikembangkan
 - Implementasi security test case dalam proses QA — integrasikan skenario pengujian keamanan berbasis OWASP Top 10 sebagai bagian wajib dari test case yang disusun oleh QA
 - Libatkan Security Analyst dalam proses requirement review — pastikan setiap requirement yang melibatkan data sensitif atau fungsi kritis direview oleh Personel Security Analyst sebelum disetujui
 - Jadwalkan refreshment pelatihan keamanan berkala — selenggarakan update pelatihan minimal tahunan untuk memastikan kompetensi keamanan BA dan QA tetap relevan dengan perkembangan ancaman terkini</t>
  </si>
  <si>
    <t xml:space="preserve"> Personel IT Governance berkoordinasi dengan Personel Business Analyst, Personel Quality Assurance, dan Personel Security Analyst</t>
  </si>
  <si>
    <t xml:space="preserve"> Belum ada pengendalian yang berjalan sama sekali terkait kompetensi keamanan pada BA dan QA, risiko masih terbuka penuh pada level Tinggi dengan probabilitas sangat tinggi, status New - Open dan menjadi prioritas untuk segera diimplementasikan program pelatihan keamanan dasar dan security checklist dalam proses kerja</t>
  </si>
  <si>
    <t xml:space="preserve">Permasalahan berulang pada aplikasi production dan penurunan kualitas layanan yang berkelanjutan berpotensi terjadi tanpa adanya perbaikan sistematis akibat tidak adanya mekanisme feedback loop pasca-implementasi </t>
  </si>
  <si>
    <t>Proses SDLC</t>
  </si>
  <si>
    <t>Tidak adanya kebijakan dan prosedur yang mewajibkan post-implementation review; mekanisme feedback loop dari data tiket komplain dan insiden operasional ke BA dan QA belum pernah didefinisikan; proses kerja BA dan QA dianggap selesai begitu aplikasi dirilis tanpa kewajiban tindak lanjut pasca-release; feedback loop tidak masuk dalam tahapan wajib SDLC yang berlaku</t>
  </si>
  <si>
    <t>Permasalahan yang sama pada aplikasi terus berulang tanpa pernah diselesaikan secara permanen; kualitas aplikasi tidak mengalami peningkatan karena tidak ada perbaikan berbasis data nyata dari production; pemborosan sumber daya support akibat penanganan insiden berulang; penurunan kepuasan nasabah akibat permasalahan yang tidak tertangani secara sistematis</t>
  </si>
  <si>
    <t>Akumulasi recurring issue yang tidak terselesaikan; penurunan kualitas layanan secara bertahap yang tidak terdeteksi; meningkatnya volume tiket komplain yang tidak diatasi dari akar penyebabnya; erosi kepercayaan nasabah akibat permasalahan berulang</t>
  </si>
  <si>
    <t>Tidak ada mekanisme formal yang menghubungkan data insiden dan tiket komplain production dengan proses BA dan QA; post-implementation review tidak masuk dalam tahapan SDLC; tidak ada kebijakan dan prosedur yang mengatur kewajiban feedback loop pasca-release</t>
  </si>
  <si>
    <r>
      <rPr>
        <b/>
        <sz val="10"/>
        <color theme="1"/>
        <rFont val="Montserrat"/>
      </rPr>
      <t>Belum terdapat pengendalian</t>
    </r>
    <r>
      <rPr>
        <sz val="10"/>
        <color theme="1"/>
        <rFont val="Montserrat"/>
      </rPr>
      <t xml:space="preserve"> formal yang diterapkan. Mekanisme umpan balik pasca-implementasi belum diintegrasikan ke dalam kebijakan, prosedur operasional, maupun tahapan SDLC yang berlaku, sehingga data tiket komplain dan insiden operasional tidak pernah dikembalikan secara sistematis kepada personil BA dan QA sebagai bahan perbaikan</t>
    </r>
  </si>
  <si>
    <t>10.1 – Ketidaksesuaian dan tindakan korektif; 
9.1 – Pemantauan, pengukuran, analisis dan evaluasi</t>
  </si>
  <si>
    <t>A.5.37 – Prosedur operasi yang terdokumentasi; A.8.25 – Siklus hidup pengembangan yang aman</t>
  </si>
  <si>
    <r>
      <rPr>
        <b/>
        <sz val="10"/>
        <color theme="1"/>
        <rFont val="Montserrat"/>
      </rPr>
      <t>Sedang</t>
    </r>
    <r>
      <rPr>
        <sz val="10"/>
        <color theme="1"/>
        <rFont val="Montserrat"/>
      </rPr>
      <t xml:space="preserve"> — perusahaan dapat mentolerir ketiadaan feedback loop dalam jangka sangat pendek, namun tidak bersedia membiarkan kondisi ini berlanjut mengingat dampak kumulatifnya pada kualitas aplikasi, efisiensi sumber daya support, dan kepuasan nasabah</t>
    </r>
  </si>
  <si>
    <r>
      <t xml:space="preserve"> </t>
    </r>
    <r>
      <rPr>
        <b/>
        <sz val="10"/>
        <color theme="1"/>
        <rFont val="Montserrat"/>
      </rPr>
      <t>Sedang</t>
    </r>
    <r>
      <rPr>
        <sz val="10"/>
        <color theme="1"/>
        <rFont val="Montserrat"/>
      </rPr>
      <t xml:space="preserve"> — perusahaan masih dapat beroperasi selama nilai risiko residual ≤ 9; jika residual masih &gt;9, wajib eskalasi ke manajemen untuk integrasi segera feedback loop ke dalam SDLC</t>
    </r>
  </si>
  <si>
    <t xml:space="preserve"> Kumpulkan dan analisis data tiket komplain dan insiden yang ada secara retroaktif; identifikasi pola permasalahan berulang yang belum pernah ditindaklanjuti oleh BA dan QA; susun daftar prioritas perbaikan requirement dan test case berdasarkan temuan; eskalasi temuan ke manajemen sebagai justifikasi urgensi implementasi feedback loop</t>
  </si>
  <si>
    <t xml:space="preserve"> Integrasikan post-implementation review sebagai tahapan wajib dalam SDLC; susun kebijakan dan prosedur formal yang mewajibkan pengembalian data tiket komplain dan insiden ke BA dan QA secara berkala; bentuk forum rutin lintas fungsi antara IT Prod-Support, BA, dan QA</t>
  </si>
  <si>
    <t xml:space="preserve"> - Integrasikan post-implementation review ke dalam SDLC — tambahkan tahapan wajib post-release review dalam alur SDLC yang mengharuskan BA dan QA mengevaluasi permasalahan yang muncul setelah aplikasi rilis
 - Susun kebijakan dan prosedur feedback loop — dokumen formal yang mewajibkan pengembalian data tiket komplain dan insiden operasional kepada BA dan QA secara berkala dengan format dan frekuensi yang terdefinisi
 - Tetapkan KPI kualitas pasca-implementasi — definisikan metrik seperti jumlah recurring issue, MTTR, dan tingkat kepuasan pengguna sebagai indikator efektivitas BA dan QA yang dipantau secara berkala
 - Jadwalkan laporan kualitas aplikasi berkala — buat laporan ringkasan permasalahan production yang disampaikan kepada manajemen secara bulanan sebagai bahan pengambilan keputusan perbaikan</t>
  </si>
  <si>
    <t>Personel IT Governance berkoordinasi dengan Personel Business Analyst, Personel Quality Assurance</t>
  </si>
  <si>
    <t xml:space="preserve"> Belum ada pengendalian yang berjalan sama sekali, tidak ada kebijakan, prosedur, maupun integrasi dalam SDLC, risiko masih terbuka penuh pada level Tinggi dengan probabilitas sangat tinggi, status New - Open dan menjadi prioritas untuk segera disusun kebijakan dan diintegrasikan feedback loop ke dalam SDLC</t>
  </si>
  <si>
    <t>Pengembangan fitur yang tidak sesuai kebutuhan bisnis dan hasil pengujian yang tidak dapat dipertanggungjawabkan berpotensi terjadi — akibat tidak adanya dokumentasi proses bisnis menyeluruh sebagai referensi dan kesenjangan pengetahuan pada pengguna yang memahami proses bisnis secara end-to-end</t>
  </si>
  <si>
    <t>Tidak adanya dokumentasi proses bisnis menyeluruh seluruh departemen yang dapat dijadikan referensi standar oleh BA dan QA; kesenjangan pengetahuan pada sisi pengguna terkait proses bisnis end-to-end; ketergantungan pada konfirmasi ad-hoc yang tidak terstruktur sebagai mekanisme klarifikasi requirement</t>
  </si>
  <si>
    <t>Pengembangan fitur yang tidak sesuai dengan kebutuhan bisnis yang sebenarnya; hasil pengujian yang didasarkan pada asumsi sepihak sehingga tidak dapat dipertanggungjawabkan; potensi rework yang memboroskan sumber daya development; risiko fitur yang dirilis tidak memenuhi ekspektasi operasional bisnis</t>
  </si>
  <si>
    <t>Fitur yang dirilis tidak sesuai kebutuhan bisnis dan harus di-rework; pengujian yang tidak komprehensif akibat requirement yang ambigu; akumulasi technical debt akibat perubahan requirement yang berulang; penurunan kepercayaan unit bisnis terhadap kualitas deliverable IT</t>
  </si>
  <si>
    <t>Tidak ada dokumentasi proses bisnis menyeluruh sebagai referensi standar; gap knowledge pada pengguna yang memahami proses bisnis end-to-end; tidak ada mekanisme formal validasi pemahaman requirement antara BA, QA, dan unit bisnis</t>
  </si>
  <si>
    <t>Setiap inisiasi pengembangan diwajibkan menyiapkan Business Requirement Document dalam format standar yang mencakup uraian manfaat, alur proses, dan asesmen risiko sebagai syarat persetujuan sebelum pengembangan dimulai</t>
  </si>
  <si>
    <t>8.1 – Perencanaan dan pengendalian operasional; 
7.5 – Informasi terdokumentasi</t>
  </si>
  <si>
    <t>A.5.37 – Prosedur operasi yang terdokumentasi; 
A.8.25 – Siklus hidup pengembangan yang aman; 
A.8.26 – Persyaratan keamanan aplikasi</t>
  </si>
  <si>
    <r>
      <rPr>
        <b/>
        <sz val="10"/>
        <color theme="1"/>
        <rFont val="Montserrat"/>
      </rPr>
      <t>Sedang</t>
    </r>
    <r>
      <rPr>
        <sz val="10"/>
        <color theme="1"/>
        <rFont val="Montserrat"/>
      </rPr>
      <t xml:space="preserve"> — perusahaan dapat mentolerir risiko ambiguitas requirement dalam batas yang terkendali selama mekanisme konfirmasi dan Business Requirement Document berjalan efektif, namun tidak bersedia membiarkan ketiadaan dokumentasi proses bisnis menyeluruh berlanjut dalam jangka panjang</t>
    </r>
  </si>
  <si>
    <r>
      <t xml:space="preserve"> </t>
    </r>
    <r>
      <rPr>
        <b/>
        <sz val="10"/>
        <color theme="1"/>
        <rFont val="Montserrat"/>
      </rPr>
      <t>Rendah</t>
    </r>
    <r>
      <rPr>
        <sz val="10"/>
        <color theme="1"/>
        <rFont val="Montserrat"/>
      </rPr>
      <t xml:space="preserve"> — perusahaan masih dapat beroperasi selama nilai risiko residual ≤ 4; jika residual masih &gt;4, wajib eskalasi untuk penyusunan segera dokumentasi proses bisnis menyeluruh</t>
    </r>
  </si>
  <si>
    <t xml:space="preserve"> Hentikan sementara pengembangan fitur yang requirement-nya ambigu; lakukan sesi klarifikasi terstruktur dengan unit bisnis yang relevan; dokumentasikan hasil klarifikasi sebagai addendum Business Requirement Document; review ulang test case yang didasarkan pada asumsi sebelum pengujian dilanjutkan</t>
  </si>
  <si>
    <t>Susun dokumentasi proses bisnis menyeluruh seluruh departemen sebagai referensi standar BA dan QA; implementasi mekanisme validasi pemahaman requirement yang formal; perkuat kompetensi BA dalam teknik elicitasi requirement yang terstruktur</t>
  </si>
  <si>
    <t>Business Requirement Document sudah diwajibkan dan berjalan efektif sebagai kontrol utama yang menekan probabilitas kejadian, risiko berada pada level Rendah dan terkendali, namun penyusunan dokumentasi proses bisnis menyeluruh tetap perlu dilanjutkan sebagai penguatan jangka panjang, status In Progress</t>
  </si>
  <si>
    <t xml:space="preserve"> Personel Business Analyst, berkordinasi dengan SysDur</t>
  </si>
  <si>
    <t xml:space="preserve"> - Susun dokumentasi proses bisnis menyeluruh — buat dokumentasi formal alur proses bisnis end-to-end per departemen yang dapat dijadikan referensi standar oleh BA dan QA dalam setiap inisiasi pengembangan
 - Implementasi mekanisme sign-off requirement — tetapkan kewajiban persetujuan formal dari perwakilan unit bisnis yang berwenang sebelum requirement dinyatakan final dan pengembangan dimulai
 - Implementasi requirement traceability matrix — pastikan setiap test case QA dapat ditelusuri kembali ke requirement yang telah dikonfirmasi dan disetujui oleh unit bisnis
 - Jadwalkan review dan pembaruan dokumentasi proses bisnis — lakukan evaluasi dan pembaruan dokumentasi proses bisnis minimal tahunan atau setiap ada perubahan kebijakan bisnis yang signifikan</t>
  </si>
  <si>
    <t>Tidak adanya SOP penulisan BRD yang seragam dan mengikat; pengisian traceability matrix tidak diwajibkan secara formal sehingga bergantung pada inisiatif masing-masing personil; tidak ada mekanisme review dan validasi kelengkapan BRD sebelum dokumen disetujui</t>
  </si>
  <si>
    <t>Cakupan pengujian tidak dapat diverifikasi terhadap seluruh requirement yang terdefinisi; fitur atau skenario yang tidak teruji berpotensi lolos ke environment production; kesulitan investigasi jika terjadi defect di production akibat tidak adanya jejak ketertelusuran requirement; potensi rework dan pemborosan sumber daya development akibat defect yang seharusnya teridentifikasi dalam proses QA</t>
  </si>
  <si>
    <t>Defect production yang seharusnya dapat dicegah dalam proses QA; ketidakmampuan membuktikan bahwa seluruh requirement telah diuji secara komprehensif; kegagalan audit kualitas pengembangan akibat tidak adanya traceability yang terdokumentasi</t>
  </si>
  <si>
    <t>SOP penulisan BRD belum seragam dan tidak mengikat; traceability matrix tidak diwajibkan dalam seluruh BRD; tidak ada mekanisme validasi kelengkapan dokumen BRD sebelum disetujui; konsistensi kualitas BRD bergantung pada inisiatif individu bukan standar organisasi</t>
  </si>
  <si>
    <t>Format Business Requirement Document telah tersedia sebagai panduan penyusunan, namun penerapan traceability matrix belum diwajibkan secara konsisten dalam seluruh dokumen BRD yang dihasilkan, sehingga kelengkapan traceability bergantung pada inisiatif masing-masing personil penyusun</t>
  </si>
  <si>
    <r>
      <rPr>
        <b/>
        <sz val="10"/>
        <color theme="1"/>
        <rFont val="Montserrat"/>
      </rPr>
      <t>Sedang</t>
    </r>
    <r>
      <rPr>
        <sz val="10"/>
        <color theme="1"/>
        <rFont val="Montserrat"/>
      </rPr>
      <t xml:space="preserve"> — perusahaan dapat mentolerir inkonsistensi traceability dalam jangka pendek selama format BRD masih digunakan, namun tidak bersedia membiarkan kondisi ini berlanjut mengingat dampaknya pada kualitas pengujian dan kemampuan audit deliverable pengembangan</t>
    </r>
  </si>
  <si>
    <r>
      <t xml:space="preserve"> </t>
    </r>
    <r>
      <rPr>
        <b/>
        <sz val="10"/>
        <color theme="1"/>
        <rFont val="Montserrat"/>
      </rPr>
      <t>Rendah</t>
    </r>
    <r>
      <rPr>
        <sz val="10"/>
        <color theme="1"/>
        <rFont val="Montserrat"/>
      </rPr>
      <t xml:space="preserve"> — perusahaan masih dapat beroperasi selama nilai risiko residual ≤ 6; jika residual masih &gt;6, wajib eskalasi untuk standardisasi SOP BRD dan enforcement traceability matrix secara segera</t>
    </r>
  </si>
  <si>
    <t>Lakukan review retrospektif terhadap BRD yang sudah ada untuk mengidentifikasi yang belum memiliki traceability matrix; lengkapi traceability matrix pada BRD project yang sedang berjalan sebelum tahap pengujian dimulai; audit test case yang sudah berjalan untuk memastikan seluruh requirement tercakup</t>
  </si>
  <si>
    <t>Susun dan tetapkan SOP penulisan BRD yang seragam dengan mewajibkan pengisian traceability matrix sebagai komponen mandatory; implementasi mekanisme review dan validasi kelengkapan BRD sebelum dokumen disetujui</t>
  </si>
  <si>
    <t xml:space="preserve"> Format BRD sudah tersedia namun traceability matrix belum diwajibkan secara konsisten dan SOP penulisan belum seragam, kualitas traceability masih bergantung pada inisiatif individu, status In Progress dan perlu segera dilakukan standardisasi SOP dan enforcement traceability matrix sebagai komponen wajib</t>
  </si>
  <si>
    <t xml:space="preserve"> - Susun SOP penulisan BRD yang seragam — dokumen standar yang mengatur format, komponen wajib, dan tata cara penulisan BRD yang berlaku untuk seluruh personil BA tanpa pengecualian
 - Tetapkan traceability matrix sebagai komponen wajib BRD — perbarui template BRD untuk menjadikan traceability matrix sebagai bagian mandatory yang harus diisi sebelum dokumen dapat diajukan untuk persetujuan
 - Sosialisasi SOP BRD ke seluruh personil BA dan QA — selenggarakan sesi sosialisasi dan workshop penerapan SOP baru untuk memastikan seluruh personil memahami dan mampu menerapkan standar yang ditetapkan
 - Integrasikan traceability matrix ke dalam proses QA — pastikan QA menggunakan traceability matrix dalam BRD sebagai acuan wajib dalam penyusunan test case untuk setiap project
 - Pantau kepatuhan pengisian BRD secara berkala — lakukan sampling review terhadap BRD yang dihasilkan untuk memastikan konsistensi penerapan SOP dan kelengkapan traceability matrix</t>
  </si>
  <si>
    <r>
      <t xml:space="preserve">Kegagalan validasi fitur secara objektif dan potensi penerimaan deliverable yang tidak memenuhi standar kualitas berpotensi terjadi akibat </t>
    </r>
    <r>
      <rPr>
        <b/>
        <sz val="10"/>
        <color theme="1"/>
        <rFont val="Montserrat"/>
      </rPr>
      <t>acceptance criteria</t>
    </r>
    <r>
      <rPr>
        <sz val="10"/>
        <color theme="1"/>
        <rFont val="Montserrat"/>
      </rPr>
      <t xml:space="preserve"> yang ditulis menggunakan deskripsi kualitatif tanpa parameter ukur yang terdefinisi,</t>
    </r>
  </si>
  <si>
    <r>
      <t>Cakupan pengujian yang tidak dapat diverifikasi terhadap seluruh requirement akibat tidak adanya  pengisian</t>
    </r>
    <r>
      <rPr>
        <b/>
        <sz val="10"/>
        <color theme="1"/>
        <rFont val="Montserrat"/>
      </rPr>
      <t xml:space="preserve"> traceability matrix</t>
    </r>
    <r>
      <rPr>
        <sz val="10"/>
        <color theme="1"/>
        <rFont val="Montserrat"/>
      </rPr>
      <t xml:space="preserve"> secara konsisten dalam seluruh dokumen BRD</t>
    </r>
  </si>
  <si>
    <t>Pengguna belum memahami cara menyusun acceptance criteria yang terukur dan dapat diverifikasi; tidak adanya panduan teknis pengisian acceptance criteria yang terstruktur; BA belum secara konsisten memfasilitasi pengguna dalam mendefinisikan acceptance criteria yang objektif dan berbasis parameter ukur yang jelas</t>
  </si>
  <si>
    <t>Pemenuhan requirement tidak dapat diverifikasi secara objektif dalam proses pengujian; potensi penerimaan deliverable yang secara fungsional tidak memenuhi kebutuhan bisnis sesungguhnya; dispute antara tim IT dan unit bisnis terkait apakah suatu fitur dinyatakan selesai atau tidak; potensi rework yang memboroskan sumber daya akibat ekspektasi yang tidak terdefinisi sejak awal</t>
  </si>
  <si>
    <t>Penerimaan fitur yang tidak memenuhi kebutuhan bisnis akibat acceptance criteria yang tidak dapat diukur; dispute berkepanjangan antara IT dan unit bisnis; rework berulang akibat ekspektasi yang berbeda antara developer, QA, dan user; kegagalan UAT yang tidak terstruktur</t>
  </si>
  <si>
    <t>Panduan pengisian acceptance criteria yang terstruktur belum tersedia; pengguna tidak memiliki pemahaman tentang cara menyusun acceptance criteria yang terukur; BA belum secara konsisten membantu user dalam mendefinisikan parameter ukur yang objektif; tidak ada mekanisme validasi kualitas acceptance criteria sebelum BRD disetujui</t>
  </si>
  <si>
    <t>Formulir Business Requirement telah mencantumkan kolom acceptance criteria sebagai komponen standar dokumen; namun panduan pengisian yang terstruktur belum tersedia dan pemahaman pengguna mengenai cara penyusunan acceptance criteria yang terukur masih sangat terbatas</t>
  </si>
  <si>
    <r>
      <rPr>
        <b/>
        <sz val="10"/>
        <color theme="1"/>
        <rFont val="Montserrat"/>
      </rPr>
      <t>Sedang</t>
    </r>
    <r>
      <rPr>
        <sz val="10"/>
        <color theme="1"/>
        <rFont val="Montserrat"/>
      </rPr>
      <t xml:space="preserve"> — perusahaan dapat mentolerir acceptance criteria yang belum sempurna dalam jangka pendek selama mekanisme konfirmasi berjalan, namun tidak bersedia membiarkan kondisi ini berlanjut mengingat dampaknya pada kualitas deliverable dan efisiensi sumber daya development</t>
    </r>
  </si>
  <si>
    <r>
      <t xml:space="preserve"> </t>
    </r>
    <r>
      <rPr>
        <b/>
        <sz val="10"/>
        <color theme="1"/>
        <rFont val="Montserrat"/>
      </rPr>
      <t>Sedang</t>
    </r>
    <r>
      <rPr>
        <sz val="10"/>
        <color theme="1"/>
        <rFont val="Montserrat"/>
      </rPr>
      <t xml:space="preserve"> — perusahaan masih dapat beroperasi selama nilai risiko residual ≤ 6; jika residual masih &gt;6, wajib eskalasi untuk penyusunan panduan acceptance criteria dan penyelenggaraan pelatihan bagi user secara segera</t>
    </r>
  </si>
  <si>
    <t>Lakukan review terhadap acceptance criteria pada seluruh project yang sedang berjalan; fasilitasi sesi klarifikasi terstruktur antara BA dan user untuk mendefinisikan ulang acceptance criteria yang ambigu menjadi parameter ukur yang objektif; tunda UAT hingga acceptance criteria diperjelas dan disepakati oleh kedua pihak</t>
  </si>
  <si>
    <t>Susun panduan teknis pengisian acceptance criteria dengan contoh konkret yang membedakan kriteria kualitatif yang tidak terukur dengan kriteria kuantitatif yang dapat diverifikasi; implementasi mekanisme validasi kualitas acceptance criteria sebelum BRD disetujui; tingkatkan kompetensi BA dalam memfasilitasi definisi acceptance criteria yang terukur</t>
  </si>
  <si>
    <t xml:space="preserve"> Personel Business Analyst berkoordinasi dengan Personel Quality Assurance dan Personel IT Governance</t>
  </si>
  <si>
    <t>Form BRD sudah mencantumkan kolom acceptance criteria namun cara pengisian belum dipahami user dan panduan belum tersedia, acceptance criteria yang ambigu masih dominan terjadi, status In Progress dan menjadi prioritas untuk segera disusun panduan teknis dan diselenggarakan pelatihan bagi user</t>
  </si>
  <si>
    <t xml:space="preserve"> - Susun panduan teknis pengisian acceptance criteria — dokumen panduan yang memberikan contoh konkret perbedaan antara kriteria kualitatif yang tidak terukur dengan kriteria kuantitatif yang dapat diverifikasi, dilengkapi template yang siap pakai
 - Selenggarakan pelatihan pengisian acceptance criteria bagi user — workshop atau sesi edukasi yang membekali pengguna dengan kemampuan mendefinisikan acceptance criteria yang terukur, spesifik, dan dapat diuji
 - Integrasikan validasi acceptance criteria ke dalam gate review SDLC — pastikan acceptance criteria yang terukur menjadi syarat wajib yang harus terpenuhi sebelum project dapat melanjutkan ke tahap development
 - Jadwalkan review kualitas BRD secara berkala — lakukan sampling review terhadap BRD yang dihasilkan untuk memastikan konsistensi kualitas acceptance criteria sesuai standar yang ditetapkan</t>
  </si>
  <si>
    <r>
      <t xml:space="preserve">Aplikasi yang dirilis ke production berpotensi tidak memenuhi standar keamanan minimum dan rentan dieksploitasi — akibat tidak adanya kompetensi keamanan informasi pada personil BA dan tidak tersedianya panduan yang mewajibkan </t>
    </r>
    <r>
      <rPr>
        <b/>
        <sz val="10"/>
        <color theme="1"/>
        <rFont val="Montserrat"/>
      </rPr>
      <t>pendefinisian security requirement</t>
    </r>
    <r>
      <rPr>
        <sz val="10"/>
        <color theme="1"/>
        <rFont val="Montserrat"/>
      </rPr>
      <t xml:space="preserve"> dalam proses requirement gathering</t>
    </r>
  </si>
  <si>
    <t>Kesenjangan kompetensi keamanan informasi pada personil Business Analyst; tidak adanya panduan, template, atau kebijakan yang mewajibkan pendefinisian security requirement sebagai komponen wajib BRD; proses requirement gathering berfokus eksklusif pada kebutuhan fungsional tanpa mempertimbangkan aspek keamanan</t>
  </si>
  <si>
    <t>Aplikasi yang dikembangkan tidak memiliki standar keamanan dasar seperti autentikasi yang memadai, session timeout, dan password policy; celah keamanan yang bersifat by-design masuk ke environment production; peningkatan biaya remediasi akibat perbaikan keamanan dilakukan setelah release; potensi eksploitasi yang berdampak pada keamanan data nasabah dan kepatuhan regulasi</t>
  </si>
  <si>
    <t>Eksploitasi kerentanan keamanan by-design pada aplikasi production; pelanggaran standar keamanan minimum yang ditetapkan regulator; kegagalan audit keamanan akibat tidak terpenuhinya security requirement</t>
  </si>
  <si>
    <t>Tidak ada security requirement yang terdefinisi dalam proses requirement gathering; personil BA tidak memiliki kompetensi untuk mengidentifikasi kebutuhan keamanan; tidak ada template atau checklist security requirement; tidak ada mekanisme validasi security requirement sebelum development dimulai</t>
  </si>
  <si>
    <t>Belum terdapat pengendalian formal yang diterapkan. Standar kompetensi keamanan informasi belum diintegrasikan ke dalam proses kerja personil Business Analyst, dan tidak tersedia panduan, template, maupun kebijakan yang mewajibkan pendefinisian persyaratan keamanan sebagai komponen wajib dalam proses requirement gathering</t>
  </si>
  <si>
    <t>7.2 – Kompetensi; 
8.1 – Perencanaan dan pengendalian operasional</t>
  </si>
  <si>
    <t>A.6.3 – Kesadaran, pendidikan dan pelatihan keamanan informasi; 
A.8.25 – Siklus hidup pengembangan yang aman; 
A.8.26 – Persyaratan keamanan aplikasi</t>
  </si>
  <si>
    <r>
      <rPr>
        <b/>
        <sz val="10"/>
        <color theme="1"/>
        <rFont val="Montserrat"/>
      </rPr>
      <t>Rendah</t>
    </r>
    <r>
      <rPr>
        <sz val="10"/>
        <color theme="1"/>
        <rFont val="Montserrat"/>
      </rPr>
      <t xml:space="preserve"> — perusahaan tidak bersedia membiarkan aplikasi dikembangkan tanpa security requirement yang terdefinisi, mengingat dampaknya langsung pada keamanan data nasabah, integritas sistem, dan pemenuhan kewajiban regulasi</t>
    </r>
  </si>
  <si>
    <t>Lakukan security review menyeluruh terhadap seluruh aplikasi yang dikembangkan tanpa security requirement terdefinisi; jadwalkan penetration testing untuk mengidentifikasi celah keamanan by-design yang sudah ada di production; susun remediation plan berdasarkan temuan dan prioritaskan berdasarkan tingkat keparahan</t>
  </si>
  <si>
    <r>
      <rPr>
        <b/>
        <sz val="10"/>
        <color theme="1"/>
        <rFont val="Montserrat"/>
      </rPr>
      <t>Sedang</t>
    </r>
    <r>
      <rPr>
        <sz val="10"/>
        <color theme="1"/>
        <rFont val="Montserrat"/>
      </rPr>
      <t xml:space="preserve"> — perusahaan masih dapat beroperasi selama nilai risiko residual ≤ 9; jika residual masih &gt;9, wajib eskalasi ke manajemen. 
Sebagai syarat minimum toleransi, organisasi wajib memastikan telah tersedia: (1) security requirement template yang terintegrasi sebagai komponen wajib dalam BRD, (2) gate review keamanan oleh Security Analyst aktif sebelum BRD disetujui, dan (3) minimal satu sesi pelatihan keamanan dasar telah terlaksana bagi seluruh personil BA</t>
    </r>
  </si>
  <si>
    <t>Integrasikan security requirement template sebagai komponen wajib dalam BRD; selenggarakan pelatihan keamanan dasar untuk personil BA; implementasi gate review keamanan sebelum BRD disetujui; lakukan security review retroaktif terhadap aplikasi yang sudah berjalan</t>
  </si>
  <si>
    <t>Belum ada pengendalian yang berjalan sama sekali terkait security requirement dalam proses BA, risiko masih terbuka penuh pada level Tinggi dengan probabilitas sangat tinggi, status New - Open dan menjadi prioritas utama untuk segera diintegrasikan security requirement template dan diselenggarakan pelatihan keamanan dasar bagi seluruh personil BA</t>
  </si>
  <si>
    <t xml:space="preserve"> Personel Business Analyst berkoordinasi dengan Personel Security Analyst dan Personel IT Governance</t>
  </si>
  <si>
    <t xml:space="preserve"> - Susun dan integrasikan security requirement template ke dalam BRD — buat template standar yang memuat persyaratan keamanan minimum wajib (autentikasi, session timeout, password policy, enkripsi, logging) sebagai komponen mandatory yang harus diisi sebelum BRD dapat disetujui
 - Selenggarakan pelatihan keamanan dasar untuk personil BA — program pelatihan mencakup OWASP Top 10, standar autentikasi, session management, dan password policy, dilengkapi katalog security requirement standar sebagai referensi harian dalam proses requirement gathering
 - Implementasi gate review keamanan sebelum BRD disetujui — libatkan Personel Security Analyst untuk memvalidasi kelengkapan security requirement; integrasikan juga ke dalam proses UAT agar QA memverifikasi pemenuhan security requirement sebagai bagian wajib skenario pengujian
 - Lakukan security review retroaktif terhadap aplikasi production — identifikasi aplikasi yang dikembangkan tanpa security requirement terdefinisi, lakukan asesmen keamanan, dan susun remediation plan berdasarkan tingkat keparahan temuan</t>
  </si>
  <si>
    <r>
      <t xml:space="preserve">Akses tidak terotorisasi ke fungsi atau data yang seharusnya dibatasi berpotensi terjadi tanpa terdeteksi — akibat tidak adanya pendefinisian </t>
    </r>
    <r>
      <rPr>
        <b/>
        <sz val="10"/>
        <color theme="1"/>
        <rFont val="Montserrat"/>
      </rPr>
      <t>matriks RBAC</t>
    </r>
    <r>
      <rPr>
        <sz val="10"/>
        <color theme="1"/>
        <rFont val="Montserrat"/>
      </rPr>
      <t xml:space="preserve"> dalam requirement dan tidak diujikannya skenario privilege escalation dalam proses QA</t>
    </r>
  </si>
  <si>
    <t>BA tidak mendefinisikan matriks RBAC sebagai bagian dari requirement; tidak adanya inisiatif proaktif BA dalam mengidentifikasi kebutuhan pemisahan akses meskipun tidak diminta user; skenario pengujian privilege escalation tidak termasuk dalam standar test case QA</t>
  </si>
  <si>
    <t>Pengguna biasa berpotensi mengakses fungsi atau data yang seharusnya hanya dapat diakses oleh Administrator; pelanggaran prinsip Segregation of Duties pada level aplikasi; potensi manipulasi data atau penyalahgunaan fungsi kritis oleh pengguna yang tidak berwenang; kegagalan audit akses akibat tidak adanya RBAC yang terdokumentasi</t>
  </si>
  <si>
    <t>Privilege escalation oleh pengguna yang tidak berwenang; akses tidak terotorisasi ke menu atau fungsi Admin; manipulasi data kritis melalui akses yang seharusnya dibatasi; kegagalan audit keamanan akibat tidak adanya matriks RBAC yang dapat diverifikasi</t>
  </si>
  <si>
    <t>Tidak ada matriks RBAC yang terdefinisi dalam dokumen requirement; skenario privilege escalation tidak termasuk dalam standar test case QA; tidak ada kebijakan yang mewajibkan pendefinisian access control requirement dalam BRD; BA tidak secara proaktif mengidentifikasi kebutuhan pemisahan akses</t>
  </si>
  <si>
    <t>Belum terdapat pengendalian formal yang diterapkan. Pendefinisian matriks Role-Based Access Control belum menjadi bagian dari proses requirement gathering oleh Business Analyst, dan skenario pengujian privilege escalation belum diintegrasikan sebagai komponen wajib dalam proses Quality Assurance</t>
  </si>
  <si>
    <t>8.1 – Perencanaan dan pengendalian operasional; 
7.2 – Kompetensi</t>
  </si>
  <si>
    <t>A.5.3 – Segregasi tugas; 
A.5.15 – Manajemen akses; 
A.8.25 – Siklus hidup pengembangan yang aman; 
A.8.26 – Persyaratan keamanan aplikasi</t>
  </si>
  <si>
    <r>
      <rPr>
        <b/>
        <sz val="10"/>
        <color theme="1"/>
        <rFont val="Montserrat"/>
      </rPr>
      <t>Rendah</t>
    </r>
    <r>
      <rPr>
        <sz val="10"/>
        <color theme="1"/>
        <rFont val="Montserrat"/>
      </rPr>
      <t xml:space="preserve"> — perusahaan tidak bersedia membiarkan aplikasi beroperasi tanpa matriks RBAC yang terdefinisi, mengingat dampaknya langsung pada integritas data, kerahasiaan informasi sensitif, dan pemenuhan prinsip Segregation of Duties yang diwajibkan regulasi</t>
    </r>
  </si>
  <si>
    <t>Sedang — perusahaan masih dapat beroperasi selama nilai risiko residual ≤ 9; jika residual masih &gt;9, wajib eskalasi ke manajemen. 
Sebagai syarat minimum toleransi, organisasi wajib memastikan telah tersedia: (1) template RBAC matrix yang terintegrasi sebagai komponen wajib dalam BRD, (2) skenario pengujian privilege escalation yang terdokumentasi dalam standar test case QA, dan (3) review akses retroaktif telah dilaksanakan terhadap aplikasi yang sudah berjalan di production</t>
  </si>
  <si>
    <t>Lakukan audit akses segera terhadap seluruh aplikasi production untuk mengidentifikasi pengguna yang memiliki akses melebihi kewenangannya; cabut akses berlebih yang teridentifikasi; lakukan penetration testing terfokus pada skenario privilege escalation; dokumentasikan temuan sebagai justifikasi urgensi implementasi RBAC</t>
  </si>
  <si>
    <t>Integrasikan RBAC matrix sebagai komponen wajib dalam BRD; tambahkan skenario privilege escalation ke dalam standar test case QA; lakukan access review retroaktif terhadap aplikasi production yang sudah berjalan</t>
  </si>
  <si>
    <t>Belum ada pengendalian yang berjalan sama sekali terkait pendefinisian RBAC dan pengujian privilege escalation, risiko masih terbuka penuh pada level Tinggi, status New - Open dan menjadi prioritas utama untuk segera diintegrasikan RBAC matrix dalam BRD dan skenario privilege escalation dalam standar test case QA</t>
  </si>
  <si>
    <t xml:space="preserve"> - Integrasikan RBAC matrix sebagai komponen wajib dalam BRD — buat template pendefinisian role, hak akses, dan batasan akses per fungsi aplikasi yang harus diisi dan divalidasi sebelum BRD dapat disetujui; lengkapi dengan panduan proaktif bagi BA dalam mengidentifikasi kebutuhan pemisahan akses meskipun tidak diminta secara eksplisit oleh user
 - Tambahkan skenario privilege escalation ke dalam standar test case QA — definisikan skenario pengujian wajib yang memverifikasi bahwa setiap role hanya dapat mengakses fungsi dan data sesuai kewenangannya, termasuk pengujian negatif akses ke menu Admin oleh pengguna biasa
 - Lakukan access review retroaktif pada aplikasi production — audit seluruh aplikasi yang sudah berjalan untuk mengidentifikasi celah privilege escalation yang belum terdeteksi; cabut akses berlebih yang ditemukan dan dokumentasikan sebagai temuan untuk remediation
 - Selenggarakan pelatihan RBAC dan access control untuk BA dan QA — program pelatihan yang mencakup prinsip Segregation of Duties, pendefinisian RBAC matrix, dan teknik pengujian privilege escalation agar BA dan QA dapat menjalankan perannya secara proaktif dalam setiap project</t>
  </si>
  <si>
    <t>BA tidak mendefinisikan requirement perekaman audit log sebagai kebutuhan wajib dalam BRD; gap knowledge BA dan QA terkait ketentuan keamanan informasi dan kewajiban audit trail; verifikasi kelengkapan audit log tidak termasuk dalam standar skenario pengujian QA</t>
  </si>
  <si>
    <t>Aktivitas sensitif seperti penghapusan data, modifikasi record kritis, dan perubahan konfigurasi tidak terekam; ketidakmampuan melakukan investigasi forensik jika terjadi insiden; kegagalan audit internal dan eksternal akibat tidak tersedianya audit trail yang dapat diverifikasi; potensi pelanggaran kewajiban regulasi terkait log management dan perlindungan data</t>
  </si>
  <si>
    <r>
      <t xml:space="preserve">Ketidakmampuan mendeteksi, menginvestigasi, dan membuktikan aktivitas tidak terotorisasi pada aplikasi production berpotensi terjadi — akibat tidak adanya requirement perekaman </t>
    </r>
    <r>
      <rPr>
        <b/>
        <sz val="10"/>
        <color theme="1"/>
        <rFont val="Montserrat"/>
      </rPr>
      <t>audit log</t>
    </r>
    <r>
      <rPr>
        <sz val="10"/>
        <color theme="1"/>
        <rFont val="Montserrat"/>
      </rPr>
      <t xml:space="preserve"> untuk aksi sensitif dalam BRD dan tidak diverifikasinya kelengkapan audit log dalam proses pengujian QA</t>
    </r>
  </si>
  <si>
    <t>Manipulasi atau penghapusan data kritis yang tidak dapat ditelusuri; insider threat yang aktivitasnya tidak terekam; kegagalan audit regulasi akibat tidak tersedianya bukti aktivitas sistem; ketidakmampuan membuktikan kepatuhan terhadap ketentuan regulasi yang mensyaratkan audit trail</t>
  </si>
  <si>
    <t>Tidak ada requirement audit log yang terdefinisi dalam BRD; verifikasi audit log tidak termasuk dalam standar test case QA; gap knowledge BA dan QA terkait kewajiban perekaman aktivitas sensitif; tidak ada kebijakan yang menetapkan standar minimum audit log untuk aplikasi</t>
  </si>
  <si>
    <t>Belum terdapat pengendalian formal yang diterapkan. Persyaratan perekaman audit log untuk aktivitas sensitif belum didefinisikan sebagai komponen wajib dalam proses requirement gathering, dan verifikasi kelengkapan audit log belum diintegrasikan sebagai skenario pengujian wajib dalam proses Quality Assurance</t>
  </si>
  <si>
    <t>A.8.15 – Logging; 
A.8.16 – Aktivitas pemantauan; 
A.8.25 – Siklus hidup pengembangan yang aman; 
A.8.26 – Persyaratan keamanan aplikasi</t>
  </si>
  <si>
    <r>
      <rPr>
        <b/>
        <sz val="10"/>
        <color theme="1"/>
        <rFont val="Montserrat"/>
      </rPr>
      <t>Rendah</t>
    </r>
    <r>
      <rPr>
        <sz val="10"/>
        <color theme="1"/>
        <rFont val="Montserrat"/>
      </rPr>
      <t xml:space="preserve"> — perusahaan tidak bersedia membiarkan aktivitas sensitif pada aplikasi berjalan tanpa perekaman audit log, mengingat audit trail merupakan komponen kritis dalam investigasi insiden, pembuktian kepatuhan regulasi, dan pemenuhan kewajiban hukum</t>
    </r>
  </si>
  <si>
    <t xml:space="preserve"> Sedang — perusahaan masih dapat beroperasi selama nilai risiko residual ≤ 9; jika residual masih &gt;9, wajib eskalasi ke manajemen. 
Sebagai syarat minimum toleransi, organisasi wajib memastikan telah tersedia: (1) standar minimum audit log requirement yang terdokumentasi dan terintegrasi sebagai komponen wajib BRD, (2) skenario verifikasi kelengkapan audit log yang terdokumentasi dalam standar test case QA, dan (3) audit log retroaktif telah diaktifkan pada seluruh aplikasi production yang menangani data sensitif</t>
  </si>
  <si>
    <t>Aktifkan segera mekanisme perekaman audit log pada aplikasi production yang belum memilikinya; lakukan asesmen retroaktif untuk mengidentifikasi aktivitas sensitif yang mungkin sudah terjadi tanpa terekam; koordinasikan dengan tim development untuk implementasi darurat audit log pada aplikasi kritis; dokumentasikan gap sebagai temuan untuk remediation plan</t>
  </si>
  <si>
    <t>Integrasikan audit log requirement sebagai komponen wajib dalam BRD; tambahkan skenario verifikasi kelengkapan audit log ke dalam standar test case QA; selenggarakan pelatihan keamanan untuk BA dan QA terkait kewajiban perekaman aktivitas sensitif</t>
  </si>
  <si>
    <t>Personel Business Analyst berkoordinasi dengan Personel Quality Assurance dan Personel Security Analyst</t>
  </si>
  <si>
    <t xml:space="preserve"> Belum ada pengendalian yang berjalan sama sekali terkait audit log requirement dalam proses BA dan verifikasi dalam proses QA, risiko masih terbuka penuh pada level Tinggi dengan probabilitas sangat tinggi, status New - Open dan menjadi prioritas utama untuk segera didefinisikan standar audit log dan diintegrasikan ke dalam BRD dan standar test case QA</t>
  </si>
  <si>
    <t xml:space="preserve"> - Definisikan dan integrasikan standar audit log requirement ke dalam BRD — buat standar minimum yang mewajibkan perekaman aktivitas sensitif (siapa, melakukan apa, kapan) mencakup: login/logout, penghapusan data, modifikasi record kritis, perubahan konfigurasi, dan eskalasi hak akses; jadikan sebagai komponen wajib yang harus diisi sebelum BRD dapat disetujui
 - Tambahkan skenario verifikasi audit log ke dalam standar test case QA — definisikan skenario pengujian wajib yang memverifikasi bahwa seluruh aktivitas sensitif benar-benar tercatat di database log dengan format, kelengkapan field, dan integritas data yang sesuai standar
 - Aktifkan audit log secara retroaktif pada aplikasi production — identifikasi seluruh aplikasi production yang belum memiliki mekanisme audit log untuk aktivitas sensitif dan koordinasikan dengan tim development untuk implementasi segera berdasarkan prioritas kritikal bisnis
 - Selenggarakan pelatihan keamanan untuk BA dan QA terkait audit log — program pelatihan yang mencakup regulasi dan standar yang mensyaratkan audit trail, teknik mendefinisikan audit log requirement yang komprehensif, dan metode verifikasi kelengkapan log dalam proses pengujian</t>
  </si>
  <si>
    <t>API Endpoint</t>
  </si>
  <si>
    <r>
      <t xml:space="preserve">Eksploitasi endpoint API integrasi pihak ketiga yang terbuka tanpa autentikasi memadai berpotensi mengakibatkan akses tidak terotorisasi, kebocoran data, dan penyalahgunaan layanan — akibat tidak adanya persyaratan </t>
    </r>
    <r>
      <rPr>
        <b/>
        <sz val="10"/>
        <color theme="1"/>
        <rFont val="Montserrat"/>
      </rPr>
      <t>autentikasi</t>
    </r>
    <r>
      <rPr>
        <sz val="10"/>
        <color theme="1"/>
        <rFont val="Montserrat"/>
      </rPr>
      <t xml:space="preserve"> kuat dalam BRD dan tidak diverifikasinya keamanan endpoint dalam proses QA</t>
    </r>
  </si>
  <si>
    <t>BA tidak mendefinisikan standar autentikasi dan keamanan sebagai persyaratan wajib dalam integrasi API pihak ketiga; gap knowledge BA dan QA terkait standar keamanan API seperti OAuth2, API key management, dan token validation; QA tidak memiliki skenario pengujian untuk memverifikasi apakah endpoint terbuka secara publik tanpa autentikasi</t>
  </si>
  <si>
    <t>Endpoint API terbuka tanpa autentikasi yang memadai dan dapat diakses publik; potensi eksploitasi berupa pencurian data, penyalahgunaan layanan, dan injeksi data palsu melalui endpoint yang tidak terproteksi; potensi pelanggaran kepatuhan regulasi akibat data nasabah terekspos melalui API yang tidak aman; kerugian finansial dan reputasi akibat insiden yang bersumber dari endpoint tidak terproteksi</t>
  </si>
  <si>
    <t>Eksploitasi endpoint API publik tanpa autentikasi oleh pihak tidak berwenang; pencurian data melalui API yang tidak terproteksi; serangan injection melalui endpoint yang terbuka; penyalahgunaan layanan melalui akses API tanpa kontrol autentikasi</t>
  </si>
  <si>
    <t>Tidak ada standar autentikasi API yang terdefinisi dalam requirement; endpoint API tidak diuji keamanannya sebelum diloloskan ke production; tidak ada kebijakan minimum security standard untuk integrasi API pihak ketiga; gap knowledge BA dan QA terkait keamanan API</t>
  </si>
  <si>
    <t>Belum terdapat pengendalian formal yang diterapkan. Persyaratan autentikasi dan keamanan pada integrasi API dengan pihak ketiga belum didefinisikan sebagai komponen wajib dalam proses requirement gathering, dan pengujian keamanan endpoint API belum diintegrasikan sebagai skenario pengujian wajib dalam proses Quality Assurance</t>
  </si>
  <si>
    <t>A.8.24 – Penggunaan kriptografi; 
A.8.25 – Siklus hidup pengembangan yang aman; 
A.8.26 – Persyaratan keamanan aplikasi; 
A.5.19 – Keamanan informasi dalam hubungan pemasok</t>
  </si>
  <si>
    <r>
      <rPr>
        <b/>
        <sz val="10"/>
        <color theme="1"/>
        <rFont val="Montserrat"/>
      </rPr>
      <t>Rendah</t>
    </r>
    <r>
      <rPr>
        <sz val="10"/>
        <color theme="1"/>
        <rFont val="Montserrat"/>
      </rPr>
      <t xml:space="preserve"> — perusahaan tidak bersedia membiarkan endpoint API integrasi pihak ketiga beroperasi tanpa autentikasi yang memadai, mengingat dampaknya langsung pada kerahasiaan data nasabah, integritas sistem, dan pemenuhan kewajiban keamanan regulasi</t>
    </r>
  </si>
  <si>
    <t>Sedang — perusahaan masih dapat beroperasi selama nilai risiko residual ≤ 9; jika residual masih &gt;9, wajib eskalasi ke manajemen. 
Sebagai syarat minimum toleransi, organisasi wajib memastikan telah tersedia: (1) standar minimum autentikasi API yang terdokumentasi dan terintegrasi sebagai komponen wajib BRD untuk setiap integrasi pihak ketiga, (2) skenario pengujian keamanan endpoint API yang terdokumentasi dalam standar test case QA, dan (3) security review retroaktif telah dilaksanakan terhadap seluruh endpoint API yang sudah berjalan di production</t>
  </si>
  <si>
    <t>Lakukan audit segera terhadap seluruh endpoint API production untuk mengidentifikasi yang terbuka tanpa autentikasi; blokir sementara endpoint yang tidak terproteksi hingga mekanisme autentikasi diimplementasikan; koordinasikan dengan vendor pihak ketiga untuk penerapan autentikasi yang memadai; dokumentasikan temuan sebagai dasar remediation plan</t>
  </si>
  <si>
    <t>Integrasikan standar autentikasi API sebagai komponen wajib dalam BRD untuk setiap integrasi pihak ketiga; tambahkan skenario pengujian keamanan endpoint ke dalam standar test case QA; selenggarakan pelatihan keamanan API untuk BA dan QA</t>
  </si>
  <si>
    <t>Belum ada pengendalian yang berjalan sama sekali terkait security requirement autentikasi API dan pengujian keamanan endpoint, risiko masih terbuka penuh pada level Tinggi dengan probabilitas sangat tinggi, status New - Open dan menjadi prioritas utama untuk segera didefinisikan standar autentikasi API dan diintegrasikan ke dalam BRD serta standar test case QA</t>
  </si>
  <si>
    <t xml:space="preserve"> - Definisikan dan integrasikan standar minimum autentikasi API ke dalam BRD — buat standar yang mewajibkan penggunaan mekanisme autentikasi kuat seperti OAuth2, API key management, atau token-based authentication untuk setiap integrasi API pihak ketiga; jadikan sebagai komponen wajib yang harus terdefinisi sebelum BRD dapat disetujui
 - Tambahkan skenario pengujian keamanan endpoint ke dalam standar test case QA — definisikan skenario wajib yang memverifikasi bahwa tidak ada endpoint yang dapat diakses publik tanpa autentikasi yang memadai, mencakup pengujian akses tanpa token, token tidak valid, dan token kadaluarsa
 - Lakukan security review retroaktif terhadap seluruh endpoint API production — identifikasi endpoint yang terbuka tanpa autentikasi memadai, blokir sementara yang berisiko tinggi, dan koordinasikan dengan vendor pihak ketiga untuk implementasi autentikasi sesuai standar yang ditetapkan
 - Selenggarakan pelatihan keamanan API untuk BA dan QA — program pelatihan mencakup standar keamanan API (OWASP API Security Top 10), teknik mendefinisikan autentikasi requirement yang kuat, dan metode pengujian keamanan endpoint yang komprehensif</t>
  </si>
  <si>
    <r>
      <t xml:space="preserve">Inkonsistensi data antar fase pengembangan, hilangnya traceability requirement, dan potensi pengembangan fitur yang tidak selaras dengan requirement terkini berpotensi terjadi — akibat </t>
    </r>
    <r>
      <rPr>
        <b/>
        <sz val="10"/>
        <color theme="1"/>
        <rFont val="Montserrat"/>
      </rPr>
      <t>fragmentasi tools</t>
    </r>
    <r>
      <rPr>
        <sz val="10"/>
        <color theme="1"/>
        <rFont val="Montserrat"/>
      </rPr>
      <t xml:space="preserve"> antar BA, QA, dan Developer yang tidak terintegrasi dan mengandalkan sinkronisasi manual</t>
    </r>
  </si>
  <si>
    <t>Tidak adanya integrasi teknologi antar tools yang digunakan pada masing-masing fase SDLC; keterbatasan lisensi yang menghambat adopsi platform terintegrasi secara menyeluruh; sinkronisasi data antar fase bergantung sepenuhnya pada inisiatif manual individu tanpa mekanisme otomatis</t>
  </si>
  <si>
    <t>Perubahan requirement tidak otomatis tercermin di test case dan backlog development; traceability antara BRD, test case, dan implementasi tidak dapat diverifikasi secara real-time; potensi pengembangan fitur berdasarkan versi requirement yang sudah tidak relevan; pemborosan sumber daya akibat rework yang disebabkan inkonsistensi data antar fase</t>
  </si>
  <si>
    <t>Pengembangan fitur berdasarkan requirement yang sudah kadaluarsa; test case yang tidak mencerminkan requirement terkini; kegagalan audit kualitas akibat tidak dapat diverifikasinya traceability antar dokumen; akumulasi inkonsistensi yang sulit dideteksi hingga tahap UAT atau production</t>
  </si>
  <si>
    <t>Tidak ada integrasi antar tools yang memungkinkan perubahan di satu fase otomatis terefleksi di fase lain; traceability hanya dapat dilakukan secara manual melalui penelusuran dokumen di SharePoint; tidak ada standar penamaan dan versioning dokumen yang memastikan konsistensi referensi antar tim</t>
  </si>
  <si>
    <t>Seluruh tools yang digunakan dalam proses pengembangan telah tersedia dan dokumen yang dihasilkan disimpan secara terpusat dalam folder SharePoint sebagai repositori dokumen bersama; namun belum terdapat mekanisme integrasi yang menghubungkan antar tools sehingga sinkronisasi data antar fase masih dilakukan secara manual</t>
  </si>
  <si>
    <t>A.5.37 – Prosedur operasi yang terdokumentasi; 
A.8.25 – Siklus hidup pengembangan yang aman</t>
  </si>
  <si>
    <r>
      <rPr>
        <b/>
        <sz val="10"/>
        <color theme="1"/>
        <rFont val="Montserrat"/>
      </rPr>
      <t>Sedang</t>
    </r>
    <r>
      <rPr>
        <sz val="10"/>
        <color theme="1"/>
        <rFont val="Montserrat"/>
      </rPr>
      <t xml:space="preserve"> — perusahaan dapat mentolerir keterbatasan integrasi tools dalam jangka pendek selama dokumen tersimpan terpusat di SharePoint, namun tidak bersedia membiarkan kondisi fragmentasi berlanjut tanpa standar sinkronisasi yang memastikan konsistensi data antar fase</t>
    </r>
  </si>
  <si>
    <t>Sedang — perusahaan masih dapat beroperasi selama nilai risiko residual ≤ 6; jika residual masih &gt;6, wajib eskalasi ke manajemen. 
Sebagai syarat minimum toleransi, organisasi wajib memastikan telah tersedia: (1) standar penamaan, versioning, dan struktur folder dokumen di SharePoint yang seragam dan dipatuhi seluruh tim, dan (2) prosedur sinkronisasi manual yang terdokumentasi dan wajib dijalankan setiap kali terjadi perubahan requirement yang berdampak pada test case dan backlog development</t>
  </si>
  <si>
    <t xml:space="preserve"> Lakukan audit konsistensi dokumen pada project yang sedang berjalan untuk mengidentifikasi gap antara requirement, test case, dan backlog development; sinkronisasi manual seluruh dokumen yang teridentifikasi tidak konsisten; komunikasikan temuan kepada seluruh tim untuk tindakan korektif segera</t>
  </si>
  <si>
    <t>Tetapkan standar penamaan, versioning, dan prosedur sinkronisasi dokumen yang seragam; evaluasi opsi integrasi tools yang tersedia dalam keterbatasan lisensi; optimalkan penggunaan SharePoint sebagai platform kolaborasi yang lebih terstruktur</t>
  </si>
  <si>
    <t>Personel Business Analyst berkoordinasi dengan Personel IT Governance</t>
  </si>
  <si>
    <t>SharePoint sudah berjalan sebagai repositori terpusat namun tidak ada standar penamaan, versioning, dan prosedur sinkronisasi yang memastikan konsistensi data antar fase, risiko belum mengalami penurunan, status In Progress dan menjadi prioritas untuk segera ditetapkan standar dokumentasi dan prosedur sinkronisasi sebagai kontrol minimum</t>
  </si>
  <si>
    <t xml:space="preserve"> - Tetapkan standar penamaan, versioning, dan struktur folder dokumen di SharePoint — susun konvensi yang seragam dan mengikat untuk seluruh tim mencakup format nama file, nomor versi, dan hierarki folder per project agar traceability antar dokumen dapat dilakukan secara konsisten
 - Susun dan sosialisasikan prosedur sinkronisasi manual antar tools — dokumentasikan prosedur wajib yang harus dijalankan setiap kali terjadi perubahan requirement, mencakup langkah pembaruan test case di Excel dan backlog di Jira secara terkoordinasi untuk memastikan konsistensi data antar fase
 - Evaluasi dan optimalkan integrasi tools dalam keterbatasan lisensi — kaji opsi integrasi yang tersedia seperti pemanfaatan fitur SharePoint Lists sebagai pengganti Excel untuk test case, atau eksplorasi plugin Jira yang memungkinkan import dari dokumen Word/Excel tanpa biaya lisensi tambahan
 - Implementasi requirement traceability matrix berbasis SharePoint — buat template traceability matrix terpusat di SharePoint yang menghubungkan requirement BRD, test case QA, dan backlog Jira secara manual namun terstruktur sebagai jembatan antar tools hingga integrasi teknologi dapat diwujudkan</t>
  </si>
  <si>
    <r>
      <t xml:space="preserve">Degradasi kapabilitas keamanan IT secara bertahap berpotensi terjadi akibat </t>
    </r>
    <r>
      <rPr>
        <b/>
        <sz val="10"/>
        <color theme="1"/>
        <rFont val="Montserrat"/>
      </rPr>
      <t>akumulasi gap tools kadaluarsa dan keterbatasan personil ahli</t>
    </r>
    <r>
      <rPr>
        <sz val="10"/>
        <color theme="1"/>
        <rFont val="Montserrat"/>
      </rPr>
      <t xml:space="preserve"> — akibat tidak terpenuhinya seluruh kebutuhan anggaran keamanan IT secara konsisten karena mekanisme persetujuan berbasis prioritas tanpa kerangka justifikasi risiko yang memadai</t>
    </r>
  </si>
  <si>
    <t>Mekanisme persetujuan anggaran berbasis prioritas yang tidak selalu mengakomodasi seluruh kebutuhan keamanan IT; tidak adanya kerangka justifikasi investasi keamanan berbasis risiko yang dapat meyakinkan pengambil keputusan; persepsi IT Security sebagai cost center yang tidak menghasilkan nilai bisnis langsung; tidak adanya mekanisme eskalasi formal ketika anggaran keamanan yang disetujui di bawah kebutuhan minimum</t>
  </si>
  <si>
    <t>Akumulasi tools keamanan yang kadaluarsa dan tidak mendapat pembaruan; keterbatasan personil ahli keamanan yang berdampak pada kapabilitas deteksi dan respons insiden; peningkatan eksposur risiko keamanan yang tidak tertangani akibat gap kapasitas; potensi pelanggaran kepatuhan regulasi akibat tidak terpenuhinya standar minimum keamanan</t>
  </si>
  <si>
    <t>Eksploitasi celah keamanan yang tidak tertangani akibat tools kadaluarsa; insiden keamanan yang tidak terdeteksi akibat understaffed tim keamanan; kegagalan audit regulasi akibat tidak terpenuhinya standar minimum investasi keamanan; degradasi postur keamanan organisasi yang bersifat gradual dan sulit terdeteksi</t>
  </si>
  <si>
    <t>Tidak ada kerangka justifikasi investasi keamanan berbasis risiko yang terdokumentasi; anggaran keamanan bersaing dengan kebutuhan operasional lain tanpa mekanisme proteksi minimum; tidak ada threshold minimum anggaran keamanan yang ditetapkan sebagai kebijakan organisasi</t>
  </si>
  <si>
    <t>Proses pengajuan anggaran IT telah dilaksanakan secara terstruktur di awal tahun dengan monitoring realisasi bulanan; setiap inisiatif strategis IT telah dialignkan dengan justifikasi investasi dan eksplorasi alternatif open-source sebagai opsi efisiensi biaya; namun persetujuan anggaran dilakukan berdasarkan skala prioritas sehingga tidak seluruh kebutuhan keamanan IT dapat terpenuhi dalam satu siklus anggaran</t>
  </si>
  <si>
    <t>5.1 – Kepemimpinan dan komitmen; 
7.1 – Sumber daya; 
6.2 – Tujuan keamanan informasi</t>
  </si>
  <si>
    <t>A.5.1 – Kebijakan keamanan informasi; 
A.5.4 – Tanggung jawab manajemen; 
A.6.3 – Kesadaran, pendidikan dan pelatihan keamanan informasi</t>
  </si>
  <si>
    <r>
      <rPr>
        <b/>
        <sz val="10"/>
        <color theme="1"/>
        <rFont val="Montserrat"/>
      </rPr>
      <t>Rendah</t>
    </r>
    <r>
      <rPr>
        <sz val="10"/>
        <color theme="1"/>
        <rFont val="Montserrat"/>
      </rPr>
      <t xml:space="preserve"> — perusahaan tidak bersedia membiarkan kapabilitas keamanan IT terdegradasi akibat gap anggaran yang tidak terkelola, mengingat dampak kumulatifnya pada postur keamanan organisasi, pemenuhan kewajiban regulasi, dan keberlangsungan operasional bisnis</t>
    </r>
  </si>
  <si>
    <r>
      <rPr>
        <b/>
        <sz val="10"/>
        <color theme="1"/>
        <rFont val="Montserrat"/>
      </rPr>
      <t>Sedang</t>
    </r>
    <r>
      <rPr>
        <sz val="10"/>
        <color theme="1"/>
        <rFont val="Montserrat"/>
      </rPr>
      <t xml:space="preserve"> — perusahaan masih dapat beroperasi selama nilai risiko residual ≤ 9; jika residual masih &gt;9, wajib eskalasi ke manajemen senior. 
Sebagai syarat minimum toleransi, organisasi wajib memastikan telah tersedia: (1) kerangka justifikasi investasi keamanan berbasis risiko yang terdokumentasi dan digunakan dalam setiap pengajuan anggaran, dan (2) mekanisme eskalasi formal yang terdefinisi ketika anggaran keamanan yang disetujui berada di bawah threshold kebutuhan minimum</t>
    </r>
  </si>
  <si>
    <t>Lakukan inventarisasi segera terhadap tools keamanan yang kadaluarsa dan gap personil yang sudah terjadi; susun remediation plan darurat berbasis prioritas risiko; ajukan anggaran tambahan dengan justifikasi berbasis dampak insiden yang berpotensi terjadi; eskalasi kondisi kepada manajemen senior sebagai dasar pengambilan keputusan</t>
  </si>
  <si>
    <t>Susun kerangka justifikasi investasi keamanan berbasis risiko untuk mendukung pengajuan anggaran; tetapkan threshold minimum anggaran keamanan sebagai kebijakan organisasi; implementasi mekanisme eskalasi formal ketika anggaran yang disetujui di bawah kebutuhan minimum</t>
  </si>
  <si>
    <t>Pengajuan anggaran terstruktur, monitoring bulanan, dan alignmen strategic plan sudah berjalan sebagai kontrol yang memadai, namun tidak adanya kerangka justifikasi berbasis risiko dan mekanisme eskalasi formal membuat kebutuhan minimum keamanan rentan tidak terpenuhi, risiko belum mengalami penurunan signifikan, status In Progress dan menjadi prioritas untuk segera disusun kerangka justifikasi berbasis risiko sebelum siklus pengajuan anggaran berikutnya</t>
  </si>
  <si>
    <t xml:space="preserve"> - Susun kerangka justifikasi investasi keamanan berbasis risiko — buat dokumen yang mengkuantifikasi potensi kerugian finansial, reputasi, dan kepatuhan regulasi jika kebutuhan keamanan tidak terpenuhi; gunakan sebagai materi pendukung wajib dalam setiap pengajuan anggaran keamanan IT kepada manajemen senior dan Direksi
 - Tetapkan threshold minimum anggaran keamanan dan mekanisme eskalasi formal — definisikan batas minimum anggaran keamanan IT sebagai kebijakan organisasi; tetapkan prosedur eskalasi formal kepada manajemen senior jika anggaran yang disetujui berada di bawah threshold minimum, agar gap dapat ditindaklanjuti sebelum berdampak pada kapabilitas keamanan
 - Lakukan inventarisasi tools kadaluarsa dan gap personil keamanan — identifikasi seluruh tools keamanan yang sudah melewati batas dukungan vendor dan personil yang dibutuhkan namun belum tersedia; susun roadmap pemenuhan bertahap berdasarkan prioritas risiko sebagai dasar pengajuan anggaran berikutnya
 - Bangun narasi IT Security sebagai investasi strategis — susun materi komunikasi yang menjelaskan nilai bisnis investasi keamanan kepada Direksi dalam bahasa bisnis (ROI keamanan, cost of breach, perbandingan biaya pencegahan vs pemulihan); integrasikan ke dalam forum pelaporan manajemen secara berkala</t>
  </si>
  <si>
    <t>Pemborosan anggaran dan sumber daya IT secara berkelanjutan pada project yang sudah tidak relevan berpotensi terjadi — akibat tidak adanya prosedur formal evaluasi ROI dan mekanisme pengambilan keputusan penghentian project yang didelegasikan kepada pihak yang berwenang</t>
  </si>
  <si>
    <t>Tidak adanya prosedur formal evaluasi ROI yang mengukur relevansi dan nilai bisnis project secara berkala; tidak ada pihak yang memiliki kewenangan terdelegasi secara formal untuk membuat keputusan penghentian project; pendekatan perubahan requirement sebagai solusi default ketika project sudah tidak relevan memperpanjang masa hidup project tanpa nilai tambah yang jelas</t>
  </si>
  <si>
    <t>Pemborosan anggaran IT pada project yang tidak menghasilkan nilai bisnis yang terukur; opportunity cost berupa inisiatif strategis yang lebih relevan tidak dapat didanai karena anggaran terserap project zombie; demoralisasi tim akibat mengerjakan project yang diketahui tidak relevan; distorsi portfolio IT yang mempersulit perencanaan strategis</t>
  </si>
  <si>
    <t>Akumulasi project zombie yang menguras anggaran dan sumber daya IT; ketidakmampuan mengalokasikan sumber daya untuk inisiatif strategis yang lebih bernilai; kegagalan delivery value IT kepada bisnis yang menurunkan kepercayaan Direksi terhadap fungsi IT</t>
  </si>
  <si>
    <t>Tidak ada prosedur evaluasi ROI berkala yang mengukur relevansi project terhadap tujuan bisnis; tidak ada mekanisme dan kewenangan formal untuk menghentikan project; pendekatan ganti requirement sebagai jalan keluar default memperpanjang project tanpa justifikasi nilai bisnis yang jelas</t>
  </si>
  <si>
    <t>Mekanisme demand management telah diterapkan untuk mengatur prioritas dan penyelarasan inisiatif project dengan tujuan bisnis; forum BOM Meeting telah berjalan secara berkala sebagai mekanisme pemantauan progress project; namun belum terdapat prosedur formal evaluasi ROI dan mekanisme pengambilan keputusan penghentian project yang didelegasikan secara jelas</t>
  </si>
  <si>
    <t>5.1 – Kepemimpinan dan komitmen; 
6.2 – Tujuan keamanan informasi; 
9.1 – Pemantauan, pengukuran, analisis dan evaluasi</t>
  </si>
  <si>
    <t>A.5.4 – Tanggung jawab manajemen; 
A.5.1 – Kebijakan keamanan informasi</t>
  </si>
  <si>
    <r>
      <rPr>
        <b/>
        <sz val="10"/>
        <color theme="1"/>
        <rFont val="Montserrat"/>
      </rPr>
      <t>Sedang</t>
    </r>
    <r>
      <rPr>
        <sz val="10"/>
        <color theme="1"/>
        <rFont val="Montserrat"/>
      </rPr>
      <t xml:space="preserve"> — perusahaan dapat mentolerir keterbatasan mekanisme evaluasi ROI dalam jangka pendek selama demand management dan BOM meeting masih berjalan efektif, namun tidak bersedia membiarkan project yang sudah tidak relevan terus berjalan tanpa mekanisme evaluasi dan keputusan formal</t>
    </r>
  </si>
  <si>
    <r>
      <rPr>
        <b/>
        <sz val="10"/>
        <color theme="1"/>
        <rFont val="Montserrat"/>
      </rPr>
      <t>Rendah</t>
    </r>
    <r>
      <rPr>
        <sz val="10"/>
        <color theme="1"/>
        <rFont val="Montserrat"/>
      </rPr>
      <t xml:space="preserve"> — perusahaan masih dapat beroperasi selama nilai risiko residual ≤ 4; jika residual masih &gt;4, wajib eskalasi ke manajemen senior. 
Sebagai syarat minimum toleransi, organisasi wajib memastikan telah tersedia: (1) prosedur formal evaluasi ROI yang terintegrasi dalam agenda BOM Meeting sebagai mekanisme review berkala, dan (2) pendelegasian kewenangan formal kepada pihak yang berwenang untuk membuat keputusan penghentian project yang terdokumentasi dalam kebijakan tata kelola IT</t>
    </r>
  </si>
  <si>
    <t>Lakukan review segera terhadap project yang terindikasi zombie; sajikan asesmen ROI kepada BOM Meeting untuk pengambilan keputusan; dokumentasikan justifikasi keputusan penghentian atau kelanjutan project secara formal; realokasikan anggaran dan sumber daya yang dibebaskan kepada inisiatif yang lebih bernilai</t>
  </si>
  <si>
    <t>Integrasikan prosedur evaluasi ROI berkala ke dalam agenda BOM Meeting; tetapkan dan delegasikan kewenangan formal penghentian project kepada pihak yang berwenang; definisikan kriteria objektif yang memicu evaluasi ulang relevansi project</t>
  </si>
  <si>
    <t>Demand management dan BOM meeting sudah berjalan sebagai kontrol monitoring yang memadai, namun tidak adanya prosedur evaluasi ROI formal dan kewenangan penghentian project yang terdelegasi membuat pemborosan anggaran pada project tidak relevan berpotensi berlanjut, risiko berada pada level Rendah dan terkendali namun tetap perlu ditindaklanjuti, status In Progress</t>
  </si>
  <si>
    <t xml:space="preserve"> - Susun dan integrasikan prosedur evaluasi ROI ke dalam agenda BOM Meeting — definisikan kriteria objektif penilaian ROI project (realisasi manfaat vs target, relevansi terhadap tujuan bisnis terkini, burn rate vs progress) yang direviewed secara berkala dalam forum BOM sebagai mekanisme early detection project zombie
 - Tetapkan dan delegasikan kewenangan formal penghentian project — dokumentasikan dalam kebijakan tata kelola IT siapa yang berwenang membuat keputusan penghentian project, kriteria yang memicu keputusan tersebut, dan prosedur realokasi anggaran serta sumber daya yang dibebaskan
 - Lakukan review ROI terhadap project yang terindikasi zombie — asesmen segera terhadap 1-2 project yang diidentifikasi sudah tidak relevan; sajikan hasil kepada BOM Meeting untuk keputusan formal kelanjutan atau penghentian berdasarkan justifikasi nilai bisnis yang terukur
 - Definisikan kriteria change requirement yang memicu evaluasi ulang relevansi project — tetapkan threshold perubahan requirement yang jika terlampaui mewajibkan evaluasi ROI ulang sebelum project dapat dilanjutkan, untuk mencegah pendekatan ganti requirement sebagai jalan pintas menghindari keputusan penghentian</t>
  </si>
  <si>
    <t>Marcell Wijaya</t>
  </si>
  <si>
    <t>Endiaz L. Arsanto</t>
  </si>
  <si>
    <t>Andy Arvid</t>
  </si>
  <si>
    <t>Jonatha Nugroho</t>
  </si>
  <si>
    <t>Barnas Danu</t>
  </si>
  <si>
    <t>IT DevSecOps</t>
  </si>
  <si>
    <t>IT Operation</t>
  </si>
  <si>
    <t>IT App Development</t>
  </si>
  <si>
    <t>Budi Candra</t>
  </si>
  <si>
    <t>Iman Subarkah</t>
  </si>
  <si>
    <t>Rangky Yudhitama</t>
  </si>
  <si>
    <t>Bona T. Munthe</t>
  </si>
  <si>
    <t>IT Business Analyst &amp; QA</t>
  </si>
  <si>
    <t>A.5.37 – Prosedur operasi yang terdokumentasi; 
A.6.3 – Kesadaran, pendidikan dan pelatihan keamanan informasi</t>
  </si>
  <si>
    <r>
      <t xml:space="preserve">Ketidakmampuan membuktikan nilai bisnis fungsi IT dan potensi mis-alokasi sumber daya berpotensi terjadi — akibat metrik kinerja IT yang berfokus pada aktivitas operasional tanpa keterkaitan terukur terhadap dampak bisnis, tidak adanya </t>
    </r>
    <r>
      <rPr>
        <b/>
        <sz val="10"/>
        <color theme="1"/>
        <rFont val="Montserrat"/>
      </rPr>
      <t>monitoring KPI berkala</t>
    </r>
    <r>
      <rPr>
        <sz val="10"/>
        <color theme="1"/>
        <rFont val="Montserrat"/>
      </rPr>
      <t>, dan tidak adanya konsekuensi formal atas pencapaian KPI</t>
    </r>
  </si>
  <si>
    <t>Matriks KPI IT belum mendefinisikan hubungan antara kinerja operasional IT dengan dampak bisnis yang terukur; tidak adanya tools monitoring yang memungkinkan pemantauan progres KPI secara berkala; KPI hanya dievaluasi pada akhir tahun tanpa review interim yang memungkinkan tindakan korektif; tidak adanya mekanisme reward dan punishment yang mengaitkan pencapaian KPI dengan konsekuensi formal</t>
  </si>
  <si>
    <t>Kinerja IT tidak dapat dikomunikasikan dalam bahasa bisnis kepada manajemen senior; mis-alokasi sumber daya akibat prioritas yang tidak didasarkan pada metrik nilai bisnis yang terukur; potensi penurunan kepercayaan Direksi terhadap fungsi IT; ketidakmampuan mendemonstrasikan ROI investasi IT secara kuantitatif</t>
  </si>
  <si>
    <t>Penurunan kepercayaan manajemen senior terhadap nilai strategis fungsi IT; pemotongan anggaran IT akibat tidak dapat dibuktikannya kontribusi bisnis; mis-alokasi prioritas sumber daya IT yang tidak selaras dengan kebutuhan bisnis aktual</t>
  </si>
  <si>
    <t>Matriks KPI tidak menghubungkan kinerja IT dengan dampak bisnis yang terukur; tidak ada tools dan mekanisme monitoring KPI berkala; tidak ada konsekuensi formal atas pencapaian atau kegagalan KPI; review KPI hanya dilakukan saat penilaian akhir tahun</t>
  </si>
  <si>
    <t>Siklus penilaian KPI tahunan telah berjalan sebagai mekanisme evaluasi kinerja IT; alignment strategis IT dengan tujuan organisasi telah tersedia sebagai kerangka acuan; namun review KPI belum dilaksanakan secara menyeluruh dan berkala, matriks pengukuran yang menghubungkan kinerja IT dengan dampak bisnis belum terdefinisi, dan belum tersedia tools monitoring yang memungkinkan pemantauan progres KPI secara real-time</t>
  </si>
  <si>
    <t>9.1 – Pemantauan, pengukuran, analisis dan evaluasi; 
6.2 – Tujuan keamanan informasi; 
5.1 – Kepemimpinan dan komitmen</t>
  </si>
  <si>
    <r>
      <rPr>
        <b/>
        <sz val="10"/>
        <color theme="1"/>
        <rFont val="Montserrat"/>
      </rPr>
      <t>Sedang</t>
    </r>
    <r>
      <rPr>
        <sz val="10"/>
        <color theme="1"/>
        <rFont val="Montserrat"/>
      </rPr>
      <t xml:space="preserve"> — perusahaan dapat mentolerir keterbatasan metrik KPI dalam jangka pendek selama siklus penilaian tahunan masih berjalan, namun tidak bersedia membiarkan kinerja IT terus diukur tanpa keterkaitan yang terukur terhadap dampak bisnis mengingat implikasinya pada alokasi anggaran dan kepercayaan manajemen</t>
    </r>
  </si>
  <si>
    <t>Sedang — perusahaan masih dapat beroperasi selama nilai risiko residual ≤ 6; jika residual masih &gt;6, wajib eskalasi ke manajemen senior. 
Sebagai syarat minimum toleransi, organisasi wajib memastikan telah tersedia: (1) matriks KPI yang mendefinisikan hubungan antara kinerja operasional IT dengan dampak bisnis yang terukur secara kuantitatif, dan (2) mekanisme review KPI berkala yang terjadwal minimal triwulanan sebagai dasar tindakan korektif sebelum penilaian akhir tahun</t>
  </si>
  <si>
    <t>Lakukan review segera terhadap seluruh KPI IT yang berjalan untuk mengidentifikasi metrik yang tidak mencerminkan nilai bisnis; sajikan temuan kepada manajemen senior dengan rekomendasi perbaikan matriks KPI; susun dashboard interim berbasis data yang tersedia sebagai bukti kinerja IT sementara matriks baru dikembangkan</t>
  </si>
  <si>
    <t>Redefinisi matriks KPI IT untuk menghubungkan kinerja operasional dengan dampak bisnis yang terukur; implementasi mekanisme monitoring KPI berkala; tetapkan konsekuensi formal yang mengaitkan pencapaian KPI dengan evaluasi kinerja</t>
  </si>
  <si>
    <t>Siklus KPI tahunan dan alignment strategis IT sudah berjalan namun matriks tidak menghubungkan kinerja IT dengan dampak bisnis dan monitoring hanya dilakukan saat penilaian akhir tahun, risiko belum mengalami penurunan, status In Progress dan menjadi prioritas untuk segera dilakukan redefinisi matriks KPI berbasis nilai bisnis dan implementasi monitoring berkala</t>
  </si>
  <si>
    <t xml:space="preserve"> - Redefinisi matriks KPI IT berbasis dampak bisnis — susun ulang seluruh metrik KPI IT untuk menghubungkan kinerja operasional dengan dampak bisnis yang terukur secara kuantitatif; contoh transformasi metrik: dari "jumlah tiket ditutup" menjadi "persentase gangguan layanan yang diselesaikan sebelum berdampak pada transaksi nasabah"
 - Implementasi mekanisme review KPI berkala minimal triwulanan — tetapkan jadwal review KPI interim yang terdokumentasi dalam kalender manajemen; gunakan hasil review sebagai dasar tindakan korektif sebelum penilaian akhir tahun sehingga gap kinerja dapat ditangani lebih awal
 - Implementasi tools monitoring KPI — deploy dashboard monitoring KPI yang memungkinkan pemantauan progres secara real-time oleh CTIO dan manajemen senior; manfaatkan tools yang sudah tersedia seperti Power BI atau SharePoint dashboard sebelum mempertimbangkan investasi tools baru
 - Tetapkan mekanisme konsekuensi formal atas pencapaian KPI — definisikan reward dan punishment yang mengaitkan pencapaian KPI IT dengan evaluasi kinerja individu dan tim secara formal dalam sistem manajemen kinerja organisasi</t>
  </si>
  <si>
    <r>
      <t xml:space="preserve">Ambiguitas tanggung jawab yang mengakibatkan gap eksekusi, tumpang tindih pekerjaan, dan kegagalan delivery project transformasi digital berpotensi terjadi — akibat tidak meratanya penerapan </t>
    </r>
    <r>
      <rPr>
        <b/>
        <sz val="10"/>
        <color theme="1"/>
        <rFont val="Montserrat"/>
      </rPr>
      <t xml:space="preserve">RACI Matrix </t>
    </r>
    <r>
      <rPr>
        <sz val="10"/>
        <color theme="1"/>
        <rFont val="Montserrat"/>
      </rPr>
      <t>antar departemen dan tidak adanya mekanisme pembaruan saat terjadi perubahan personil</t>
    </r>
  </si>
  <si>
    <t>Penerapan RACI Matrix tidak merata antar departemen; tidak adanya mekanisme review berkala dan pembaruan RACI yang dipicu oleh perubahan personil; rendahnya awareness terhadap pentingnya pembagian peran dan tanggung jawab yang jelas; tidak adanya kebijakan yang mewajibkan penyusunan dan pemeliharaan RACI sebagai standar tata kelola project</t>
  </si>
  <si>
    <t>Ambiguitas tanggung jawab yang mengakibatkan gap eksekusi pada project transformasi digital; tumpang tindih pekerjaan antar departemen yang memboroskan sumber daya; eskalasi konflik antar tim akibat ketidakjelasan peran; kegagalan delivery project akibat tidak ada pihak yang merasa bertanggung jawab atas deliverable tertentu</t>
  </si>
  <si>
    <t>Gap eksekusi pada project kritis akibat tidak ada yang merasa Responsible; keputusan yang tidak dapat diambil karena Accountable tidak terdefinisi; informasi tidak mengalir dengan benar karena Informed tidak terdefinisi; kegagalan koordinasi lintas departemen pada project transformasi digital</t>
  </si>
  <si>
    <t>RACI Matrix tidak tersedia di semua departemen; RACI yang ada tidak diperbarui saat terjadi perubahan personil sehingga sudah tidak relevan; tidak ada kebijakan yang mewajibkan penyusunan dan pemeliharaan RACI; awareness pembagian tugas yang rendah di seluruh level organisasi</t>
  </si>
  <si>
    <t>Dokumen RACI Matrix telah tersedia pada sebagian departemen sebagai acuan pembagian peran dan tanggung jawab; namun belum terdapat mekanisme review berkala maupun prosedur pembaruan RACI yang dipicu oleh perubahan personil seperti mutasi, pengunduran diri, atau penambahan karyawan baru, sehingga relevansi dan akurasi dokumen yang ada tidak dapat dijamin</t>
  </si>
  <si>
    <t>5.3 – Peran, tanggung jawab, dan wewenang organisasi; 
7.5 – Informasi terdokumentasi; 
8.1 – Perencanaan dan pengendalian operasional</t>
  </si>
  <si>
    <r>
      <rPr>
        <b/>
        <sz val="10"/>
        <color theme="1"/>
        <rFont val="Montserrat"/>
      </rPr>
      <t>Sedang</t>
    </r>
    <r>
      <rPr>
        <sz val="10"/>
        <color theme="1"/>
        <rFont val="Montserrat"/>
      </rPr>
      <t xml:space="preserve"> — perusahaan dapat mentolerir ketidaklengkapan RACI dalam jangka pendek selama dokumen yang ada masih memberikan panduan pembagian tugas dasar, namun tidak bersedia membiarkan ambiguitas tanggung jawab berlanjut pada project transformasi digital yang bersifat lintas departemen dan bernilai strategis</t>
    </r>
  </si>
  <si>
    <t>Sedang — perusahaan masih dapat beroperasi selama nilai risiko residual ≤ 6; jika residual masih &gt;6, wajib eskalasi ke manajemen. 
Sebagai syarat minimum toleransi, organisasi wajib memastikan telah tersedia: (1) RACI Matrix yang telah disusun dan berlaku untuk seluruh departemen yang terlibat dalam project transformasi digital, dan (2) prosedur pembaruan RACI yang terdokumentasi dan wajib dijalankan setiap kali terjadi perubahan personil</t>
  </si>
  <si>
    <t>(1) Lakukan sesi klarifikasi peran darurat dengan seluruh pemangku kepentingan project yang terdampak untuk menetapkan pembagian tanggung jawab sementara agar eksekusi project tidak terhenti; (2) identifikasi seluruh deliverable yang mengalami gap eksekusi atau tumpang tindih akibat ketidakjelasan RACI dan catat kerugian waktu serta sumber daya yang sudah terjadi; (3) tetapkan PIC sementara untuk setiap deliverable yang tidak bertuan dan pastikan project dapat dilanjutkan dengan pembagian peran yang disepakati secara informal hingga RACI formal tersusun; (4) eskalasi kondisi kepada manajemen senior dan dokumentasikan seluruh gap yang teridentifikasi sebagai dasar perbaikan RACI secara permanen</t>
  </si>
  <si>
    <t>Lengkapi RACI Matrix untuk seluruh departemen yang belum memiliki; tetapkan prosedur pembaruan RACI yang dipicu oleh perubahan personil; implementasi review berkala untuk memastikan relevansi dokumen</t>
  </si>
  <si>
    <t>RACI Matrix sudah tersedia di sebagian departemen namun tidak merata dan tidak diperbarui saat terjadi perubahan personil, ambiguitas tanggung jawab masih berpotensi terjadi terutama pada project lintas departemen, risiko belum mengalami penurunan, status In Progress dan menjadi prioritas untuk segera dilengkapi RACI seluruh departemen dan ditetapkan prosedur pembaruan berbasis perubahan personil</t>
  </si>
  <si>
    <t>Personel IT Governance berkoordinasi dengan Personel CTIO dan seluruh kepala departemen terkait</t>
  </si>
  <si>
    <t xml:space="preserve"> - Lengkapi RACI Matrix untuk seluruh departemen yang belum memiliki — inventarisasi departemen tanpa RACI, fasilitasi sesi penyusunan bersama kepala departemen terkait, dan standardisasi format RACI yang berlaku seragam di seluruh organisasi
 - Tetapkan prosedur pembaruan RACI berbasis perubahan personil — dokumentasikan prosedur yang mewajibkan review dan pembaruan RACI setiap kali terjadi mutasi, pengunduran diri, atau penambahan karyawan baru; integrasikan ke dalam proses onboarding dan offboarding personil IT
 - Implementasi review berkala RACI Matrix — jadwalkan review kesesuaian RACI minimal semesteran untuk memastikan dokumen tetap relevan terhadap kondisi organisasi dan perkembangan project yang berjalan
 - Selenggarakan sosialisasi awareness RACI kepada seluruh departemen — edukasi seluruh personil mengenai pentingnya pembagian peran yang jelas, cara membaca dan menggunakan RACI dalam koordinasi kerja sehari-hari, dan konsekuensi ambiguitas tanggung jawab pada project lintas departemen</t>
  </si>
  <si>
    <r>
      <t xml:space="preserve">Pelanggaran hak privasi nasabah dan eksposur terhadap sanksi regulasi perlindungan data berpotensi terjadi tanpa dapat terdeteksi — akibat tidak adanya </t>
    </r>
    <r>
      <rPr>
        <b/>
        <sz val="10"/>
        <color theme="1"/>
        <rFont val="Montserrat"/>
      </rPr>
      <t>AI Governance</t>
    </r>
    <r>
      <rPr>
        <sz val="10"/>
        <color theme="1"/>
        <rFont val="Montserrat"/>
      </rPr>
      <t xml:space="preserve">, </t>
    </r>
    <r>
      <rPr>
        <b/>
        <sz val="10"/>
        <color theme="1"/>
        <rFont val="Montserrat"/>
      </rPr>
      <t>klasifikasi data</t>
    </r>
    <r>
      <rPr>
        <sz val="10"/>
        <color theme="1"/>
        <rFont val="Montserrat"/>
      </rPr>
      <t>, penetapan data owner, dan prosedur perolehan persetujuan eksplisit yang mengatur penggunaan data historis klaim medis nasabah dalam pelatihan model AI</t>
    </r>
  </si>
  <si>
    <t>Tidak adanya kebijakan AI Governance yang mengatur syarat dan batasan penggunaan data nasabah untuk pelatihan model AI; tidak adanya klasifikasi data yang membedakan data yang boleh dan tidak boleh digunakan dalam eksperimen AI; tidak ada data owner yang bertanggung jawab atas penggunaan dataset; rendahnya awareness tim Data Analytics terhadap kewajiban persetujuan eksplisit subjek data sesuai UU PDP</t>
  </si>
  <si>
    <t>Pelanggaran hak privasi nasabah atas penggunaan data medis sensitif tanpa persetujuan eksplisit; sanksi administratif dari regulator akibat pelanggaran UU PDP dan ketentuan perlindungan data; tuntutan hukum dari nasabah atas penyalahgunaan data klaim medis; kerusakan reputasi perusahaan di mata nasabah, mitra bisnis, dan regulator</t>
  </si>
  <si>
    <t>Tuntutan hukum dari nasabah atas penggunaan data tanpa persetujuan; sanksi administratif dan denda dari regulator; audit regulasi yang mengungkap pelanggaran penggunaan data; kebocoran informasi sensitif klaim medis melalui model AI yang tidak terlindungi</t>
  </si>
  <si>
    <t>Tidak ada AI Governance yang mengatur penggunaan data untuk pelatihan model; tidak ada klasifikasi data yang menandai data sensitif yang memerlukan persetujuan khusus; tidak ada data owner yang bertanggung jawab atas akses dan penggunaan dataset; tidak ada mekanisme pencatatan dan audit trail penggunaan data untuk keperluan AI</t>
  </si>
  <si>
    <t>Belum terdapat pengendalian formal yang diterapkan. Kebijakan AI Governance, mekanisme klasifikasi data, penetapan data owner, dan prosedur perolehan persetujuan eksplisit dari subjek data untuk keperluan pelatihan model kecerdasan buatan belum tersedia, sehingga penggunaan data historis nasabah dalam eksperimen AI tidak dapat dipantau maupun dikendalikan</t>
  </si>
  <si>
    <t>A.5.34 – Privasi dan perlindungan informasi pribadi; 
A.5.32 – Hak kekayaan intelektual; 
A.5.15 – Manajemen akses; 
A.8.25 – Siklus hidup pengembangan yang aman</t>
  </si>
  <si>
    <r>
      <rPr>
        <b/>
        <sz val="10"/>
        <color theme="1"/>
        <rFont val="Montserrat"/>
      </rPr>
      <t>Rendah</t>
    </r>
    <r>
      <rPr>
        <sz val="10"/>
        <color theme="1"/>
        <rFont val="Montserrat"/>
      </rPr>
      <t xml:space="preserve"> — perusahaan tidak bersedia menanggung risiko penggunaan data klaim medis nasabah tanpa persetujuan eksplisit mengingat sensitivitas data yang sangat tinggi, kewajiban UU PDP yang bersifat mandatory, dan dampak reputasi yang tidak dapat dipulihkan jika terekspos</t>
    </r>
  </si>
  <si>
    <t>Sedang — perusahaan masih dapat beroperasi selama nilai risiko residual ≤ 9; jika residual masih &gt;9, wajib eskalasi ke manajemen senior dan Legal Counsel. 
Sebagai syarat minimum toleransi, organisasi wajib memastikan telah tersedia: (1) kebijakan AI Governance yang mengatur syarat penggunaan data nasabah untuk pelatihan model AI termasuk kewajiban persetujuan eksplisit, dan (2) klasifikasi data yang menandai dataset sensitif yang memerlukan perlakuan khusus sebelum dapat digunakan dalam eksperimen AI</t>
  </si>
  <si>
    <t>(1) Hentikan segera seluruh aktivitas pelatihan model AI yang menggunakan data nasabah hingga status kepatuhan dapat diverifikasi; (2) lakukan audit menyeluruh terhadap seluruh dataset yang sudah digunakan dalam eksperimen AI untuk mengidentifikasi apakah data sensitif nasabah terlibat tanpa persetujuan; (3) engajemen Legal Counsel untuk asesmen eksposur hukum dan kewajiban notifikasi kepada regulator serta nasabah yang terdampak; (4) dokumentasikan seluruh temuan, langkah penanganan, dan bukti tindakan korektif sebagai laporan kepada manajemen senior dan regulator</t>
  </si>
  <si>
    <t>Susun kebijakan AI Governance yang mengatur penggunaan data nasabah untuk pelatihan model; implementasi klasifikasi data untuk menandai dataset sensitif; tetapkan data owner untuk setiap dataset; implementasi mekanisme perolehan persetujuan eksplisit sebelum data digunakan dalam eksperimen AI</t>
  </si>
  <si>
    <t>Belum ada pengendalian yang berjalan sama sekali terkait AI Governance dan penggunaan data nasabah untuk pelatihan model, penggunaan data tanpa persetujuan tidak dapat dideteksi saat ini, risiko masih terbuka penuh pada level Tinggi, status New - Open dan menjadi prioritas utama untuk segera dilakukan audit penggunaan data eksisting dan disusun kebijakan AI Governance</t>
  </si>
  <si>
    <t xml:space="preserve"> - Susun kebijakan AI Governance — buat kebijakan formal yang mengatur syarat dan batasan penggunaan data nasabah untuk pelatihan model AI, mencakup kewajiban persetujuan eksplisit subjek data, kategori data yang dilarang digunakan tanpa consent, dan prosedur audit penggunaan data dalam eksperimen AI
 - Implementasi klasifikasi data dan penetapan data owner — definisikan tingkat sensitivitas seluruh dataset yang digunakan tim Data Analytics, tandai dataset yang mengandung data medis sensitif, dan tetapkan data owner yang bertanggung jawab atas akses dan penggunaan setiap dataset
 - Lakukan audit retroaktif penggunaan data dalam eksperimen AI — identifikasi seluruh model AI dan eksperimen yang sudah berjalan, verifikasi apakah data nasabah digunakan tanpa persetujuan, dan susun remediation plan termasuk opsi anonymisasi atau penghapusan data yang digunakan secara tidak sah
 - Implementasi mekanisme persetujuan eksplisit dan anonymisasi data — tetapkan prosedur wajib perolehan persetujuan nasabah sebelum data digunakan dalam pelatihan model AI; untuk data historis yang sudah ada, terapkan teknik anonymisasi atau pseudonymisasi sebagai alternatif penggunaan yang patuh regulasi</t>
  </si>
  <si>
    <r>
      <t xml:space="preserve">Eksposur data pribadi sensitif nasabah berupa data medis dan NIK secara mentah kepada pihak yang tidak berwenang berpotensi mengakibatkan pelanggaran privasi dan sanksi regulasi — akibat </t>
    </r>
    <r>
      <rPr>
        <b/>
        <sz val="10"/>
        <color theme="1"/>
        <rFont val="Montserrat"/>
      </rPr>
      <t>keterbatasan legacy system</t>
    </r>
    <r>
      <rPr>
        <sz val="10"/>
        <color theme="1"/>
        <rFont val="Montserrat"/>
      </rPr>
      <t xml:space="preserve"> yang belum mendukung implementasi </t>
    </r>
    <r>
      <rPr>
        <b/>
        <sz val="10"/>
        <color theme="1"/>
        <rFont val="Montserrat"/>
      </rPr>
      <t>data masking</t>
    </r>
    <r>
      <rPr>
        <sz val="10"/>
        <color theme="1"/>
        <rFont val="Montserrat"/>
      </rPr>
      <t xml:space="preserve"> pada lapisan pelaporan</t>
    </r>
  </si>
  <si>
    <t>Legacy system tidak mendukung implementasi data masking tanpa perombakan menyeluruh aplikasi; tidak adanya kontrol akses berbasis kebutuhan bisnis yang membatasi tampilan PII pada laporan; proses pembuatan laporan tidak memiliki mekanisme review untuk memastikan PII tidak ditampilkan secara mentah kepada penerima yang tidak memerlukan akses penuh</t>
  </si>
  <si>
    <t>Eksposur data medis sensitif dan NIK nasabah kepada pihak yang tidak memiliki kebutuhan bisnis untuk mengaksesnya; pelanggaran kewajiban UU PDP terkait prinsip pembatasan tujuan dan minimisasi data; potensi penyalahgunaan data nasabah oleh pihak yang menerimanya; sanksi administratif dari regulator dan tuntutan hukum dari nasabah yang datanya terekspos</t>
  </si>
  <si>
    <t>Penyalahgunaan data medis dan NIK nasabah oleh penerima laporan yang tidak berwenang; pelanggaran regulasi perlindungan data yang terekspos dalam audit; kebocoran data nasabah melalui distribusi laporan yang tidak terkontrol; tuntutan hukum dari nasabah atas eksposur data sensitif</t>
  </si>
  <si>
    <t>Legacy system belum mendukung data masking pada lapisan pelaporan; tidak ada kontrol akses berbasis kebutuhan bisnis yang membatasi tampilan PII dalam laporan; tidak ada mekanisme review konten laporan sebelum didistribusikan; tidak ada panduan yang melarang pencantuman PII mentah dalam laporan operasional</t>
  </si>
  <si>
    <t>Dynamic data masking telah diimplementasikan pada level database sebagai kontrol perlindungan data; namun implementasi masking pada legacy system belum dapat dilaksanakan tanpa perombakan menyeluruh aplikasi, sehingga PII nasabah berpotensi ditampilkan secara mentah pada laporan yang diakses oleh pengguna yang tidak memiliki kebutuhan bisnis untuk melihat data tersebut secara lengkap</t>
  </si>
  <si>
    <t>A.5.34 – Privasi dan perlindungan informasi pribadi; 
A.8.11 – Penyamaran data; 
A.5.15 – Manajemen akses; 
A.8.12 – Pencegahan kebocoran data</t>
  </si>
  <si>
    <r>
      <rPr>
        <b/>
        <sz val="10"/>
        <color theme="1"/>
        <rFont val="Montserrat"/>
      </rPr>
      <t>Rendah</t>
    </r>
    <r>
      <rPr>
        <sz val="10"/>
        <color theme="1"/>
        <rFont val="Montserrat"/>
      </rPr>
      <t xml:space="preserve"> — perusahaan tidak bersedia membiarkan data medis sensitif dan NIK nasabah terekspos secara mentah dalam laporan operasional mengingat sensitivitas data yang sangat tinggi dan kewajiban perlindungan data yang bersifat mandatory sesuai UU PDP</t>
    </r>
  </si>
  <si>
    <r>
      <rPr>
        <b/>
        <sz val="10"/>
        <color theme="1"/>
        <rFont val="Montserrat"/>
      </rPr>
      <t>Sedang</t>
    </r>
    <r>
      <rPr>
        <sz val="10"/>
        <color theme="1"/>
        <rFont val="Montserrat"/>
      </rPr>
      <t xml:space="preserve"> — perusahaan masih dapat beroperasi selama nilai risiko residual ≤ 9; jika residual masih &gt;9, wajib eskalasi ke manajemen senior dan Legal Counsel. 
Sebagai syarat minimum toleransi, organisasi wajib memastikan telah tersedia: (1) prosedur wajib review konten laporan sebelum distribusi untuk memastikan PII tidak ditampilkan secara mentah kepada penerima yang tidak memerlukan akses penuh, dan (2) kebijakan yang secara eksplisit melarang pencantuman PII mentah dalam laporan operasional beserta panduan teknis alternatif pengganti</t>
    </r>
  </si>
  <si>
    <t>(1) Tarik segera seluruh laporan yang teridentifikasi menampilkan PII secara mentah dari seluruh penerima; (2) lakukan audit terhadap seluruh laporan yang pernah didistribusikan untuk mengidentifikasi scope eksposur data dan pihak yang telah menerima; (3) engajemen Legal Counsel untuk asesmen kewajiban notifikasi kepada regulator dan nasabah yang datanya terekspos sesuai ketentuan UU PDP; (4) dokumentasikan seluruh temuan dan langkah penanganan sebagai laporan insiden kepada manajemen senior dan regulator</t>
  </si>
  <si>
    <t>Implementasi prosedur review konten laporan sebelum distribusi; tetapkan kebijakan yang melarang pencantuman PII mentah dalam laporan operasional; susun roadmap migrasi dari legacy system untuk mengaktifkan masking pada lapisan pelaporan</t>
  </si>
  <si>
    <t>Dynamic masking sudah tersedia di level database namun tidak dapat diimplementasikan pada legacy system, PII nasabah berpotensi terekspos secara mentah dalam laporan yang sudah terdistribusi, risiko masih terbuka pada level Tinggi, status In Progress dan menjadi prioritas utama untuk segera diterapkan prosedur review laporan dan kebijakan larangan PII mentah sebelum distribusi berikutnya</t>
  </si>
  <si>
    <t xml:space="preserve"> - Implementasi prosedur review konten laporan sebelum distribusi — tetapkan mekanisme wajib verifikasi bahwa tidak ada PII mentah yang tercantum dalam laporan sebelum didistribusikan; tunjuk PIC yang bertanggung jawab melakukan review setiap laporan yang akan dikirimkan kepada penerima di luar tim Data Analytics
 - Tetapkan kebijakan larangan PII mentah dalam laporan operasional — susun kebijakan formal yang melarang pencantuman data medis, NIK, dan PII sensitif lainnya secara mentah dalam laporan; sertakan panduan teknis alternatif seperti penggunaan data agregat, pseudonymisasi manual, atau penampilan parsial sebagai pengganti
 - Lakukan audit retroaktif seluruh laporan yang sudah terdistribusi — identifikasi laporan yang pernah dikirimkan yang mengandung PII mentah, catat penerima dan scope eksposur, dan koordinasikan dengan Legal Counsel untuk menentukan kewajiban notifikasi sesuai UU PDP
 - Susun roadmap teknis migrasi legacy system untuk mengaktifkan data masking — dokumentasikan opsi teknis yang tersedia untuk mengimplementasikan masking pada lapisan pelaporan tanpa perombakan menyeluruh, termasuk opsi middleware, view database terpisah, atau migrasi bertahap; jadikan sebagai input perencanaan anggaran IT berikutnya</t>
  </si>
  <si>
    <t>Data Analytics berkordinasi dengan IT Governance dan data management</t>
  </si>
  <si>
    <t>Proses ETL</t>
  </si>
  <si>
    <t>Dasboard Business Intelligence</t>
  </si>
  <si>
    <t>Arsitektur Aplikasi</t>
  </si>
  <si>
    <t>Aplikasi Mobile</t>
  </si>
  <si>
    <t>Aplikasi Web</t>
  </si>
  <si>
    <t>Aplikasi Core System</t>
  </si>
  <si>
    <t>Personel IT</t>
  </si>
  <si>
    <t>Personel Digital Strategy</t>
  </si>
  <si>
    <t>Data Internal Perusahaan</t>
  </si>
  <si>
    <t>Dokumen Cyber Threat Intelligence (CTI) &amp; Feeds</t>
  </si>
  <si>
    <t>Dokumen Vulnerability Assessment &amp; Penetration Testing</t>
  </si>
  <si>
    <t>Lisensi SSL</t>
  </si>
  <si>
    <t>Dokumen Matriks VLAN</t>
  </si>
  <si>
    <t>Dokumen Matrix Hak Akses Istimewa</t>
  </si>
  <si>
    <t>Dokumen Roadmap Digital</t>
  </si>
  <si>
    <t>Personel Tenaga Alih Daya (Outsource IT dari Vendor)</t>
  </si>
  <si>
    <t>Dokumen Konfigurasi Perangkat Jaringan</t>
  </si>
  <si>
    <t>Dokumen Konfigurasi Server</t>
  </si>
  <si>
    <t>Dokumen Topologi Jaringan</t>
  </si>
  <si>
    <t>Pencurian hak kekayaan intelektual (Intellectual Property Theft): Kompetitor atau pihak dengan motivasi komersial dapat menduplikasi arsitektur kode dan logika bisnis, mengakibatkan hilangnya keunggulan kompetitif dan potensi kerugian finansial jangka panjang.</t>
  </si>
  <si>
    <t>Dokumen Training Security Awareness</t>
  </si>
  <si>
    <t>Dokumen Data Retention &amp; Disposal Rules</t>
  </si>
  <si>
    <t>Dokumen Hasil Incident Simulation</t>
  </si>
  <si>
    <t>Dokumen BCDRP Plan &amp; Scenario</t>
  </si>
  <si>
    <t>Dokumen Pemetaan Proses Bisnis (Business Process Mapping)</t>
  </si>
  <si>
    <t>Dokumen Riset Inovasi Teknologi</t>
  </si>
  <si>
    <t>Dokumen Katalog Layanan IT (IT Service Catalog)</t>
  </si>
  <si>
    <t>Dokumen Form Pengajuan ke IT Department</t>
  </si>
  <si>
    <t>Dokumen Job Desc Tim IT</t>
  </si>
  <si>
    <t>Tidak adanya solusi DLP yang mencegah penyalinan atau transfer source code ke media eksternal atau repositori publik; kontrak kerja hanya memuat NDA umum tanpa klausul pengalihan HKI yang eksplisit dan mengikat; tidak adanya monitoring aktivitas repositori yang dapat mendeteksi pola akses atau transfer tidak wajar; tidak ada prosedur offboarding yang memastikan pencabutan akses dan penghapusan salinan source code saat personil keluar</t>
  </si>
  <si>
    <t>Duplikasi arsitektur kode dan logika bisnis proprietary oleh kompetitor atau mantan karyawan; hilangnya keunggulan kompetitif yang dibangun melalui investasi pengembangan jangka panjang; kerugian finansial akibat produk atau fitur serupa diluncurkan kompetitor menggunakan kode yang dicuri; ketidakmampuan membuktikan kepemilikan dan melakukan tindakan hukum akibat tidak adanya klausul HKI yang mengikat</t>
  </si>
  <si>
    <t>Eksfiltrasi source code oleh karyawan yang akan atau sudah keluar; penyalinan arsitektur dan logika bisnis untuk digunakan pada entitas kompetitor; pendaftaran HKI atas nama pribadi oleh mantan karyawan; distribusi source code kepada pihak ketiga yang tidak berwenang</t>
  </si>
  <si>
    <t>Tidak ada DLP yang memblokir transfer source code ke media eksternal atau repositori publik; NDA tidak memuat klausul HKI yang spesifik sehingga lemah secara hukum; tidak ada monitoring aktivitas git repository; prosedur offboarding belum memastikan pencabutan akses dan verifikasi penghapusan salinan source code</t>
  </si>
  <si>
    <t>Perjanjian Non-Disclosure Agreement telah ditandatangani oleh seluruh personil sebagai kontrol dasar kerahasiaan; namun NDA yang berlaku tidak memuat klausul pengalihan HKI secara eksplisit, dan belum tersedia kontrol teknis berupa DLP maupun monitoring aktivitas repositori yang mencegah eksfiltrasi source code oleh personil yang keluar</t>
  </si>
  <si>
    <t>A.5.32 – Hak kekayaan intelektual; 
A.8.12 – Pencegahan kebocoran data; 
A.5.15 – Manajemen akses; 
A.6.5 – Tanggung jawab setelah pengakhiran atau perubahan pekerjaan</t>
  </si>
  <si>
    <r>
      <rPr>
        <b/>
        <sz val="10"/>
        <color theme="1"/>
        <rFont val="Montserrat"/>
      </rPr>
      <t>Rendah</t>
    </r>
    <r>
      <rPr>
        <sz val="10"/>
        <color theme="1"/>
        <rFont val="Montserrat"/>
      </rPr>
      <t xml:space="preserve"> — perusahaan tidak bersedia menanggung risiko kehilangan source code sebagai aset intelektual strategis mengingat dampaknya langsung pada keunggulan kompetitif, keberlangsungan bisnis jangka panjang, dan kemampuan pembuktian kepemilikan secara hukum</t>
    </r>
  </si>
  <si>
    <t>Sedang — perusahaan masih dapat beroperasi selama nilai risiko residual ≤ 9; jika residual masih &gt;9, wajib eskalasi ke manajemen senior dan Legal Counsel. 
Sebagai syarat minimum toleransi, organisasi wajib memastikan telah tersedia: (1) klausul HKI eksplisit yang ditambahkan dalam kontrak kerja dan addendum bagi karyawan aktif, dan (2) prosedur offboarding yang mewajibkan pencabutan akses repositori dan verifikasi penghapusan salinan source code sebelum karyawan dinyatakan selesai hubungan kerja</t>
  </si>
  <si>
    <t>(1) Cabut segera seluruh akses repositori dan sistem bagi personil yang terindikasi melakukan eksfiltrasi atau yang sedang dalam proses keluar; (2) lakukan audit log aktivitas git untuk mengidentifikasi aktivitas clone, pull, atau fork yang tidak wajar dalam periode terakhir sebelum kejadian terdeteksi; (3) engajemen Legal Counsel segera untuk asesmen posisi hukum perusahaan, pengumpulan bukti digital, dan evaluasi opsi tindakan hukum berdasarkan NDA dan klausul HKI yang tersedia; (4) dokumentasikan seluruh bukti dan langkah penanganan sebagai laporan kepada manajemen senior untuk keputusan tindak lanjut</t>
  </si>
  <si>
    <t>Tambahkan klausul HKI eksplisit dalam kontrak kerja dan lakukan addendum bagi karyawan aktif; implementasi DLP dan monitoring aktivitas repositori; perkuat prosedur offboarding dengan verifikasi pencabutan akses dan penghapusan salinan source code</t>
  </si>
  <si>
    <t>NDA sudah berjalan sebagai kontrol dasar namun tidak memuat klausul HKI eksplisit dan tidak ada kontrol teknis yang mencegah eksfiltrasi, risiko eksfiltrasi source code saat karyawan keluar masih terbuka, status In Progress dan menjadi prioritas untuk segera ditambahkan klausul HKI dalam kontrak dan diperkuat prosedur offboarding</t>
  </si>
  <si>
    <t xml:space="preserve"> - Tambahkan klausul HKI eksplisit dalam kontrak kerja dan addendum karyawan aktif — pernyataan resmi bahwa seluruh source code yang dihasilkan selama hubungan kerja adalah milik perusahaan, dilarang disalin, digunakan, atau diperjualbelikan; lakukan addendum bagi seluruh karyawan aktif yang kontraknya belum memuat klausul ini
 - Perkuat prosedur offboarding dengan verifikasi pencabutan akses dan penghapusan source code — pastikan setiap proses offboarding mencakup pencabutan akses repositori, verifikasi penghapusan salinan source code dari perangkat pribadi, dan penandatanganan pernyataan kepatuhan HKI sebelum karyawan dinyatakan selesai hubungan kerja
 - Aktifkan monitoring dan audit log aktivitas git repository — pantau seluruh aktivitas clone, pull, push, dan fork untuk mendeteksi pola akses yang tidak wajar terutama pada periode menjelang pengunduran diri atau pemutusan hubungan kerja; integrasikan alert ke tim Security Analyst
 - Evaluasi dan implementasi solusi DLP — deploy solusi DLP yang mampu mendeteksi dan memblokir transfer source code ke repositori publik, media eksternal, atau platform berbagi file; jadikan sebagai prioritas pengadaan dalam anggaran IT berikutnya jika belum tersedia</t>
  </si>
  <si>
    <t>A.5.2 – Peran dan tanggung jawab keamanan informasi; 
A.6.3 – Kesadaran, pendidikan dan pelatihan keamanan informasi; 
A.5.15 – Manajemen akses; 
A.8.2 – Hak akses istimewa</t>
  </si>
  <si>
    <t>Kerusakan data production, eksposur data nasabah asli, dan gangguan layanan tidak terencana berpotensi terjadi — akibat tidak dijalankannya kebijakan pemisahan environment secara konsisten</t>
  </si>
  <si>
    <t>Kebijakan pemisahan environment sudah ada namun tidak dijalankan dan tidak ada sanksi atas pelanggaran; keterbatasan resources yang mendorong penggunaan environment production untuk keperluan UAT; permintaan user yang menginginkan data production asli untuk pengujian tanpa pemahaman risiko yang memadai; tidak adanya prosedur penyediaan data anonymized yang dapat digunakan sebagai pengganti data production</t>
  </si>
  <si>
    <t>Kerusakan atau modifikasi tidak terencana pada data production akibat aktivitas pengujian; eksposur data nasabah asli kepada personil yang tidak seharusnya mengaksesnya dalam konteks pengujian; gangguan layanan production akibat beban pengujian yang tidak terisolasi; potensi pelanggaran UU PDP akibat penggunaan data nasabah asli dalam environment pengujian tanpa kontrol yang memadai</t>
  </si>
  <si>
    <t>Modifikasi atau penghapusan data production secara tidak sengaja selama pengujian; eksposur data nasabah asli kepada tim QA yang tidak memiliki otorisasi akses data production; gangguan layanan production akibat pengujian fitur yang belum stabil; pelanggaran regulasi perlindungan data akibat penggunaan data asli dalam environment yang tidak terkontrol</t>
  </si>
  <si>
    <t>Kebijakan pemisahan environment tidak dijalankan dan tidak ada sanksi; tidak ada kontrol teknis yang mencegah koneksi UAT ke database production; tidak ada prosedur penyediaan data anonymized sebagai pengganti data production untuk keperluan UAT; tidak ada mekanisme enforcement kebijakan yang berjalan secara otomatis</t>
  </si>
  <si>
    <t>Kebijakan pemisahan environment pengujian dan production telah tersedia sebagai acuan operasional; namun kebijakan belum diimplementasikan secara konsisten, tidak terdapat mekanisme penegakan sanksi atas pelanggaran, dan pengujian pada environment production masih terjadi atas permintaan pengguna yang memerlukan data asli untuk keperluan UAT</t>
  </si>
  <si>
    <t>A.8.31 – Pemisahan lingkungan pengembangan, pengujian, dan operasional; 
A.5.34 – Privasi dan perlindungan informasi pribadi; 
A.8.33 – Informasi pengujian</t>
  </si>
  <si>
    <r>
      <rPr>
        <b/>
        <sz val="10"/>
        <color theme="1"/>
        <rFont val="Montserrat"/>
      </rPr>
      <t>Rendah</t>
    </r>
    <r>
      <rPr>
        <sz val="10"/>
        <color theme="1"/>
        <rFont val="Montserrat"/>
      </rPr>
      <t xml:space="preserve"> — perusahaan tidak bersedia membiarkan aktivitas pengujian dilakukan pada environment production mengingat risiko langsung terhadap integritas data nasabah, keberlangsungan layanan, dan kewajiban perlindungan data sesuai UU PDP</t>
    </r>
  </si>
  <si>
    <r>
      <rPr>
        <b/>
        <sz val="10"/>
        <color theme="1"/>
        <rFont val="Montserrat"/>
      </rPr>
      <t>Sedang</t>
    </r>
    <r>
      <rPr>
        <sz val="10"/>
        <color theme="1"/>
        <rFont val="Montserrat"/>
      </rPr>
      <t xml:space="preserve"> — perusahaan masih dapat beroperasi selama nilai risiko residual ≤ 9; jika residual masih &gt;9, wajib eskalasi ke manajemen senior. 
Sebagai syarat minimum toleransi, organisasi wajib memastikan telah tersedia: (1) mekanisme sanksi yang aktif diberlakukan terhadap setiap pelanggaran kebijakan pemisahan environment, dan (2) prosedur penyediaan data anonymized yang dapat digunakan sebagai pengganti data production untuk keperluan UAT sehingga kebutuhan user terpenuhi tanpa harus menggunakan environment production</t>
    </r>
  </si>
  <si>
    <t>(1) Hentikan segera seluruh aktivitas pengujian yang sedang berjalan di environment production dan isolasi sesi yang aktif; (2) lakukan audit terhadap seluruh data production yang berpotensi termodifikasi atau terekspos selama aktivitas pengujian berlangsung; (3) lakukan rollback atau restore data production jika teridentifikasi perubahan yang tidak terencana akibat aktivitas pengujian; (4) eskalasi insiden kepada manajemen senior, dokumentasikan scope dampak, dan tinjau kewajiban notifikasi regulasi jika data nasabah terdampak</t>
  </si>
  <si>
    <t>Aktifkan enforcement kebijakan pemisahan environment dengan sanksi yang jelas; implementasi prosedur penyediaan data anonymized sebagai pengganti data production untuk UAT; terapkan kontrol teknis yang mencegah koneksi environment pengujian ke database production</t>
  </si>
  <si>
    <t>Kebijakan pemisahan environment sudah tersedia namun tidak dijalankan dan tidak ada sanksi, UAT di production masih terjadi dan berpotensi membahayakan integritas data nasabah, risiko belum mengalami penurunan, status In Progress dan menjadi prioritas utama untuk segera diaktifkan sanksi dan disediakan prosedur data anonymized sebagai alternatif data production</t>
  </si>
  <si>
    <t xml:space="preserve"> - Aktifkan mekanisme sanksi atas pelanggaran kebijakan pemisahan environment — definisikan sanksi yang jelas dan proporsional untuk setiap pelanggaran kebijakan; sosialisasikan kepada seluruh tim QA, developer, dan user; pastikan penegakan sanksi berjalan konsisten tanpa pengecualian agar kebijakan yang ada memiliki efek jera yang nyata
 - Implementasi prosedur penyediaan data anonymized untuk UAT — susun prosedur teknis yang memungkinkan penyediaan dataset representatif berbasis data production yang telah dianonimkan atau dipseudonymisasi; libatkan DBA dalam pembuatan script anonymisasi otomatis sehingga kebutuhan user akan data realistis dapat terpenuhi tanpa menggunakan data nasabah asli
 - Terapkan kontrol teknis pemblokiran koneksi environment pengujian ke database production — implementasikan network segmentation, firewall rules, atau konfigurasi database yang secara teknis mencegah environment UAT/SIT terhubung ke database production; pastikan credentials environment pengujian berbeda sepenuhnya dari credentials production
 - Alokasikan resources untuk environment pengujian yang memadai — susun justifikasi kebutuhan resources environment pengujian yang terpisah dan ajukan dalam perencanaan anggaran IT; prioritaskan penyediaan infrastructure pengujian yang representatif sebagai solusi jangka panjang untuk menghilangkan ketergantungan pada environment production</t>
  </si>
  <si>
    <t>Eksposur informasi teknis sensitif berupa stack trace dan database syntax kepada pengguna yang dapat dimanfaatkan untuk memetakan kerentanan sistem berpotensi terjadi — akibat tidak adanya standar pesan error dalam requirement dan pendekatan QA yang reaktif dalam mendeteksi kebocoran informasi melalui error handling</t>
  </si>
  <si>
    <t>BA tidak mendefinisikan standar pesan error yang aman sebagai requirement wajib; gap knowledge BA terhadap implikasi keamanan dari error handling yang tidak terstandarisasi; QA tidak memiliki skenario pengujian proaktif untuk memvalidasi bahwa pesan error tidak membocorkan informasi teknis; tidak ada kebijakan yang mewajibkan implementasi generic error message pada seluruh aplikasi</t>
  </si>
  <si>
    <t>Eksposur stack trace, database syntax, dan informasi arsitektur backend kepada pengguna yang tidak berwenang; penyerang dapat memanfaatkan informasi teknis yang terekspos untuk memetakan kerentanan dan merancang serangan yang lebih terarah; peningkatan risiko SQL injection dan eksploitasi celah teknis yang teridentifikasi melalui pesan error; kegagalan audit keamanan akibat tidak terpenuhinya standar secure coding</t>
  </si>
  <si>
    <t>Eksploitasi informasi teknis yang terekspos melalui pesan error untuk merancang serangan terarah; SQL injection dan serangan berbasis pengetahuan arsitektur yang diperoleh dari stack trace; pemetaan struktur database dan logika aplikasi oleh penyerang melalui error message yang informatif</t>
  </si>
  <si>
    <t>Tidak ada standar generic error message yang terdefinisi dalam requirement; QA tidak memiliki skenario pengujian proaktif untuk error handling; BA tidak memahami implikasi keamanan dari error handling yang membocorkan informasi teknis; tidak ada kebijakan secure coding yang mewajibkan penyembunyian informasi teknis dari pesan error</t>
  </si>
  <si>
    <t>Pengecekan dan perbaikan pesan error dilaksanakan secara reaktif pada saat proses UAT berlangsung apabila error ditemukan secara tidak sengaja; namun belum terdapat standar pesan error yang terdefinisi dalam requirement, tidak ada skenario pengujian error handling yang disusun secara proaktif, dan perbaikan dilakukan berdasarkan temuan insidental tanpa jaminan kelengkapan cakupan</t>
  </si>
  <si>
    <t>A.8.25 – Siklus hidup pengembangan yang aman; 
A.8.26 – Persyaratan keamanan aplikasi; 
A.6.3 – Kesadaran, pendidikan dan pelatihan keamanan informasi</t>
  </si>
  <si>
    <r>
      <rPr>
        <b/>
        <sz val="10"/>
        <color theme="1"/>
        <rFont val="Montserrat"/>
      </rPr>
      <t>Rendah</t>
    </r>
    <r>
      <rPr>
        <sz val="10"/>
        <color theme="1"/>
        <rFont val="Montserrat"/>
      </rPr>
      <t xml:space="preserve"> — perusahaan tidak bersedia membiarkan informasi teknis sensitif terekspos melalui pesan error aplikasi mengingat informasi tersebut dapat dimanfaatkan secara langsung oleh penyerang untuk merancang serangan yang lebih terarah terhadap sistem</t>
    </r>
  </si>
  <si>
    <r>
      <rPr>
        <b/>
        <sz val="10"/>
        <color theme="1"/>
        <rFont val="Montserrat"/>
      </rPr>
      <t>Sedang</t>
    </r>
    <r>
      <rPr>
        <sz val="10"/>
        <color theme="1"/>
        <rFont val="Montserrat"/>
      </rPr>
      <t xml:space="preserve"> — perusahaan masih dapat beroperasi selama nilai risiko residual ≤ 6; jika residual masih &gt;6, wajib eskalasi ke manajemen. 
Sebagai syarat minimum toleransi, organisasi wajib memastikan telah tersedia: (1) standar generic error message yang terdefinisi dan terintegrasi sebagai komponen wajib requirement dalam BRD, dan (2) skenario pengujian error handling yang terdokumentasi dalam standar test case QA untuk memvalidasi bahwa tidak ada informasi teknis yang terekspos melalui pesan error</t>
    </r>
  </si>
  <si>
    <t>(1) Identifikasi dan inventarisasi segera seluruh endpoint dan modul aplikasi yang menampilkan stack trace atau informasi teknis kepada pengguna; (2) koordinasikan dengan tim developer untuk implementasi darurat generic error message pada seluruh titik yang teridentifikasi sebelum siklus release berikutnya; (3) lakukan review log akses untuk mengidentifikasi apakah informasi teknis yang terekspos sudah diakses atau dimanfaatkan oleh pihak yang tidak berwenang; (4) eskalasi temuan kepada manajemen dan dokumentasikan scope eksposur sebagai dasar prioritas perbaikan</t>
  </si>
  <si>
    <t xml:space="preserve"> Definisikan standar generic error message sebagai komponen wajib dalam BRD; integrasikan skenario pengujian error handling ke dalam standar test case QA; selenggarakan pelatihan secure coding error handling untuk BA dan QA</t>
  </si>
  <si>
    <t>Pengecekan error sudah dilakukan saat UAT namun bersifat reaktif dan tidak terstruktur, standar pesan error belum terdefinisi dalam requirement dan skenario pengujian proaktif belum ada, risiko belum mengalami penurunan, status In Progress dan menjadi prioritas untuk segera didefinisikan standar generic error message dan diintegrasikan skenario pengujian error handling dalam BRD dan standar test case QA</t>
  </si>
  <si>
    <t>Personel Business Analyst berkoordinasi dengan Personel Quality Assurance dan Personel Security Analyst dan Pesonel Developer</t>
  </si>
  <si>
    <t xml:space="preserve"> - Definisikan standar generic error message dan integrasikan ke dalam template BRD — susun standar yang mewajibkan seluruh aplikasi menampilkan pesan error generik yang tidak mengungkap informasi teknis; jadikan sebagai komponen wajib requirement yang harus terdefinisi sebelum BRD dapat disetujui
 - Tambahkan skenario pengujian error handling ke dalam standar test case QA — definisikan skenario proaktif yang memvalidasi bahwa seluruh kondisi error menampilkan pesan generik tanpa stack trace, database syntax, atau informasi arsitektur; jadikan sebagai bagian wajib regression testing sebelum setiap release
 - Lakukan review dan perbaikan darurat seluruh aplikasi production — inventarisasi seluruh endpoint yang masih menampilkan informasi teknis kepada pengguna; koordinasikan dengan developer untuk implementasi generic error message secara menyeluruh berdasarkan prioritas tingkat eksposur
 - Selenggarakan pelatihan secure error handling untuk BA dan QA — program pelatihan yang mencakup implikasi keamanan dari error handling yang tidak terstandarisasi, contoh konkret stack trace yang dapat dieksploitasi, dan cara mendefinisikan requirement dan test case error handling yang aman</t>
  </si>
  <si>
    <t>Kerentanan keamanan dan serangan berbasis manipulasi input berbahaya berpotensi lolos ke environment production — akibat tidak adanya standar minimum cakupan negative testing dan gap kompetensi security testing pada personil QA yang menyebabkan pengujian keamanan tidak konsisten dan tidak terstruktur</t>
  </si>
  <si>
    <t>Tidak adanya standar minimum yang menetapkan rasio dan kedalaman negative testing yang wajib dipenuhi; gap kompetensi security testing pada personil QA yang membatasi kemampuan menyusun skenario negative testing yang komprehensif; tekanan waktu delivery yang mendorong pengurangan cakupan pengujian keamanan; tidak ada mekanisme validasi kelengkapan negative testing sebelum release</t>
  </si>
  <si>
    <t>Kerentanan SQL Injection, XSS, dan manipulasi input lainnya yang lolos ke production tanpa terdeteksi; eksploitasi kerentanan oleh pihak tidak berwenang yang berdampak pada integritas data dan keamanan sistem; peningkatan biaya remediasi akibat perbaikan dilakukan setelah release; potensi pelanggaran kepatuhan regulasi keamanan akibat standar secure coding tidak terpenuhi</t>
  </si>
  <si>
    <t>Eksploitasi SQL Injection pada kolom input yang tidak tervalidasi; serangan Cross-Site Scripting melalui input yang tidak disanitasi; manipulasi logika bisnis melalui input tidak terduga yang tidak diuji; eskalasi privilege melalui celah yang tidak teridentifikasi dalam negative testing</t>
  </si>
  <si>
    <t>Tidak ada standar minimum rasio dan kedalaman negative testing; gap kompetensi security testing pada personil QA; tekanan waktu yang mengurangi kedalaman pengujian keamanan; tidak ada mekanisme validasi bahwa seluruh skenario negative testing telah mencakup OWASP Top 10 sebelum release</t>
  </si>
  <si>
    <t>Pengujian negatif telah dilaksanakan sebagai bagian dari proses QA; namun belum terdapat standar minimum yang menetapkan rasio cakupan negative test case terhadap positive test case, kedalaman skenario pengujian keamanan yang wajib dipenuhi, maupun mekanisme validasi kelengkapan negative testing sebelum aplikasi dinyatakan siap untuk release</t>
  </si>
  <si>
    <r>
      <rPr>
        <b/>
        <sz val="10"/>
        <color theme="1"/>
        <rFont val="Montserrat"/>
      </rPr>
      <t>Rendah</t>
    </r>
    <r>
      <rPr>
        <sz val="10"/>
        <color theme="1"/>
        <rFont val="Montserrat"/>
      </rPr>
      <t xml:space="preserve"> — perusahaan tidak bersedia membiarkan kerentanan berbasis manipulasi input lolos ke production tanpa terdeteksi mengingat dampak langsung pada integritas data nasabah dan keamanan sistem yang dapat dieksploitasi secara aktif</t>
    </r>
  </si>
  <si>
    <t>(1) Lakukan emergency security scan terhadap seluruh input field aplikasi production yang belum divalidasi untuk mengidentifikasi kerentanan aktif; (2) isolasi atau nonaktifkan sementara fitur yang teridentifikasi rentan terhadap SQL Injection atau manipulasi input hingga perbaikan diimplementasikan; (3) koordinasikan dengan tim developer untuk patch darurat pada endpoint yang terekspos; (4) eskalasi temuan kepada manajemen, dokumentasikan scope kerentanan, dan jadwalkan penetration testing menyeluruh sebagai validasi pasca-perbaikan</t>
  </si>
  <si>
    <t xml:space="preserve"> Tetapkan standar minimum cakupan negative testing berbasis OWASP Top 10 sebagai gate release; tingkatkan kompetensi security testing personil QA; implementasi SAST/DAST sebagai safety net otomatis untuk mendeteksi kerentanan yang terlewat</t>
  </si>
  <si>
    <t>Negative testing sudah berjalan sebagian namun tanpa standar minimum cakupan dan masih ada kasus yang lolos, risiko mengalami penurunan parsial namun belum mencapai level yang dapat diterima, status In Progress dan menjadi prioritas untuk segera ditetapkan standar minimum negative testing dan divalidasi kelengkapannya sebagai gate release</t>
  </si>
  <si>
    <t xml:space="preserve"> - Tetapkan standar minimum cakupan negative testing sebagai gate release — definisikan rasio minimum negative test case terhadap positive test case, daftar skenario wajib berbasis OWASP Top 10 yang harus dicakup, dan mekanisme validasi bahwa seluruh skenario telah dieksekusi sebelum aplikasi dinyatakan siap release
 - Selenggarakan pelatihan security testing untuk personil QA — program pelatihan yang mencakup teknik negative testing, skenario SQL Injection, XSS, dan manipulasi input berbasis OWASP Top 10; lengkapi dengan praktik langsung menggunakan tools security testing seperti OWASP ZAP atau Burp Suite
 - Lakukan review retroaktif kerentanan input pada aplikasi production — lakukan security scan terhadap seluruh input field aplikasi yang sudah berjalan untuk mengidentifikasi kerentanan SQL Injection dan XSS yang mungkin sudah ada; susun remediation plan berdasarkan tingkat keparahan temuan
 - Implementasi SAST/DAST sebagai safety net otomatis — integrasikan static dan dynamic application security testing dalam CI/CD pipeline sebagai lapisan deteksi otomatis untuk menangkap kerentanan yang terlewat dalam proses manual QA akibat keterbatasan waktu dan personil</t>
  </si>
  <si>
    <t>Personel Quality Assurance berkoordinasi dengan Personel Security Analyst dan Personel DevSecOps</t>
  </si>
  <si>
    <t>Defect pada fitur baru dan perubahan fungsionalitas bisnis terbaru berpotensi lolos ke production tanpa terdeteksi — akibat test case regression yang statis, tidak pernah diperbarui, dan tidak diselaraskan dengan perkembangan bisnis terkini sehingga kehilangan kemampuan mendeteksi kerentanan baru</t>
  </si>
  <si>
    <t>Tidak adanya mekanisme review dan pembaruan test case regression secara berkala; tidak ada proses penyelarasan antara BA dan QA untuk memastikan test case mencerminkan perubahan arah bisnis terbaru; keterbatasan personil dan proses manual yang tidak menyisakan kapasitas untuk pembaruan test case; tidak ada kebijakan yang mewajibkan review kesesuaian test case terhadap perubahan fungsionalitas</t>
  </si>
  <si>
    <t>Defect pada fitur baru atau perubahan fungsionalitas bisnis lolos ke production karena tidak tercakup dalam test case yang statis; false confidence bahwa sistem sudah teruji padahal test case tidak lagi relevan; pemborosan sumber daya QA untuk mengeksekusi test case yang tidak memberikan nilai deteksi baru; potensi gangguan operasional bisnis akibat defect yang seharusnya dapat dicegah</t>
  </si>
  <si>
    <t>Defect production yang tidak terdeteksi dalam regression testing; false sense of security dari hasil regression yang tidak relevan; gangguan operasional bisnis akibat fitur baru yang tidak teruji secara memadai; akumulasi technical debt pengujian yang semakin sulit diselesaikan</t>
  </si>
  <si>
    <t>Test case regression tidak pernah diperbarui untuk mencerminkan perubahan bisnis; tidak ada mekanisme koordinasi antara BA dan QA untuk penyelarasan test case; proses sepenuhnya manual tanpa otomatisasi yang memungkinkan pembaruan lebih efisien; tidak ada standar frekuensi review dan pembaruan test case</t>
  </si>
  <si>
    <t>Belum terdapat pengendalian formal yang diterapkan. Proses regression testing dilaksanakan secara manual dengan mengeksekusi test case yang sama secara berulang tanpa mekanisme review, pembaruan berkala, maupun penyelarasan dengan perkembangan kebutuhan bisnis dan perubahan fungsionalitas aplikasi terkini</t>
  </si>
  <si>
    <t>A.8.25 – Siklus hidup pengembangan yang aman; 
A.5.37 – Prosedur operasi yang terdokumentasi</t>
  </si>
  <si>
    <r>
      <rPr>
        <b/>
        <sz val="10"/>
        <color theme="1"/>
        <rFont val="Montserrat"/>
      </rPr>
      <t>Sedang</t>
    </r>
    <r>
      <rPr>
        <sz val="10"/>
        <color theme="1"/>
        <rFont val="Montserrat"/>
      </rPr>
      <t xml:space="preserve"> — perusahaan dapat mentolerir keterbatasan proses regression testing dalam jangka pendek selama defect kritis masih dapat terdeteksi, namun tidak bersedia membiarkan test case yang statis dan tidak relevan terus menjadi satu-satunya mekanisme validasi kualitas release</t>
    </r>
  </si>
  <si>
    <r>
      <rPr>
        <b/>
        <sz val="10"/>
        <color theme="1"/>
        <rFont val="Montserrat"/>
      </rPr>
      <t>Sedang</t>
    </r>
    <r>
      <rPr>
        <sz val="10"/>
        <color theme="1"/>
        <rFont val="Montserrat"/>
      </rPr>
      <t xml:space="preserve"> — perusahaan masih dapat beroperasi selama nilai risiko residual ≤ 9; jika residual masih &gt;9, wajib eskalasi ke manajemen. 
Sebagai syarat minimum toleransi, organisasi wajib memastikan telah tersedia: (1) standar minimum cakupan negative testing yang menetapkan rasio dan skenario wajib berbasis OWASP Top 10 sebagai gate release, dan (2) mekanisme validasi kelengkapan negative testing yang diverifikasi sebelum aplikasi dinyatakan siap release</t>
    </r>
  </si>
  <si>
    <r>
      <rPr>
        <b/>
        <sz val="10"/>
        <color theme="1"/>
        <rFont val="Montserrat"/>
      </rPr>
      <t>Sedang</t>
    </r>
    <r>
      <rPr>
        <sz val="10"/>
        <color theme="1"/>
        <rFont val="Montserrat"/>
      </rPr>
      <t xml:space="preserve"> — perusahaan masih dapat beroperasi selama nilai risiko residual ≤ 6; jika residual masih &gt;6, wajib eskalasi ke manajemen. 
Sebagai syarat minimum toleransi, organisasi wajib memastikan telah tersedia: (1) prosedur review dan pembaruan test case regression yang terjadwal minimal per release atau saat ada perubahan bisnis signifikan, dan (2) mekanisme koordinasi formal antara BA dan QA untuk memastikan test case mencerminkan perubahan fungsionalitas dan arah bisnis terkini sebelum regression testing dieksekusi</t>
    </r>
  </si>
  <si>
    <t>(1) Identifikasi segera seluruh defect production yang terindikasi lolos akibat test case yang tidak mencakup fungsionalitas terbaru; (2) lakukan triage dan kategorisasi defect berdasarkan tingkat keparahan dan dampak operasional untuk menentukan prioritas perbaikan; (3) koordinasikan dengan BA untuk mengidentifikasi perubahan bisnis yang belum tercermin dalam test case dan lakukan pembaruan darurat sebelum regression berikutnya; (4) eskalasi temuan kepada manajemen dan dokumentasikan gap test case sebagai dasar perbaikan sistematis</t>
  </si>
  <si>
    <t>Tetapkan prosedur review dan pembaruan test case regression secara berkala; implementasi mekanisme koordinasi formal antara BA dan QA untuk penyelarasan test case; eksplorasi otomatisasi regression testing untuk meningkatkan efisiensi dan memungkinkan pembaruan lebih cepat</t>
  </si>
  <si>
    <t>Belum ada pengendalian formal yang berjalan terkait pembaruan dan penyelarasan test case regression, proses sepenuhnya manual dan statis, risiko masih terbuka penuh pada level Sedang dengan probabilitas tinggi, status New - Open dan menjadi prioritas untuk segera ditetapkan prosedur review berkala dan mekanisme koordinasi BA-QA</t>
  </si>
  <si>
    <t xml:space="preserve"> - Tetapkan prosedur review dan pembaruan test case regression secara berkala — definisikan frekuensi review minimal per release atau saat ada perubahan bisnis signifikan; tetapkan kriteria test case yang perlu diperbarui, ditambahkan, atau dihapus berdasarkan relevansi terhadap fungsionalitas terkini
 - Implementasi mekanisme koordinasi formal antara BA dan QA — bentuk forum atau checkpoint terjadwal sebelum setiap siklus regression di mana BA menyampaikan perubahan bisnis dan fungsionalitas terbaru yang harus tercermin dalam test case sebelum pengujian dieksekusi
 - Lakukan review dan pembaruan menyeluruh test case existing — identifikasi test case yang sudah tidak relevan, redundan, atau tidak mencerminkan fungsionalitas bisnis terkini; perbarui, tambahkan, atau hapus berdasarkan hasil koordinasi dengan BA sebagai langkah pemulihan kondisi saat ini
 - Susun roadmap otomatisasi regression testing — evaluasi opsi tools otomatisasi yang sesuai dengan kapasitas tim dan anggaran; prioritaskan otomatisasi test case dengan frekuensi eksekusi tinggi untuk membebaskan kapasitas personil QA bagi pembaruan dan pengembangan skenario baru yang lebih bernilai</t>
  </si>
  <si>
    <t>Personel Quality Assurance berkoordinasi dengan Personel Business Analyst dan Personel IT Governance</t>
  </si>
  <si>
    <t>Persetujuan UAT yang tidak valid secara substansif berpotensi meloloskan aplikasi yang tidak memenuhi kebutuhan bisnis sesungguhnya ke production — akibat tidak adanya kebijakan kewenangan persetujuan UAT dan ketiadaan dokumentasi proses bisnis sebagai acuan validasi bagi staf yang melaksanakan pengujian</t>
  </si>
  <si>
    <t>Tidak adanya kebijakan yang menetapkan persyaratan kewenangan dan kompetensi minimum untuk persetujuan UAT; tidak tersedianya dokumentasi proses bisnis yang dapat digunakan sebagai acuan validasi oleh tim bisnis dan QA; user leader yang memiliki konteks dan kewenangan tidak tersedia untuk melaksanakan UAT sehingga mendelegasikan kepada staf junior tanpa konteks memadai</t>
  </si>
  <si>
    <t>Persetujuan UAT diberikan oleh personil yang tidak memiliki kewenangan dan pemahaman konteks bisnis yang memadai; aplikasi yang tidak memenuhi kebutuhan bisnis sesungguhnya lolos ke production; potensi rework besar-besaran setelah release akibat kegagalan fungsi yang baru teridentifikasi saat operasional; pemborosan sumber daya development dan kepercayaan unit bisnis terhadap kualitas delivery IT menurun</t>
  </si>
  <si>
    <t>Aplikasi production yang tidak sesuai kebutuhan bisnis sesungguhnya; defect fungsional kritis yang tidak terdeteksi saat UAT karena kurangnya pemahaman konteks bisnis; rework pasca-production yang mengganggu operasional bisnis; erosi kepercayaan unit bisnis terhadap proses pengembangan IT</t>
  </si>
  <si>
    <t>Tidak ada kebijakan kewenangan persetujuan UAT yang terdokumentasi; tidak ada dokumentasi proses bisnis sebagai acuan validasi; tidak ada mekanisme verifikasi bahwa personil yang melaksanakan UAT memiliki pemahaman konteks yang memadai; delegasi UAT ke staf junior tanpa briefing konteks bisnis yang terstruktur</t>
  </si>
  <si>
    <t>Belum terdapat pengendalian formal yang diterapkan. Tidak ada kebijakan yang mengatur persyaratan kewenangan dan kompetensi minimum personil yang berhak memberikan persetujuan UAT, serta tidak tersedia dokumentasi proses bisnis yang dapat digunakan sebagai acuan validasi oleh tim bisnis maupun Quality Assurance dalam pelaksanaan pengujian penerimaan</t>
  </si>
  <si>
    <t>8.1 – Perencanaan dan pengendalian operasional; 
5.3 – Peran, tanggung jawab, dan wewenang organisasi</t>
  </si>
  <si>
    <t>A.5.2 – Peran dan tanggung jawab keamanan informasi; 
A.5.37 – Prosedur operasi yang terdokumentasi; 
A.8.25 – Siklus hidup pengembangan yang aman</t>
  </si>
  <si>
    <r>
      <rPr>
        <b/>
        <sz val="10"/>
        <color theme="1"/>
        <rFont val="Montserrat"/>
      </rPr>
      <t>Sedang</t>
    </r>
    <r>
      <rPr>
        <sz val="10"/>
        <color theme="1"/>
        <rFont val="Montserrat"/>
      </rPr>
      <t xml:space="preserve"> — perusahaan dapat mentolerir keterbatasan ketersediaan user leader dalam jangka pendek, namun tidak bersedia membiarkan persetujuan UAT diberikan oleh personil tanpa kewenangan dan konteks bisnis yang memadai mengingat dampaknya pada kualitas release dan efisiensi sumber daya</t>
    </r>
  </si>
  <si>
    <r>
      <rPr>
        <b/>
        <sz val="10"/>
        <color theme="1"/>
        <rFont val="Montserrat"/>
      </rPr>
      <t>Sedang</t>
    </r>
    <r>
      <rPr>
        <sz val="10"/>
        <color theme="1"/>
        <rFont val="Montserrat"/>
      </rPr>
      <t xml:space="preserve"> — perusahaan masih dapat beroperasi selama nilai risiko residual ≤ 6; jika residual masih &gt;6, wajib eskalasi ke manajemen. 
Sebagai syarat minimum toleransi, organisasi wajib memastikan telah tersedia: (1) kebijakan yang menetapkan persyaratan kewenangan minimum personil yang berhak memberikan persetujuan UAT beserta prosedur delegasi yang sah, dan (2) dokumentasi proses bisnis minimal untuk scope fungsionalitas yang diuji sebagai acuan validasi bagi personil yang melaksanakan UAT</t>
    </r>
  </si>
  <si>
    <t>(1) Tunda release yang persetujuan UAT-nya diberikan oleh personil tanpa kewenangan yang jelas hingga validasi ulang oleh pihak yang berwenang dapat dilaksanakan; (2) lakukan sesi review darurat dengan user leader untuk memvalidasi seluruh fungsionalitas yang sudah disetujui staf junior sebelum release dilanjutkan; (3) identifikasi dan dokumentasikan seluruh gap validasi yang berpotensi menyebabkan defect pasca-release; (4) eskalasi insiden kepada manajemen dan dokumentasikan sebagai dasar penyusunan kebijakan kewenangan UAT secara formal</t>
  </si>
  <si>
    <t>Susun kebijakan kewenangan persetujuan UAT yang menetapkan persyaratan minimum dan prosedur delegasi yang sah; buat dokumentasi proses bisnis yang dapat dipahami oleh tim bisnis dan QA sebagai acuan validasi UAT; implementasi mekanisme briefing konteks bisnis sebelum UAT dilaksanakan</t>
  </si>
  <si>
    <t>Belum ada pengendalian formal yang berjalan terkait kewenangan persetujuan UAT dan dokumentasi proses bisnis sebagai acuan validasi, delegasi ke staf junior tanpa konteks sudah terjadi, risiko masih terbuka penuh pada level Sedang, status New - Open dan menjadi prioritas untuk segera disusun kebijakan kewenangan UAT dan dokumentasi proses bisnis minimum</t>
  </si>
  <si>
    <t>Personel Quality Assurance berkoordinasi dengan Personel IT Governance dan Personel Business Analyst</t>
  </si>
  <si>
    <t xml:space="preserve"> - Susun kebijakan kewenangan persetujuan UAT beserta prosedur delegasi yang sah — tetapkan persyaratan minimum jabatan, kompetensi, dan pemahaman proses bisnis yang harus dimiliki oleh personil yang berhak memberikan persetujuan UAT; definisikan prosedur delegasi yang sah jika user leader tidak tersedia, termasuk kewajiban briefing konteks dan dokumentasi persetujuan delegasi
 - Buat dokumentasi proses bisnis minimum sebagai acuan validasi UAT — susun dokumentasi yang menggambarkan alur proses bisnis end-to-end dalam bahasa yang dapat dipahami oleh tim bisnis dan QA; pastikan dokumentasi mencakup skenario kritis yang wajib divalidasi dalam setiap pelaksanaan UAT
 - Implementasi mekanisme briefing konteks bisnis sebelum UAT — tetapkan sesi briefing wajib antara BA dan seluruh personil yang akan melaksanakan UAT sebelum pengujian dimulai untuk memastikan pemahaman scope, fungsionalitas yang diuji, dan kriteria penerimaan yang harus dipenuhi
 - Implementasi sign-off UAT berjenjang untuk fungsionalitas kritis — tetapkan mekanisme persetujuan bertingkat di mana fungsionalitas kritis wajib mendapat sign-off dari minimal dua level kewenangan sebelum dinyatakan lulus UAT, untuk memastikan validasi yang komprehensif meskipun user leader mendelegasikan sebagian pengujian</t>
  </si>
  <si>
    <t>Endpoint API rentan terhadap serangan brute force dan credential stuffing yang memanfaatkan ketiadaan pembatasan jumlah request; enumerasi resource yang memungkinkan penyerang memetakan seluruh data yang dapat diakses; potensi Distributed Denial of Service pada level API yang mengganggu ketersediaan layanan; eksploitasi BOLA/IDOR yang memungkinkan akses data nasabah lain secara tidak terotorisasi</t>
  </si>
  <si>
    <t>Brute force dan credential stuffing pada endpoint autentikasi tanpa pembatasan percobaan; enumerasi resource melalui BOLA/IDOR yang mengekspos data nasabah lintas akun; API abuse yang membebani infrastruktur hingga mengganggu ketersediaan layanan; scraping data massal melalui endpoint yang tidak dibatasi frekuensinya</t>
  </si>
  <si>
    <t>Rate limiting belum diimplementasikan pada API Gateway Kong; validasi otorisasi level resource belum dikonfirmasi mencakup perlindungan BOLA/IDOR; tidak ada kebijakan standar minimum keamanan API yang mewajibkan rate limiting sebagai komponen wajib</t>
  </si>
  <si>
    <t>Mekanisme autentikasi JWT dengan symmetric dan asymmetric key telah diimplementasikan; WAF Coraza open-source telah aktif sebagai lapisan perlindungan aplikasi; API Gateway Kong telah digunakan sebagai titik kontrol terpusat; namun rate limiting belum diimplementasikan sehingga endpoint masih rentan terhadap serangan berbasis volume</t>
  </si>
  <si>
    <t>A.8.20 – Keamanan jaringan; 
A.8.25 – Siklus hidup pengembangan yang aman; 
A.8.26 – Persyaratan keamanan aplikasi; 
A.8.6 – Manajemen kapasitas</t>
  </si>
  <si>
    <r>
      <rPr>
        <b/>
        <sz val="10"/>
        <color theme="1"/>
        <rFont val="Montserrat"/>
      </rPr>
      <t>Rendah</t>
    </r>
    <r>
      <rPr>
        <sz val="10"/>
        <color theme="1"/>
        <rFont val="Montserrat"/>
      </rPr>
      <t xml:space="preserve"> — perusahaan tidak bersedia membiarkan endpoint API beroperasi tanpa rate limiting mengingat ketiadaannya secara langsung membuka celah penyalahgunaan berbasis volume yang dapat berdampak pada kerahasiaan data nasabah dan ketersediaan layanan</t>
    </r>
  </si>
  <si>
    <r>
      <rPr>
        <b/>
        <sz val="10"/>
        <color theme="1"/>
        <rFont val="Montserrat"/>
      </rPr>
      <t>Sedang</t>
    </r>
    <r>
      <rPr>
        <sz val="10"/>
        <color theme="1"/>
        <rFont val="Montserrat"/>
      </rPr>
      <t xml:space="preserve"> — perusahaan masih dapat beroperasi selama nilai risiko residual ≤ 9; jika residual masih &gt;9, wajib eskalasi ke manajemen. 
Sebagai syarat minimum toleransi, organisasi wajib memastikan telah tersedia: (1) konfigurasi rate limiting aktif pada API Gateway Kong untuk seluruh endpoint yang menghadap publik, dan (2) validasi otorisasi level resource yang terkonfirmasi mencakup perlindungan terhadap BOLA/IDOR pada endpoint yang menangani data nasabah</t>
    </r>
  </si>
  <si>
    <t>(1) Identifikasi dan blokir segera IP address atau token yang terdeteksi melakukan pola request abnormal melalui rule WAF Coraza yang sudah aktif sebagai tindakan pembatasan dampak darurat; (2) lakukan review log API Gateway Kong untuk memetakan scope abuse yang sudah terjadi — identifikasi endpoint yang menjadi target, volume request abnormal, dan data yang berpotensi terekspos atau dienumerasi; (3) perkuat rule WAF Coraza secara ad-hoc untuk memblokir pola serangan spesifik yang teridentifikasi dalam log sebagai mitigasi sementara selama rate limiting belum tersedia; (4) eskalasi insiden kepada manajemen, dokumentasikan scope dampak dan data yang berpotensi terdampak, serta jadwalkan implementasi rate limiting sebagai respons korektif dengan prioritas tertinggi.</t>
  </si>
  <si>
    <t>Implementasi rate limiting pada API Gateway Kong menggunakan fitur plugin yang tersedia; lakukan validasi dan dokumentasi perlindungan BOLA/IDOR pada seluruh endpoint yang menangani data nasabah; susun kebijakan standar minimum keamanan API yang mewajibkan rate limiting sebagai komponen wajib</t>
  </si>
  <si>
    <t>JWT, WAF Coraza, dan API Gateway Kong sudah berjalan sebagai lapisan perlindungan autentikasi yang memadai, namun rate limiting belum diimplementasikan sehingga celah penyalahgunaan berbasis volume masih terbuka, risiko mengalami penurunan parsial, status In Progress dan menjadi prioritas untuk segera diaktifkan rate limiting pada API Gateway</t>
  </si>
  <si>
    <t xml:space="preserve"> - Implementasi rate limiting pada API Gateway Kong — aktifkan dan konfigurasi plugin rate limiting Kong untuk seluruh endpoint yang menghadap publik; tetapkan threshold yang sesuai per IP, per token, dan per endpoint berdasarkan pola traffic normal; manfaatkan fitur yang sudah tersedia dalam Kong sebelum mempertimbangkan solusi berbayar
 - Validasi dan dokumentasikan perlindungan BOLA/IDOR — lakukan review menyeluruh terhadap seluruh endpoint yang menangani data spesifik nasabah untuk memastikan validasi otorisasi level resource sudah diimplementasikan; dokumentasikan hasilnya sebagai bukti kepatuhan dan identifikasi endpoint yang masih memerlukan perbaikan
 - Susun kebijakan standar minimum keamanan API — definisikan standar wajib yang harus dipenuhi setiap endpoint API sebelum dapat di-deploy ke production, mencakup autentikasi, otorisasi, rate limiting, dan logging; jadikan sebagai gate wajib dalam proses deployment pipeline
 - Lakukan API security assessment menyeluruh — laksanakan pengujian keamanan berbasis OWASP API Security Top 10 terhadap seluruh endpoint aktif untuk mengidentifikasi kerentanan yang belum tertangani; gunakan temuan sebagai dasar prioritas perbaikan dan penguatan konfigurasi WAF Coraza</t>
  </si>
  <si>
    <t>Rate limiting belum diimplementasikan akibat keterbatasan waktu eksplorasi dan anggaran untuk solusi yang proper; belum ada kebijakan yang menetapkan standar minimum keamanan API termasuk kewajiban rate limiting; validasi otorisasi level resource (BOLA - Broken Object Level Authorization/IDOR - Insecure Direct Object Reference) belum terdokumentasikan sebagai requirement yang wajib diverifikasi</t>
  </si>
  <si>
    <t>Development personnel granted direct read/write access terhadap production database containing real personal data tanpa data masking/anonymization, tanpa Just-In-Time (JIT) access mechanism, dan tanpa column-level restriction berdasarkan business necessity, violating principle of least privilege dan expanding insider threat risk.</t>
  </si>
  <si>
    <t>Remote access ke corporate systems via unencrypted public Wi-Fi networks tanpa mandatory VPN client enforcement memungkinkan Man-in-the-Middle (MitM) attack untuk credential interception, session hijacking, dan unauthorized access terhadap sensitive corporate information.</t>
  </si>
  <si>
    <t>Mobile application deployment tanpa code obfuscation, anti-debugging controls, root/jailbreak detection, dan hardcoded credential protection memungkinkan attacker untuk reverse-engineer aplikasi, extract embedded API keys, dan identify business logic vulnerabilities.</t>
  </si>
  <si>
    <t>Project management tickets atau roadmap documentation yang mengungkapkan planned security control implementation timeline dan upcoming technology adoption memberikan threat actor information untuk timing attack execution sebelum mitigating controls menjadi operational.</t>
  </si>
  <si>
    <t>Critical application dependencies terhadap abandoned open-source libraries (no active maintenance, no security updates, no community support) memungkinkan unmitigated vulnerability exploitation tanpa remediation path atau alternative mitigation options available.</t>
  </si>
  <si>
    <t>Inadequate logging dan distributed tracing implementation across microservices architecture tanpa centralized correlation ID dan log aggregation memungkinkan delayed incident detection, difficult forensic investigation, dan inability untuk trace attack progression across system components.</t>
  </si>
  <si>
    <t>Absence dari Circuit Breaker pattern, timeout enforcement, dan graceful degradation logic dalam microservices communication menyebabkan cascading failures dimana single service outage menyebabkan resource exhaustion dan service unavailability terhadap dependent critical systems.</t>
  </si>
  <si>
    <t xml:space="preserve"> Microservices architecture dengan excessive inter-service dependency dan synchronous request chaining mengakibatkan performance degradation, cascading latency amplification, dan increased vulnerability window terhadap request-level attacks seperti timing attacks atau request smuggling.</t>
  </si>
  <si>
    <t>Over-reliance pada asynchronous event-driven architecture (Kafka, RabbitMQ, message queues) tanpa documented data flow diagram, event schema definition, atau dead-letter queue handling memungkinkan data loss, race condition, dan difficult incident investigation.</t>
  </si>
  <si>
    <t>Orphaned microservices yang tetap operational tanpa assigned team ownership, security patch management, atau incident response capability menyebabkan unmitigated vulnerability accumulation dan undetected service compromise.</t>
  </si>
  <si>
    <t>Microservices decomposition menciptakan dramatically expanded attack surface melalui numerous internal API endpoints tanpa mutual TLS (mTLS) enforcement, Zero Trust architecture, atau service-to-service authentication, memungkinkan lateral movement tanpa credential validation.</t>
  </si>
  <si>
    <t>Configuration Management Database (CMDB) tidak maintained dengan accurate current state information menyebabkan incomplete asset visibility, inability untuk determine service dependency mapping, dan inability untuk perform comprehensive impact analysis selama incident atau change management.</t>
  </si>
  <si>
    <t>Microservices dengan tightly coupled dependencies dan shared state management menciptakan operasional complexity similar dengan monolithic application, preventing independent deployment dan requiring coordinated downtime across multiple service untuk complete update cycle.</t>
  </si>
  <si>
    <t>Ketiadaan dari distributed transaction management pattern (Saga, Two-Phase Commit) di microservices architecture menyebabkan data inconsistency, orphaned records, dan inability untuk guarantee ACID properties terhadap multi-service transactions.</t>
  </si>
  <si>
    <t>Polyglot microservices architecture dengan shared single database backend eliminates database-level isolation benefit, preventing independent scaling, creating schema coupling, dan enabling unauthorized data access across service boundaries.</t>
  </si>
  <si>
    <t>Unrestricted technology choice (programming language, database, framework) across development teams tanpa standardization atau architectural governance menciptakan operational complexity, fragmented security posture, dan difficult knowledge transfer untuk incident response dan maintenance.</t>
  </si>
  <si>
    <t>Persistent security warnings dan SAST/SCA findings dalam CI/CD pipeline yang consistently diabaikan atau suppressed tanpa justification menyebabkan normalization dari security deviation, reduced security control effectiveness, dan cultural acceptance terhadap security non-compliance.</t>
  </si>
  <si>
    <t>Business Intelligence dashboard dengan unrestricted "Export to Excel/CSV" functionality memungkinkan bulk sensitive data exfiltration tanpa data loss prevention (DLP) control, audit trail, atau export audit requirement.</t>
  </si>
  <si>
    <t>Orphaned BI dashboard dan automated reporting artifacts yang tetap operational tanpa assigned owner, regular access review, atau decommissioning procedure menyebabkan unnecessarily expensive resource consumption, stale data distribution, dan potential security gap dari unreviewed data access.</t>
  </si>
  <si>
    <t>Predictive analytics model atau reporting logic development tanpa rigorous validation terhadap underlying data quality assumptions, seasonal anomaly detection, atau statistical significance testing menghasilkan inaccurate business decision support dan potential fraud detection bypass.</t>
  </si>
  <si>
    <t>Multiple authoritative data sources atau reporting systems yang menghasilkan conflicting metrics untuk same business entity menciptakan data integrity doubt, enabling manipulation, dan preventing consensus pada business-critical metrics untuk decision-making.</t>
  </si>
  <si>
    <t>Publicly disclosed atau easily inferred security monitoring alert thresholds memungkinkan threat actor merancang low-intensity attack strategy yang maintain persistence di bawah detection threshold, extending dwell time dan enabling stealthy data exfiltration.</t>
  </si>
  <si>
    <t>Monitoring dashboard configuration exposure mengidentifikasi unmonitored systems atau low-fidelity monitoring areas yang menjadi ideal lateral movement vector untuk attacker untuk bergerak tanpa deteksi.</t>
  </si>
  <si>
    <t>Disaster recovery backup strategy tanpa periodic testing terhadap actual restore capability pada alternative infrastructure mengakibatkan unvalidated recovery assumptions, potential backup corruption, dan unknown recovery time objective (RTO) achievement.</t>
  </si>
  <si>
    <t>Production data dump ke non-production environments (Development, UAT, SIT) tanpa data anonymization/masking exposing real personally identifiable information ke development personnel, expandingunnecessary data breach surface dan violating data minimization principle.</t>
  </si>
  <si>
    <t xml:space="preserve">Inadequate physical security controls memungkinkan unauthorized individuals melakukan piggybacking (mengekor personnel dengan valid access credential) untuk masuk ke critical infrastructure areas tanpa independent identity verification atau electronic access log.
</t>
  </si>
  <si>
    <t>Physical data center infrastructure deficiencies (inadequate backup power (UPS), expired fire suppression system, failed environmental cooling, insufficient redundancy) menciptakan unmitigated vulnerability terhadap environmental hazards dan facility-level availability risk.</t>
  </si>
  <si>
    <t>Disaster Recovery Plan dan Business Continuity Plan existence tanpa periodic testing implementation menghasilkan unvalidated recovery assumptions, unknown actual recovery capability, dan undocumented failure modes dalam recovery procedure.</t>
  </si>
  <si>
    <t>Excessive dependency terhadap vendor-specific security controls atau cloud-native security tools (AWS native security, GCP security services) tanpa multi-vendor redundancy atau portable security architecture menciptakan operational continuity risk jika cloud provider experiences outage atau policy change.</t>
  </si>
  <si>
    <t>Ketiadaan dari independent third-party penetration testing dan red team exercise reliance solely pada internal security assessment menciptakan false confidence, missed external perspective terhadap attack vectors, dan lack dari adversarial thinking dalam security posture validation.</t>
  </si>
  <si>
    <t>Triple extortion attack scenario dimana threat actor melakukan encryption ransom, organizational extortion, dan direct victim extortion (menghubungi high-value customers dengan direct threat terhadap sensitive personal medical data exposure) mengakibatkan compounded financial loss, reputational damage, dan customer trust erosion.</t>
  </si>
  <si>
    <t>Data center maintenance report exposure mengungkapkan detailed infrastructure architecture, network device configuration, security system design, dan physical security controls yang dapat diexploitasi oleh threat actor untuk detailed facility reconnaissance dan identification dari security control weaknesses.</t>
  </si>
  <si>
    <t>Quality Assurance testing conduct menggunakan unmasked production data containing personally identifiable information (NIK, bank account, health data) dalam non-production environment tanpa data anonymization memungkinkan unauthorized PII exposure ke QA personnel dan test environment infrastructure.</t>
  </si>
  <si>
    <t>Penggunaan perangkat mobile pribadi oleh agen lapangan untuk menangkap dokumen sensitif pelanggan (Kartu Identitas Nasional, kartu kredit, hasil pemeriksaan medis) dengan konfigurasi automatic backup ke layanan cloud pribadi (Google Photos, iCloud) tanpa enkripsi atau kontrol akses memungkinkan eksposur data tidak sah terhadap infrastruktur penyimpanan cloud pihak ketiga.</t>
  </si>
  <si>
    <t>Pengungkapan karyawan yang keluar dari organisasi terhadap aset intelektual proprietary (algoritma penetapan harga asuransi, formula underwriting, logika bisnis inti, kode sumber aplikasi) ke platform publik (GitHub, Kaggle) untuk keperluan portofolio pencarian kerja mengakibatkan kebocoran kekayaan intelektual dan eksposur intelijen kompetitif.</t>
  </si>
  <si>
    <t>Penyalinan data klaim kesehatan nasabah yang berisi informasi kesehatan pribadi terhadap Model Bahasa Besar publik (ChatGPT versi gratis, Claude, Gemini) untuk keperluan ringkasan atau pembuatan rumus mengakibatkan transmisi data tidak terkontrol kepada penyedia layanan pihak ketiga tanpa perjanjian pemrosesan data.</t>
  </si>
  <si>
    <t>Unduhan data dalam jumlah besar yang berisi database prospek atau daftar nasabah oleh karyawan yang hendak keluar dari organisasi terhadap perangkat penyimpanan pribadi (USB flashdisk, hard drive eksternal) dengan tujuan untuk digunakan pada organisasi kompetitor mengakibatkan realisasi ancaman insider dan kehilangan aset intelektual.</t>
  </si>
  <si>
    <t>Penggunaan staf operasional terhadap alat shadow IT (aplikasi perpesanan pribadi WhatsApp, alat AI publik gratis) untuk memproses data rekam medis sensitif nasabah karena persepsi keterlambatan sistem internal mengakibatkan pemrosesan data yang tidak terkontrol melalui alat pihak ketiga yang tidak teruji.</t>
  </si>
  <si>
    <t>Non-kepatuhan terhadap kebijakan meja bersih dan prosedur kunci layar mengakibatkan dokumen sensitif terkait klaim bernilai tinggi tertinggal di area kerja yang tidak diawasi, atau perangkat laptop tetap menyala tanpa penguncian selama waktu istirahat karyawan, memungkinkan akses dan pengambilan dokumen oleh pihak tidak sah.</t>
  </si>
  <si>
    <t>Ketiadaan kontrol Data Loss Prevention (DLP) pada perangkat endpoint memungkinkan eksfiltrasi data tidak sah melalui salin-tempel data ke aplikasi berbasis web (WhatsApp Web, email pribadi), penyimpanan cloud pribadi, atau perangkat penyimpanan portable (USB flashdisk) tanpa deteksi atau pemblokiran sistem.</t>
  </si>
  <si>
    <t>Pertukaran data nasabah dalam skala besar terhadap pihak eksternal menggunakan protokol yang tidak aman atau usang (FTP tanpa enkripsi, SFTP tanpa verifikasi kunci, lampiran email dengan format terkompresi .zip dan kata sandi standar) tanpa mekanisme enkripsi komprehensif atau verifikasi integritas data.</t>
  </si>
  <si>
    <t>Akses agen asuransi terhadap sistem perusahaan kritis (portal penjualan, alat underwriting, database pelanggan) melalui perangkat mobile pribadi (smartphone, tablet) dengan kebijakan Bring Your Own Device (BYOD) tanpa mandat instalasi Mobile Device Management (MDM), enkripsi perangkat, atau mekanisme penghapusan data jarak jauh.</t>
  </si>
  <si>
    <t>Pelaksanaan rapat jarak jauh yang membahas informasi bisnis sensitif dan data kesehatan pribadi pelanggan bernilai tinggi (pejabat, selebriti) di ruang publik (kafe, ruang kerja bersama) tanpa perlengkapan privasi (headset untuk audio pribadi, privacy screen untuk layar perangkat) memungkinkan pendengar yang tidak sah (shoulder-surfing, eavesdropping) untuk mengakses informasi rahasia.</t>
  </si>
  <si>
    <t>Perjanjian kontrak dengan vendor penyedia layanan cloud atau administrator pihak ketiga (TPA rumah sakit) yang tidak mencakup klausul hak audit menghalangi organisasi untuk melakukan penilaian keamanan independen terhadap vendor, sehingga mengandalkan pernyataan keamanan vendor yang tidak terverifikasi.</t>
  </si>
  <si>
    <t>Berbagi data kesehatan pribadi nasabah terhadap mitra penyedia layanan (rumah sakit jaringan, administrator pihak ketiga, vendor percetakan polis) tanpa kesepakatan pemrosesan data (Data Processing Agreement) yang komprehensif sesuai persyaratan GDPR Pasal 28 atau Undang-Undang Perlindungan Data Pribadi menghasilkan kejelasan alokasi tanggung jawab yang tidak jelas dan perlindungan data kontraktual yang tidak memadai jika mitra mengalami pelanggaran keamanan.</t>
  </si>
  <si>
    <t>Berbagi data kesehatan pribadi nasabah terhadap mitra penyedia layanan (rumah sakit jaringan, administrator pihak ketiga, vendor percetakan polis) tanpa kesepakatan pemrosesan data (Data Processing Agreement) yang komprehensif sesuai Undang-Undang Perlindungan Data Pribadi menghasilkan kejelasan alokasi tanggung jawab yang tidak jelas dan perlindungan data kontraktual yang tidak memadai jika mitra mengalami pelanggaran keamanan.</t>
  </si>
  <si>
    <t>Implementasi masking data hanya pada layer database tanpa perlindungan komprehensif pada log aplikasi, parameter URL, respons API, pesan kesalahan, dan buku besar transaksi mengakibatkan eksposur data sensitif pada saluran tidak terenkripsi dan sistem agregasi log.</t>
  </si>
  <si>
    <t>Eksekusi kueri analitik yang tidak dioptimalkan (pemindaian tabel penuh, penggabungan tanpa indeks, agregasi berat) secara langsung terhadap basis data transaksi online produksi tanpa optimasi kueri, throttling sumber daya, atau pemisahan ke basis data analitik mengakibatkan penurunan performa sistem pemrosesan transaksi online.</t>
  </si>
  <si>
    <t>Perbedaan konfigurasi (configuration drift) antara basis data primer dan replika/infrastruktur pemulihan bencana disebabkan oleh prosedur pembaruan yang tidak terkoordinasi menghasilkan jeda replikasi yang tidak diketahui, perbedaan fitur yang tidak terdokumentasi, dan potensi inkonsistensi data yang ditemukan selama acara failover.</t>
  </si>
  <si>
    <t>Ketiadaan klasifikasi data eksplisit dan spesifikasi persyaratan enkripsi pada tingkat kolom basis data, dipadukan dengan kekurangan validasi QA terhadap implementasi enkripsi saat istirahat (encryption at rest) mengakibatkan penyimpanan data sensitif tanpa enkripsi pada basis data.</t>
  </si>
  <si>
    <t xml:space="preserve"> Informasi infrastruktur basis data yang diungkapkan atau mudah disimpulkan (produk basis data, port pendengaran, metode autentikasi, lokasi jaringan) memungkinkan ancaman siber melakukan upaya koneksi basis data langsung yang ditargetkan menggunakan pemecahan kata sandi kredensial atau eksploitasi kredensial default.
</t>
  </si>
  <si>
    <t>Infrastruktur penyimpanan cadangan dengan postur keamanan yang lebih rendah dibandingkan sistem produksi (enkripsi tidak memadai, kontrol akses permisif, akses tanpa pemantauan) memungkinkan ancaman siber menargetkan cadangan untuk injeksi malware atau pengracunan, memungkinkan kompromi persisten melalui proses pemulihan.</t>
  </si>
  <si>
    <t>Prosedur pemulihan bencana dan lokasi infrastruktur pemulihan yang dipublikasikan atau mudah ditemukan memungkinkan ancaman siber merencanakan waktu serangan terhadap proses pemulihan ketika sistem beroperasi dalam keadaan terdegradasi dengan efektivitas kontrol keamanan yang berkurang.</t>
  </si>
  <si>
    <t>Pengungkapan string koneksi basis data atau informasi endpoint (hardcoded dalam kode sumber, terlihat dalam log, terekspos melalui pesan kesalahan API) memungkinkan ancaman siber membuat koneksi basis data langsung, melewati kontrol keamanan layer aplikasi dan mekanisme autentikasi.</t>
  </si>
  <si>
    <t xml:space="preserve">Pemahaman lengkap terhadap arsitektur data (desain skema, hubungan tabel, lokasi data, lokasi cadangan, tujuan pengarsipan) memungkinkan ancaman siber merancang strategi eksfiltrasi data yang efisien, memprioritaskan data bernilai tinggi terhadap waktu ekstraksi terbatas, dan mengidentifikasi cadangan untuk kompromi.
</t>
  </si>
  <si>
    <t>Standar pengerasan basis data yang dipublikasikan dan baseline konfigurasi yang diketahui memungkinkan ancaman siber mengidentifikasi sistem yang tidak mematuhi standar, komponen yang sudah usang tanpa patch, atau deviasi kontrol keamanan terhadap baseline standar.</t>
  </si>
  <si>
    <t>Pengungkapan dokumentasi rencana kontinuitas bisnis dan pemulihan bencana terhadap lokasi infrastruktur cadangan, detail situs pemulihan, dan prosedur failover memungkinkan ancaman siber merencanakan serangan komprehensif terhadap sistem primer dan cadangan untuk dampak bisnis maksimal.</t>
  </si>
  <si>
    <t>Postur keamanan reaktif tanpa langganan intelijen ancaman proaktif, pemantauan ancaman spesifik industri, atau analisis tren musuh memungkinkan serangan yang mengejutkan dari kelompok ancaman yang dikenal menargetkan tumpukan teknologi spesifik tanpa peringatan sebelumnya atau persiapan.</t>
  </si>
  <si>
    <t xml:space="preserve">Dokumentasi pemodelan ancaman yang dibuat pada fase awal proyek tanpa pembaruan berkala terhadap perubahan arsitektur (migrasi microservices, adopsi cloud, integrasi baru) menghasilkan model ancaman yang usang, permukaan serangan yang terlewatkan, dan persyaratan keamanan yang tidak lengkap untuk arsitektur baru.
</t>
  </si>
  <si>
    <t>Periode retensi data yang dipublikasikan dan jadwal pembuangan memungkinkan ancaman siber merencanakan waktu pencurian data untuk memanfaatkan jendela kesempatan ketika data masih dapat diakses tetapi sebelum eksekusi penghapusan terjadwal untuk memaksimalkan volume eksfiltrasi.</t>
  </si>
  <si>
    <t>Pengungkapan dokumen Penilaian Dampak Privasi Data (DPIA) yang berisi identifikasi kesenjangan kepatuhan, kelemahan keamanan, dan eksposur risiko regulasi memungkinkan ancaman siber atau pesaing menggunakan informasi sebagai leverage untuk pemerasan atau intelijen kompetitif.</t>
  </si>
  <si>
    <t>Pemahaman terhadap persyaratan formulir proses bisnis dan alur kerja persetujuan memungkinkan ancaman siber merancang permintaan palsu yang tampak sah untuk social engineer pengguna yang berwenang agar memberikan akses tidak sah atau tindakan sensitif.</t>
  </si>
  <si>
    <t>Hasil latihan respons insiden yang terekspos mengungkapkan kesenjangan kemampuan tim, ekspektasi waktu respons, dan bottleneck yang diidentifikasi memungkinkan ancaman siber merancang skenario serangan yang secara spesifik memanfaatkan kelemahan yang diidentifikasi untuk memaksimalkan waktu hunian.</t>
  </si>
  <si>
    <t>Dokumentasi panduan respons insiden dan playbook yang merujuk pada alat usang, server yang dihentikan, atau staf yang telah keluar menghasilkan prosedur respons insiden yang tidak fungsional ketika insiden keamanan aktual terjadi, menyebabkan penundaan respons dan kebingungan operasional.</t>
  </si>
  <si>
    <t xml:space="preserve">Keberadaan dokumentasi rencana respons insiden dan rencana kontinuitas bisnis tanpa simulasi eksekusi aktual atau latihan meja (tabletop exercise) menghasilkan efektivitas prosedur yang tidak tervalidasi, personel yang tidak terlatih, dan koordinasi yang kacau ketika insiden keamanan nyata terjadi.
</t>
  </si>
  <si>
    <t>Pemahaman terhadap struktur pelaporan organisasi dan rantai wewenang memungkinkan ancaman siber merancang serangan social engineering yang ditargetkan menggunakan kedok kewenangan yang sah untuk meminta tindakan tidak sah dari personel.</t>
  </si>
  <si>
    <t>Katalog layanan yang dipublikasikan dengan penandaan layanan kritis dan penetapan persyaratan ketersediaan tinggi memungkinkan ancaman siber mengidentifikasi dan memprioritaskan serangan terhadap layanan bisnis kritis untuk dampak gangguan maksimal.</t>
  </si>
  <si>
    <t>Pengungkapan konfigurasi firewall atau postur firewall yang dapat disimpulkan memungkinkan ancaman siber merekayasa lalu lintas jaringan yang melewati aturan pemfilteran dan akses tidak sah terhadap sistem internal yang seharusnya tidak dapat diakses dari internet publik.</t>
  </si>
  <si>
    <t>Pengungkapan detail konfigurasi router dan switch terhadap aliran lalu lintas jaringan, arsitektur internal routing, dan topologi jaringan memungkinkan ancaman siber merancang serangan pergerakan lateral yang memanfaatkan kelemahan arsitektur routing.</t>
  </si>
  <si>
    <t>Dokumentasi rinci kerentanan keamanan yang belum ditambal pada platform wiki internal yang dapat diakses (Confluence, Notion) tanpa pembatasan akses yang sesuai memungkinkan ancaman insider untuk mengidentifikasi target eksploit dan akses luar jika platform internal dikompromikan.</t>
  </si>
  <si>
    <t>Standar konfigurasi pengerasan yang dipublikasikan memungkinkan ancaman siber mengidentifikasi parameter konfigurasi suboptimal, versi sistem operasi usang, layanan yang tidak perlu berjalan, atau deviasi konfigurasi terhadap baseline pengerasan yang dapat dieksploitasi.</t>
  </si>
  <si>
    <t xml:space="preserve">Pengetahuan terhadap implementasi baseline konfigurasi organisasi memungkinkan ancaman siber merancang eksploit yang ditargetkan secara khusus terhadap pola konfigurasi yang diketahui, meningkatkan tingkat keberhasilan eksploitasi dibandingkan serangan generik.
</t>
  </si>
  <si>
    <t>Pengungkapan detail perjanjian vendor dan hubungan bisnis memungkinkan ancaman siber melakukan pemerasan dengan ancaman pengungkapan istilah perjanjian sensitif atau gangguan hubungan bisnis untuk keuntungan finansial.</t>
  </si>
  <si>
    <t>Spesifikasi Perjanjian Tingkat Layanan (SLA) yang terperinci dengan pengungkapan persyaratan RTO/RPO yang ketat mengidentifikasi layanan bisnis kritis untuk ancaman siber agar memprioritaskan serangan dan memastikan dampak gangguan kontinuitas bisnis maksimal.</t>
  </si>
  <si>
    <t>Pengungkapan struktur VLAN dan batas segmen jaringan memungkinkan ancaman siber merancang teknik VLAN hopping atau memanfaatkan konfigurasi VLAN yang salah untuk menembus segmentasi jaringan yang seharusnya mengisolasi sistem kritis.</t>
  </si>
  <si>
    <t>Pengungkapan matriks kontrol akses antar-VLAN terhadap hubungan komunikasi yang diizinkan antar segmen jaringan memungkinkan ancaman siber memanfaatkan aturan routing yang permisif untuk pergerakan lateral dalam jalur komunikasi yang diizinkan.</t>
  </si>
  <si>
    <t xml:space="preserve">Pemahaman terhadap alur proses bisnis memungkinkan ancaman siber merancang serangan social engineering yang relevan secara kontekstual atau menyusun permintaan akses yang tampak sah berdasarkan alur proses bisnis normal.
</t>
  </si>
  <si>
    <t>Informasi terhadap jalur waktu proyek kritis dan tenggat waktu memungkinkan ancaman siber merencanakan waktu serangan untuk memanfaatkan jendela ketika kemampuan respons insiden organisasi terbagi antara tekanan pengiriman proyek dan respons insiden keamanan.</t>
  </si>
  <si>
    <t>Informasi terhadap peta jalan adopsi teknologi dan sistem yang akan segera digunakan memungkinkan ancaman siber melakukan penelitian kerentanan keamanan terhadap teknologi yang akan segera digunakan dan menyiapkan eksploit yang ditargetkan sebelum penerapan operasional teknologi.</t>
  </si>
  <si>
    <t>Informasi terhadap ambang batas toleransi risiko organisasi dan appetit risiko memungkinkan ancaman siber merancang strategi serangan terhadap area dengan toleransi risiko lebih tinggi di mana kontrol mitigasi mungkin tidak diimplementasikan atau kurang ketat.</t>
  </si>
  <si>
    <t>Pengungkapan peta jalan penghentian teknologi yang mengidentifikasi sistem legacy yang akan segera dihentikan memungkinkan ancaman siber menargetkan sistem dengan strategi eksploit agresif karena investasi remediasi sudah direncanakan untuk penghentian operasional.</t>
  </si>
  <si>
    <t>Penundaan atau ketidaklengkapan implementasi terhadap persyaratan regulasi (aturan pelokalan data per OJK, manajemen persetujuan per Undang-Undang Perlindungan Data Pribadi) menyebabkan pelanggaran kepatuhan yang berkelanjutan, eksposur penalti regulasi, dan pemrosesan data yang tidak terkontrol terhadap persyaratan yurisdiksi wajib.</t>
  </si>
  <si>
    <t xml:space="preserve">Ketiadaan dokumentasi Catatan Aktivitas Pemrosesan (RoPA) dan inventaris data menyebabkan kebutaan organisasi terhadap lokasi data, keterlibatan pemroses, tujuan pemrosesan, dan kategori data, menghalangi implementasi perlindungan data komprehensif dan penilaian kepatuhan regulasi.
</t>
  </si>
  <si>
    <t>Pengungkapan dokumentasi desain sistem teknis memungkinkan pihak tidak sah mengidentifikasi bottleneck, titik kegagalan tunggal, ketergantungan kritis, atau area dengan kepadatan kontrol keamanan lebih rendah untuk merencanakan serangan dengan tingkat keberhasilan lebih tinggi.</t>
  </si>
  <si>
    <t>Pengungkapan dokumentasi alur data terhadap lokasi penyimpanan data pelanggan bernilai tinggi, sistem pemrosesan, jalur transmisi, dan tujuan cadangan memungkinkan ancaman siber mengoptimalkan strategi pencurian data dengan menargetkan komponen infrastruktur spesifik.</t>
  </si>
  <si>
    <t>Pengungkapan dokumentasi topologi jaringan memungkinkan ancaman siber memetakan lanskap infrastruktur lengkap, mengidentifikasi sistem kritis, jalur komunikasi utama, perimeter keamanan, dan merencanakan serangan multi-tahap dengan penargetan presisi.</t>
  </si>
  <si>
    <t>Pengungkapan informasi topologi jaringan (rentang IP, identifikasi sistem, pola konektivitas) memungkinkan ancaman siber melakukan pemindaian jaringan yang ditargetkan untuk mengidentifikasi layanan responsif, versi yang rentan, dan port terbuka dengan tingkat keberhasilan lebih tinggi dibandingkan pemindaian luas.</t>
  </si>
  <si>
    <t>Pemahaman terhadap konten dan cakupan topik pelatihan kesadaran keamanan memungkinkan ancaman siber mengidentifikasi area kesenjangan kesadaran dan merancang serangan social engineering yang ditargetkan untuk memanfaatkan kesenjangan pengetahuan karyawan yang diidentifikasi.</t>
  </si>
  <si>
    <t>Pengungkapan hasil tes penetrasi dan laporan penilaian kerentanan memberikan ancaman siber visibilitas lengkap terhadap kerentanan yang diketahui, panduan eksploitasi, dan jalur waktu remediasi memungkinkan perencanaan serangan yang terinformasi dan penetapan prioritas terhadap kerentanan yang belum diperbaiki.</t>
  </si>
  <si>
    <t>Dokumentasi laporan tes penetrasi yang berisi langkah-langkah eksploitasi terperinci dipadukan dengan jalur waktu remediasi yang direncanakan memberikan ancaman siber jendela kesempatan yang tepat untuk memanfaatkan kerentanan sebelum penerapan patch keamanan.</t>
  </si>
  <si>
    <t>Prosedur pembuangan aset akhir masa pakai yang tidak mencakup penghapusan data aman atau proses degaussing untuk perangkat akhir masa pakai (laptop pensiun, server basis data lama) memungkinkan pemulihan data dari hardware yang dibuang dan akses tidak sah terhadap informasi sensitif.</t>
  </si>
  <si>
    <t>Kehilangan atau pencurian perangkat mobile yang tidak terenkripsi (laptop, tablet) tanpa enkripsi disk penuh wajib (BitLocker, FileVault, dm-crypt) memungkinkan akses langsung terhadap informasi sensitif yang disimpan tanpa persyaratan bypass kata sandi.</t>
  </si>
  <si>
    <t>Implementasi kerangka kerja tata kelola keamanan dilakukan eksklusif untuk memperoleh sertifikasi atau lulus audit regulasi tanpa perubahan operasional substansial atau transformasi budaya, menghasilkan keberadaan kontrol terdokumentasi tanpa implementasi kontrol efektif atau penegakan.</t>
  </si>
  <si>
    <t>Pengungkapan inventaris perangkat jaringan terhadap jenis perangkat yang beroperasi, versi, dan model memungkinkan ancaman siber melakukan penelitian kerentanan yang ditargetkan terhadap kerentanan perangkat yang diketahui dan menyiapkan eksploit khusus perangkat.</t>
  </si>
  <si>
    <t>Pengaktifan fitur Enterprise yang tidak disengaja pada sistem basis data (Enterprise SQL Server) tanpa kesadaran kepatuhan lisensi menyebabkan penyangga biaya lisensi yang tidak diharapkan dan potensi temuan audit.</t>
  </si>
  <si>
    <t>Dukungan sistem legacy terhadap versi TLS yang tidak direkomendasikan (TLS 1.0, TLS 1.1) pada portal menghadap pelanggan memungkinkan serangan penurunan TLS dan potensi serangan man-in-the-middle meskipun implementasi manajemen sertifikat modern.</t>
  </si>
  <si>
    <t>Kadaluarsa sertifikat SSL/TLS atau kunci enkripsi karena proses rotasi yang tidak otomatis menghasilkan gangguan layanan, potensi kerentanan Man-in-the-Middle, dan pelanggaran kepatuhan regulasi terhadap persyaratan enkripsi.</t>
  </si>
  <si>
    <t>Cakupan pelaporan dan pemantauan yang tidak memadai di seluruh arsitektur microservices karena ketiadaan agregasi log terpusat, pelacakan terdistribusi, dan jejak audit komprehensif memungkinkan kelewatan deteksi insiden keamanan dan investigasi forensik yang sulit.</t>
  </si>
  <si>
    <t>Pengungkapan kemampuan sistem Manajemen Perangkat Mobile (MDM) dan tata kelola aturan terhadap klasifikasi data, izin akses, dan lokasi penyimpanan memungkinkan ancaman siber mengoptimalkan strategi pencurian data terhadap data bernilai tinggi dengan lokasi yang dapat diakses.</t>
  </si>
  <si>
    <t>Pemahaman terhadap detail kebijakan tata kelola aturan memungkinkan ancaman siber mengidentifikasi kesenjangan aturan atau anomali dan menyusun permintaan akses yang memanfaatkan celah kebijakan yang diidentifikasi untuk akses data terbatas.</t>
  </si>
  <si>
    <t>Pengungkapan spesifikasi persyaratan non-fungsional terhadap kapasitas sistem dan batas performa mengungkapkan ambang batas serangan Denial of Service memungkinkan ancaman siber merancang serangan Denial of Service terhadap pembatas kapasitas spesifik.</t>
  </si>
  <si>
    <t>Pengungkapan kemampuan alat pemantauan keamanan dan cakupan memungkinkan ancaman siber mengidentifikasi area yang tidak dipantau dan jenis aktivitas yang menjadi vektor pergerakan lateral ideal untuk bergerak tanpa deteksi.</t>
  </si>
  <si>
    <t>Pengungkapan identitas dan informasi kontak pemimpin keamanan informasi atau pemimpin lainnya memungkinkan ancaman siber melakukan serangan keamanan fisik yang ditargetkan, penguntitan, atau upaya penculikan untuk social engineering atau ekstraksi informasi leverage.</t>
  </si>
  <si>
    <t>Keahlian tim teknis pemrosesan data tanpa pengetahuan domain bisnis (prinsip underwriting asuransi, pemrosesan klaim, prinsip aktuaria) menghasilkan risiko implementasi dan kesalahan logis dalam pemrosesan data yang tidak terdeteksi oleh QA teknis.</t>
  </si>
  <si>
    <t>Kompromi identitas administrator basis data memungkinkan ancaman siber untuk social engineer anggota tim tambahan menggunakan kedok pemeliharaan basis data yang sah untuk memperoleh kredensial tambahan atau akses basis data terhadap anggota tim lain.</t>
  </si>
  <si>
    <t>Penunjukan Officer Perlindungan Data (DPO) terhadap individu dengan tanggung jawab operasional yang ada (Kepala IT, Kepala Pemasaran) tanpa fokus khusus menghasilkan konflik kepentingan, keahlian hukum PDP yang tidak memadai, dan kemandirian organisasi yang tidak cukup untuk pengawasan kepatuhan PDP yang efektif.</t>
  </si>
  <si>
    <t xml:space="preserve">Karyawan yang tidak puas dengan sengaja menyelipkan kode jahat (backdoor, logic bomb, rutinitas eksfiltrasi data) ke dalam repositori aplikasi menyebabkan akses tidak sah yang persisten terhadap sistem produksi.
</t>
  </si>
  <si>
    <t>Insider atau karyawan yang keluar dengan pengetahuan terhadap kesenjangan kepatuhan yang diidentifikasi (masking data yang tidak memadai, kontrol PDP yang tidak diimplementasikan) melakukan pelaporan anonim kepada otoritas regulasi dengan bukti pendukung, memicu investigasi regulasi.</t>
  </si>
  <si>
    <t>Persyaratan penyelesaian pelatihan kesadaran keamanan tahunan wajib tanpa validasi efektivitas terhadap simulasi phishing atau pengukuran perilaku menghasilkan KPI kehadiran pelatihan tanpa peningkatan perilaku keamanan yang sesuai.</t>
  </si>
  <si>
    <t>Budaya manajemen insiden reaktif tanpa analisis akar penyebab dan manajemen masalah preventif menyebabkan insiden yang berulang, masalah mendasar yang tidak terselesaikan, dan postur operasional pemadaman api yang berkelanjutan.</t>
  </si>
  <si>
    <t>Ketiadaan katalog layanan IT formal dan proses permintaan layanan menghasilkan pengiriman layanan ad-hoc melalui saluran komunikasi informal (WhatsApp pribadi, kontak langsung), mencegah jejak audit, penegakan perjanjian tingkat layanan, dan akses yang adil untuk semua karyawan.</t>
  </si>
  <si>
    <t>Persepsi budaya keamanan organisasi sebagai fungsi pemblokiran (kaku, birokratis, persetujuan lambat) menyebabkan tim bisnis menghindari proses ulasan keamanan dan penerapan shadow IT tanpa penilaian keamanan.</t>
  </si>
  <si>
    <t>Indikator kesuksesan eksekusi pipa ETL (status hijau, eksekusi bebas kesalahan) tanpa validasi kualitas data komprehensif menghasilkan pemotongan data yang tidak terdeteksi, duplikasi, atau kesalahan transformasi terhadap akurasi data.</t>
  </si>
  <si>
    <t>Ketiadaan dokumentasi jejak data dan kemampuan pelacakan alur data mengakibatkan waktu investigasi yang diperpanjang untuk mengidentifikasi akar penyebab kesalahan data, remediasi kesalahan yang tertunda, dan blind spot terhadap cakupan masalah kualitas data.</t>
  </si>
  <si>
    <t>Ratusan pekerjaan ETL harian dengan ketergantungan yang tidak terdokumentasi dan arsitektur orkestrasi yang tidak jelas menghasilkan skenario kegagalan bertingkat dimana kegagalan pekerjaan tunggal memicu kegagalan pekerjaan hilir yang mempengaruhi seluruh output pelaporan.</t>
  </si>
  <si>
    <t>Penyimpanan kredensial basis data atau kunci API pihak ketiga yang dikodekan dalam skrip ETL atau konfigurasi alat integrasi tanpa sistem manajemen rahasia memungkinkan kompromi kredensial jika skrip atau file konfigurasi bocor.</t>
  </si>
  <si>
    <t>Skrip otomasi pelaporan regulasi  dengan kesalahan logis yang tidak terdeteksi menghasilkan pengiriman duplikat atau transmisi data tidak valid terhadap sistem regulasi.</t>
  </si>
  <si>
    <t xml:space="preserve"> Implementasi proses Change Advisory Board (CAB) yang kaku dengan persyaratan persetujuan luas untuk perubahan minor mengakibatkan penundaan penerapan perubahan, keterlibatan personel non-teknis yang luas, dan inefisiensi operasional.</t>
  </si>
  <si>
    <t>Keterlibatan QA yang tertunda terhadap fase definisi persyaratan dan keterlibatan hanya saat penyelesaian pengembangan (pendekatan fase berurutan Waterfall) mengakibatkan deteksi cacat yang terlambat, pekerjaan ulang yang luas, dan periode pengujian yang terkompresi.</t>
  </si>
  <si>
    <t>Pelaporan tim QA terhadap Project Manager atau pemimpin pengembangan menciptakan konflik kepentingan di mana tekanan pengiriman mengorbankan penilaian pengujian independen dan keputusan gating kualitas.</t>
  </si>
  <si>
    <t>Penyalahgunaan proses perubahan darurat (hotfix, patch produksi) yang sering sebagai mekanisme bypass terhadap persetujuan perubahan formal dan prosedur pengujian regresi komprehensif, membangun preseden budaya yang tidak sehat.</t>
  </si>
  <si>
    <t>Akumulasi data historis klaim, nasabah, dan transaksi yang belum dimanfaatkan secara optimal berpotensi menjadi aset yang tidak produktif — namun membuka peluang pengembangan model prediktif untuk deteksi fraud, pricing dinamis, dan personalisasi produk asuransi berbasis data</t>
  </si>
  <si>
    <t>Ketergantungan pada vendor tunggal untuk sistem core asuransi berpotensi menimbulkan vendor lock-in dan risiko keberlangsungan — namun membuka peluang negosiasi SLA yang lebih menguntungkan dan diversifikasi ekosistem teknologi yang meningkatkan daya tawar perusahaan</t>
  </si>
  <si>
    <t>Infrastruktur IT on-premise yang sudah mendekati end-of-life berpotensi menimbulkan biaya pemeliharaan tinggi dan risiko kegagalan sistem — namun membuka peluang migrasi ke cloud yang meningkatkan skalabilitas, fleksibilitas, dan efisiensi biaya infrastruktur jangka panjang</t>
  </si>
  <si>
    <t>Kesenjangan kompetensi digital pada personil IT dan bisnis berpotensi menghambat adopsi teknologi baru — namun membuka peluang investasi program pengembangan kompetensi yang meningkatkan kapabilitas organisasi dan daya saing dalam transformasi digital industri asuransi</t>
  </si>
  <si>
    <t>Proses underwriting dan klaim yang masih manual dan memakan waktu berpotensi menurunkan kepuasan nasabah — namun membuka peluang implementasi AI/ML untuk underwriting otomatis dan pemrosesan klaim cepat yang meningkatkan pengalaman nasabah dan efisiensi operasional</t>
  </si>
  <si>
    <t>Tidak adanya platform digital terintegrasi untuk interaksi nasabah berpotensi meningkatkan churn dan menurunkan loyalitas — namun membuka peluang pengembangan ekosistem digital omnichannel yang memperluas jangkauan pasar dan meningkatkan engagement nasabah secara berkelanjutan</t>
  </si>
  <si>
    <t>Regulasi OJK yang semakin ketat terkait keamanan siber dan perlindungan data berpotensi meningkatkan beban kepatuhan — namun membuka peluang membangun postur keamanan kelas dunia yang menjadi diferensiasi kompetitif dan meningkatkan kepercayaan nasabah terhadap perusahaan</t>
  </si>
  <si>
    <t>Tingginya volume recurring ticket dan keluhan operasional yang tidak terselesaikan secara permanen berpotensi memboroskan sumber daya — namun membuka peluang transformasi fungsi IT Support menjadi strategic business partner melalui implementasi self-service portal dan knowledge base yang meningkatkan produktivitas seluruh organisasi</t>
  </si>
  <si>
    <t>Meningkatnya kompleksitas ancaman siber yang tidak dapat ditangani secara manual berpotensi melampaui kapasitas tim keamanan — namun membuka peluang implementasi AI-powered Security Operations Center (SOC) yang memanfaatkan Machine Learning untuk deteksi anomali real-time, threat hunting otomatis, dan respons insiden yang lebih cepat dan akurat dari kapabilitas manusia</t>
  </si>
  <si>
    <t>Proliferasi penggunaan Generative AI oleh seluruh personil tanpa tata kelola yang memadai berpotensi menimbulkan kebocoran data dan pelanggaran HKI — namun membuka peluang penyusunan AI Governance Framework yang menjadi kerangka penggunaan AI yang bertanggung jawab, meningkatkan produktivitas organisasi secara terukur sekaligus membangun kepercayaan regulator dan nasabah terhadap praktik AI perusahaan</t>
  </si>
  <si>
    <t>Ketidakmampuan mendeteksi dan merespons ancaman siber secara proaktif sebelum terjadi dampak berpotensi memperpanjang waktu eksposur dan kerugian — namun membuka peluang implementasi Cyber Threat Intelligence berbasis AI yang secara otomatis mengagregasi, menganalisis, dan memprioritaskan ancaman relevan bagi industri asuransi, memungkinkan tim keamanan beralih dari postur reaktif menjadi prediktif</t>
  </si>
  <si>
    <t>Kompleksitas proses klaim asuransi yang membutuhkan verifikasi dokumen fisik secara manual berpotensi memperlambat resolusi dan menurunkan kepuasan nasabah — namun membuka peluang implementasi AI Document Intelligence yang mampu membaca, memvalidasi, dan mengekstrak informasi dari dokumen klaim secara otomatis, memangkas waktu pemrosesan klaim dari hari menjadi menit dan menjadikan kecepatan klaim sebagai keunggulan kompetitif yang terukur</t>
  </si>
  <si>
    <t>Ketidakmampuan mendeteksi pola fraud klaim yang semakin canggih dan terorganisir berpotensi meningkatkan loss ratio perusahaan secara signifikan — namun membuka peluang pengembangan Graph Neural Network untuk pemetaan jaringan fraud yang menghubungkan entitas tersembunyi seperti nasabah, bengkel, rumah sakit, dan agen yang berkolusi, menghasilkan kemampuan deteksi fraud yang melampaui batas analitik konvensional dan langsung berdampak pada profitabilitas</t>
  </si>
  <si>
    <t>Aset pengetahuan teknis dan domain expertise tim IT yang tersimpan secara implisit pada individu berpotensi hilang permanen akibat turnover — namun membuka peluang pembangunan Internal AI Assistant berbasis Large Language Model yang dilatih pada seluruh dokumentasi internal perusahaan, menjadi knowledge multiplier yang mempercepat onboarding, mengurangi ketergantungan keyperson, dan meningkatkan kapabilitas seluruh tim secara eksponensial</t>
  </si>
  <si>
    <t>Postur keamanan siber perusahaan yang dibangun melalui investasi panjang dalam sertifikasi dan implementasi ISMS berpotensi dipandang hanya sebagai kewajiban regulasi — namun membuka peluang komersialisasi kepercayaan digital sebagai proposisi nilai kepada nasabah korporat dan mitra reasuransi global, di mana postur keamanan yang terverifikasi menjadi diferensiasi yang memenangkan kontrak bernilai tinggi di segmen B2B</t>
  </si>
  <si>
    <t>Ketergantungan pada jadwal pemeliharaan rutin yang tidak mempertimbangkan kondisi aktual infrastruktur berpotensi menghasilkan downtime yang tidak terencana maupun pemborosan biaya maintenance yang tidak diperlukan — namun membuka peluang implementasi AIOps dan Predictive Maintenance yang memanfaatkan machine learning untuk memprediksi kegagalan infrastruktur sebelum terjadi, mengoptimalkan jadwal maintenance berbasis kondisi real dan menggeser paradigma pengelolaan infrastruktur dari reaktif menjadi prediktif</t>
  </si>
  <si>
    <t>Meningkatnya intensitas serangan siber berbasis identitas dan kredensial yang menargetkan industri asuransi; tekanan regulasi OJK yang mensyaratkan kontrol akses yang semakin granular; keterbatasan paradigma perimeter security konvensional dalam mengakomodasi model kerja hybrid dan akses multi-cloud</t>
  </si>
  <si>
    <t>Peningkatan postur keamanan secara menyeluruh melalui model verifikasi berkelanjutan yang tidak bergantung pada perimeter jaringan; pengurangan eksposur akibat serangan berbasis kredensial yang dicuri; fasilitasi fleksibilitas akses tenaga kerja digital yang mendukung produktivitas; potensi diferensiasi kompetitif di segmen nasabah korporat yang mensyaratkan standar keamanan tinggi</t>
  </si>
  <si>
    <t>Peningkatan serangan identity-based secara global yang memperkuat justifikasi bisnis; regulasi keamanan siber yang semakin ketat mendorong adopsi model zero trust; kompetitor yang mengadopsi ZTA lebih awal berpotensi memenangkan segmen nasabah korporat yang sensitif terhadap keamanan</t>
  </si>
  <si>
    <t>Keterbatasan anggaran untuk investasi solusi ZTA yang komprehensif; gap knowledge internal terkait arsitektur dan implementasi Zero Trust; infrastruktur existing yang memerlukan adaptasi bertahap untuk mendukung model ZTA; tidak adanya roadmap adopsi ZTA yang terdokumentasi</t>
  </si>
  <si>
    <t>Pembatasan akses ke server telah diterapkan sebagai kontrol dasar; implementasi DMZ sudah berjalan sebagai segmentasi jaringan awal; namun paradigma yang digunakan masih berbasis perimeter security konvensional yang belum mencerminkan prinsip Zero Trust</t>
  </si>
  <si>
    <t>5.1 – Kepemimpinan dan komitmen; 
6.1 – Tindakan untuk menangani risiko dan peluang; 
8.1 – Perencanaan dan pengendalian operasional</t>
  </si>
  <si>
    <t>A.5.15 – Manajemen akses; 
A.8.2 – Hak akses istimewa; 
A.8.5 – Autentikasi aman; 
A.8.20 – Keamanan jaringan</t>
  </si>
  <si>
    <r>
      <rPr>
        <b/>
        <sz val="10"/>
        <color theme="1"/>
        <rFont val="Montserrat"/>
      </rPr>
      <t>Tinggi</t>
    </r>
    <r>
      <rPr>
        <sz val="10"/>
        <color theme="1"/>
        <rFont val="Montserrat"/>
      </rPr>
      <t xml:space="preserve"> — perusahaan memiliki ambisi untuk mengkapitalisasi peluang ini secara aktif mengingat dampak strategisnya pada postur keamanan jangka panjang dan potensi diferensiasi kompetitif, meskipun realisasinya perlu dilakukan secara bertahap sesuai kapasitas anggaran dan knowledge yang tersedia</t>
    </r>
  </si>
  <si>
    <r>
      <rPr>
        <b/>
        <sz val="10"/>
        <color theme="1"/>
        <rFont val="Montserrat"/>
      </rPr>
      <t>Sedang</t>
    </r>
    <r>
      <rPr>
        <sz val="10"/>
        <color theme="1"/>
        <rFont val="Montserrat"/>
      </rPr>
      <t xml:space="preserve"> — perusahaan masih dapat menunda realisasi penuh peluang ini selama nilai manfaat yang belum terealisasi ≤ dampak level Sedang; jika ancaman berbasis identitas sudah berdampak aktif pada sistem perusahaan, realisasi peluang ini wajib dieskalasi sebagai prioritas investasi. 
Sebagai syarat minimum untuk mulai mengkapitalisasi peluang, organisasi wajib memastikan telah tersedia: (1) roadmap adopsi ZTA bertahap yang terdokumentasi dan telah mendapat persetujuan manajemen sebagai arah strategis, dan (2) alokasi anggaran pilot project ZTA minimal untuk satu domain prioritas tinggi sebagai proof of concept</t>
    </r>
  </si>
  <si>
    <t>(1) Manfaatkan setiap insiden keamanan berbasis identitas yang terjadi sebagai momentum untuk mempresentasikan justifikasi bisnis ZTA kepada manajemen senior dengan data dampak yang konkret; (2) segera dokumentasikan quick win yang dapat dicapai dari implementasi parsial ZTA pada domain prioritas sebagai bukti nilai untuk mendukung persetujuan anggaran lebih lanjut; (3) jalin komunikasi dengan vendor ZTA yang menawarkan model adopsi bertahap dan berbiaya rendah di awal untuk mengakomodasi keterbatasan anggaran; (4) eskalasi roadmap ZTA ke manajemen senior dengan framing investasi keamanan sebagai enabler bisnis bukan cost center</t>
  </si>
  <si>
    <t>(Peluang) Susun roadmap adopsi ZTA bertahap berbasis kapasitas anggaran dan knowledge internal; mulai dengan implementasi komponen ZTA bernilai tinggi seperti MFA universal dan PAM sebagai fondasi awal; bangun business case ZTA yang mengkuantifikasi potensi penghematan biaya insiden versus investasi</t>
  </si>
  <si>
    <t>Pembatasan akses server dan DMZ sudah berjalan sebagai fondasi awal yang dapat menjadi titik start adopsi ZTA, namun keterbatasan anggaran dan knowledge masih menjadi hambatan utama realisasi, peluang belum dikapitalisasi, status New - Open dan menjadi prioritas strategis untuk segera disusun business case dan roadmap adopsi ZTA sebelum momentum justifikasi dari ancaman yang meningkat terlewatkan</t>
  </si>
  <si>
    <t>Personel CTIO berkoordinasi dengan Personel Security Analyst, Personel IT Governance, dan Personel IT Infra - Sysadmin</t>
  </si>
  <si>
    <t>Meningkatnya volume dan kompleksitas ancaman siber yang melampaui kapasitas penanganan manual tim keamanan; ketersediaan teknologi AI/ML untuk deteksi anomali yang semakin terjangkau dan dapat dikembangkan di atas platform open-source yang sudah ada; tekanan regulasi yang mendorong peningkatan kapabilitas deteksi dan respons insiden secara berkelanjutan</t>
  </si>
  <si>
    <t>Peningkatan Mean Time to Detect dan Mean Time to Respond yang signifikan melalui otomatisasi berbasis AI; kemampuan threat hunting proaktif yang melampaui kapabilitas analisis manual; optimalisasi kapasitas personil keamanan untuk fokus pada investigasi bernilai tinggi; peningkatan postur keamanan organisasi yang terukur dan dapat dilaporkan kepada regulator dan manajemen</t>
  </si>
  <si>
    <t>Peningkatan serangan siber yang tersegmentasi dan menargetkan industri asuransi secara spesifik; shortage analis keamanan global yang membuat rekrutmen personil SOC semakin sulit dan mahal; kompetitor yang mengadopsi AI-powered SOC lebih awal berpotensi memiliki postur keamanan yang lebih unggul</t>
  </si>
  <si>
    <t>Tidak adanya anggaran khusus untuk pengembangan AI-powered SOC; gap kompetensi personil dalam bidang AI/ML untuk aplikasi keamanan; seluruh proses monitoring dan respons masih manual sehingga memerlukan perubahan proses yang signifikan; tidak adanya roadmap pengembangan SOC yang terdokumentasi</t>
  </si>
  <si>
    <t>Kebijakan dan SOP keamanan informasi telah tersedia sebagai kerangka operasional; EDR dan MDR telah diimplementasikan sebagai lapisan perlindungan endpoint; platform SIEM Wazuh telah aktif sebagai fondasi agregasi log; namun seluruh proses monitoring, deteksi, dan respons masih dilaksanakan secara manual tanpa otomatisasi berbasis kecerdasan buatan</t>
  </si>
  <si>
    <t>A.8.15 – Logging; 
A.8.16 – Aktivitas pemantauan; 
A.5.25 – Asesmen dan keputusan terkait peristiwa keamanan informasi; 
A.5.26 – Respons terhadap insiden keamanan informasi</t>
  </si>
  <si>
    <r>
      <rPr>
        <b/>
        <sz val="10"/>
        <color theme="1"/>
        <rFont val="Montserrat"/>
      </rPr>
      <t>Tinggi</t>
    </r>
    <r>
      <rPr>
        <sz val="10"/>
        <color theme="1"/>
        <rFont val="Montserrat"/>
      </rPr>
      <t xml:space="preserve"> — perusahaan memiliki ambisi untuk mengkapitalisasi peluang ini secara aktif mengingat fondasi teknis yang sudah tersedia dapat dijadikan titik awal pengembangan bertahap tanpa memerlukan investasi besar di awal, sementara manfaat strategis yang dihasilkan bersifat jangka panjang dan berkelanjutan</t>
    </r>
  </si>
  <si>
    <r>
      <rPr>
        <b/>
        <sz val="10"/>
        <color theme="1"/>
        <rFont val="Montserrat"/>
      </rPr>
      <t>Sedang</t>
    </r>
    <r>
      <rPr>
        <sz val="10"/>
        <color theme="1"/>
        <rFont val="Montserrat"/>
      </rPr>
      <t xml:space="preserve"> — perusahaan masih dapat menunda realisasi penuh peluang ini selama kapabilitas manual masih dapat menangani volume ancaman yang ada; jika volume ancaman sudah melampaui kapasitas tim secara konsisten, realisasi peluang ini wajib dieskalasi sebagai prioritas investasi. Sebagai syarat minimum untuk mulai mengkapitalisasi peluang, organisasi wajib memastikan telah tersedia: (1) roadmap pengembangan AI-powered SOC bertahap yang terdokumentasi dan mendapat persetujuan manajemen, dan (2) alokasi kapasitas personil atau anggaran untuk pengembangan use case deteksi anomali pertama berbasis Wazuh yang sudah tersedia</t>
    </r>
  </si>
  <si>
    <t>(1) Manfaatkan setiap insiden keamanan yang terjadi sebagai bukti konkret keterbatasan kapasitas manual untuk memperkuat justifikasi bisnis AI-powered SOC kepada manajemen senior; (2) segera demonstrasikan quick win dengan mengembangkan rule deteksi anomali sederhana berbasis ML pada Wazuh yang sudah ada sebagai proof of concept berbiaya rendah; (3) eksplorasi kemitraan dengan MSSP yang menawarkan AI-powered SOC as a Service sebagai opsi bridge sambil membangun kapabilitas internal secara bertahap; (4) eskalasi roadmap AI SOC kepada manajemen dengan framing peningkatan efisiensi operasional dan pengurangan risiko sebagai proposisi nilai utama</t>
  </si>
  <si>
    <t>Susun roadmap pengembangan AI-powered SOC bertahap berbasis fondasi Wazuh yang sudah ada; mulai dengan pengembangan use case deteksi anomali sederhana sebagai quick win; bangun business case yang mengkuantifikasi efisiensi operasional versus investasi</t>
  </si>
  <si>
    <t>Personel Security Analyst berkoordinasi dengan Personel CTIO, Personel IT Governance, dan Personel DevSecOps</t>
  </si>
  <si>
    <t>Wazuh, EDR/MDR, kebijakan dan SOP sudah berjalan sebagai fondasi yang kuat untuk dikembangkan, namun seluruh proses masih manual dan peluang belum dikapitalisasi sama sekali, status New - Open dan menjadi prioritas strategis untuk segera disusun business case dan dimulai proof of concept deteksi anomali berbasis Wazuh sebagai langkah pertama yang berbiaya rendah</t>
  </si>
  <si>
    <t xml:space="preserve"> - Kembangkan proof of concept deteksi anomali berbasis Wazuh — manfaatkan kapabilitas Wazuh yang sudah ada untuk mengembangkan rule deteksi anomali sederhana berbasis pola perilaku; gunakan hasil sebagai demonstrasi nilai AI SOC kepada manajemen tanpa memerlukan investasi tools tambahan di tahap awal
 - Susun business case AI-powered SOC berbasis kuantifikasi kapabilitas vs ancaman — dokumentasikan gap antara volume ancaman aktual dengan kapasitas penanganan manual tim saat ini; kuantifikasi potensi pengurangan MTTR dan efisiensi operasional sebagai justifikasi investasi kepada manajemen senior
 - Evaluasi opsi MSSP AI SOC as a Service sebagai bridge — kaji penyedia layanan Managed SOC berbasis AI yang dapat memberikan kapabilitas segera sambil tim internal membangun kompetensi; bandingkan biaya versus nilai manfaat sebagai opsi akselerasi realisasi peluang dalam keterbatasan anggaran
 - Bangun kompetensi AI/ML untuk keamanan pada personil kunci — identifikasi personil Security Analyst yang memiliki potensi untuk dikembangkan dalam bidang AI untuk keamanan; investasikan dalam pelatihan dan sertifikasi yang relevan sebagai fondasi kapabilitas internal jangka panjang</t>
  </si>
  <si>
    <t>Peningkatan akurasi pengambilan keputusan bisnis dan eliminasi fragmentasi data lintas sistem berpotensi terwujud melalui pengembangan Enterprise Data Platform terpusat — memanfaatkan fondasi DWH yang sudah ada dan dukungan manajemen yang telah terbentuk sebagai modal utama realisasi</t>
  </si>
  <si>
    <t>Kebutuhan laporan lintas sistem yang semakin sering memunculkan inkonsistensi data sebagai pain point nyata; adanya awareness dan dorongan manajemen yang memberikan momentum strategis; perkembangan teknologi data platform yang semakin terjangkau dan dapat diadopsi secara bertahap di atas infrastruktur yang sudah ada</t>
  </si>
  <si>
    <t>Tersedianya single source of truth yang meningkatkan akurasi dan konsistensi seluruh laporan bisnis lintas sistem; percepatan waktu penyediaan laporan analitik yang meningkatkan efisiensi operasional; fondasi data yang kuat untuk pengembangan kapabilitas analitik lanjutan seperti predictive analytics dan AI/ML; peningkatan kepercayaan manajemen terhadap data sebagai dasar pengambilan keputusan strategis</t>
  </si>
  <si>
    <t>Meningkatnya kompleksitas kebutuhan pelaporan regulasi OJK yang mensyaratkan data yang akurat dan konsisten; kompetitor yang sudah mengadopsi Enterprise Data Platform memiliki keunggulan kecepatan analitik dalam pengambilan keputusan bisnis; pertumbuhan volume data yang semakin besar membuat fragmentasi semakin sulit dikelola secara manual</t>
  </si>
  <si>
    <t>Penyebab / Faktor Pendorong</t>
  </si>
  <si>
    <t>Akibat / Manfaat</t>
  </si>
  <si>
    <t>Ancaman / Pendorong Eksternal</t>
  </si>
  <si>
    <t>Kerentanan / Hambatan Realisasi</t>
  </si>
  <si>
    <t>DWH sudah berjalan sebagai fondasi yang kuat dan dukungan manajemen sudah terbentuk sebagai modal utama, namun peluang belum dikapitalisasi secara terstruktur dan roadmap pengembangan belum ada, status New - Open dan menjadi prioritas strategis untuk segera disusun roadmap dan dimulai proof of concept integrasi data prioritas tinggi sebelum momentum dukungan manajemen melemah</t>
  </si>
  <si>
    <t>Keterbatasan kapasitas server yang membatasi ekspansi platform data; keterbatasan anggaran untuk investasi infrastruktur dan tools data platform tambahan; keterbatasan waktu tim untuk eksplorasi dan implementasi arsitektur data yang lebih komprehensif; tidak adanya roadmap pengembangan Enterprise Data Platform yang terdokumentasi</t>
  </si>
  <si>
    <t>Data Warehouse telah diimplementasikan sebagai fondasi pengelolaan data analitik; namun cakupannya belum mencakup seluruh sumber data lintas sistem secara terintegrasi, sehingga kebutuhan laporan lintas sistem masih menghasilkan fragmentasi yang mengurangi akurasi pengambilan keputusan</t>
  </si>
  <si>
    <t>A.8.1 – Perangkat pengguna akhir; 
A.5.37 – Prosedur operasi yang terdokumentasi; 
A.8.25 – Siklus hidup pengembangan yang aman</t>
  </si>
  <si>
    <r>
      <rPr>
        <b/>
        <sz val="10"/>
        <color theme="1"/>
        <rFont val="Montserrat"/>
      </rPr>
      <t>Tinggi</t>
    </r>
    <r>
      <rPr>
        <sz val="10"/>
        <color theme="1"/>
        <rFont val="Montserrat"/>
      </rPr>
      <t xml:space="preserve"> — perusahaan memiliki ambisi untuk mengkapitalisasi peluang ini secara aktif mengingat fondasi DWH yang sudah tersedia dan dukungan manajemen yang sudah terbentuk menciptakan kondisi paling kondusif untuk memulai pengembangan bertahap tanpa harus membangun dari nol</t>
    </r>
  </si>
  <si>
    <t>Sedang — perusahaan masih dapat menunda realisasi penuh selama fragmentasi data belum berdampak signifikan pada keputusan bisnis kritis; jika inkonsistensi data mulai mempengaruhi pelaporan regulasi atau keputusan strategis secara konsisten, realisasi peluang ini wajib dieskalasi sebagai prioritas investasi. 
Sebagai syarat minimum untuk mulai mengkapitalisasi peluang, organisasi wajib memastikan telah tersedia: (1) roadmap pengembangan Enterprise Data Platform bertahap yang terdokumentasi dan mendapat persetujuan manajemen sebagai komitmen strategis, dan (2) inventarisasi seluruh sumber data lintas sistem yang perlu diintegrasikan sebagai dasar perencanaan arsitektur</t>
  </si>
  <si>
    <t>(1) Manfaatkan setiap permintaan laporan lintas sistem yang tidak dapat dipenuhi secara akurat sebagai dokumentasi pain point konkret untuk memperkuat justifikasi bisnis kepada manajemen; (2) demonstrasikan quick win dengan mengintegrasikan satu sumber data prioritas tinggi ke dalam DWH yang sudah ada sebagai proof of concept berbiaya rendah; (3) manfaatkan momentum dukungan manajemen untuk mengajukan alokasi anggaran pilot project dalam siklus perencanaan anggaran berikutnya; (4) eskalasi roadmap Enterprise Data Platform kepada manajemen dengan framing peningkatan kualitas keputusan bisnis dan efisiensi operasional sebagai proposisi nilai utama</t>
  </si>
  <si>
    <t>Pencegahan / Peluang</t>
  </si>
  <si>
    <t>Susun roadmap pengembangan Enterprise Data Platform bertahap berbasis DWH yang sudah ada; lakukan inventarisasi sumber data lintas sistem yang perlu diintegrasikan; mulai dengan integrasi sumber data prioritas tinggi sebagai quick win; bangun business case yang mengkuantifikasi nilai bisnis single source of truth</t>
  </si>
  <si>
    <t>Personel Data Management</t>
  </si>
  <si>
    <t xml:space="preserve"> - Lakukan inventarisasi menyeluruh sumber data lintas sistem — identifikasi seluruh sistem yang menghasilkan data bisnis kritis, petakan hubungan antar sumber data, dan identifikasi sumber fragmentasi utama yang paling sering menimbulkan inkonsistensi dalam laporan bisnis sebagai dasar prioritas integrasi
 - Susun roadmap Enterprise Data Platform bertahap dan presentasikan ke manajemen — dokumentasikan jalur pengembangan yang dimulai dari perluasan cakupan DWH yang sudah ada; bagi dalam fase yang dapat disesuaikan dengan ketersediaan server dan anggaran; manfaatkan momentum dukungan manajemen untuk mendapatkan komitmen strategis dan alokasi anggaran
 - Demonstrasikan proof of concept integrasi sumber data prioritas tinggi — mulai dengan mengintegrasikan satu atau dua sumber data yang paling sering menyebabkan fragmentasi ke dalam DWH yang sudah ada; gunakan hasil sebagai bukti nilai nyata untuk mendukung perluasan investasi
 - Evaluasi optimasi kapasitas server existing untuk mendukung ekspansi DWH — kaji opsi peningkatan kapasitas yang tersedia dalam keterbatasan anggaran seperti kompresi data, tiered storage, atau arsitektur cloud hybrid sebagai solusi keterbatasan resource tanpa investasi infrastruktur besar di awal</t>
  </si>
  <si>
    <t>Peningkatan efisiensi operasional IT yang signifikan dan eliminasi human error secara sistematis berpotensi terwujud — melalui perluasan kapabilitas otomatisasi yang sudah terbukti berjalan ke seluruh proses operasional yang teridentifikasi belum diotomatisasi melalui gap analisis yang terstruktur</t>
  </si>
  <si>
    <t>Keterbatasan personil yang mendorong kebutuhan otomatisasi sebagai solusi efisiensi kapasitas; fondasi otomatisasi yang sudah terbukti berjalan pada beberapa domain memberikan kepercayaan teknis untuk perluasan; meningkatnya kompleksitas operasional IT yang tidak dapat diselesaikan dengan penambahan personil semata</t>
  </si>
  <si>
    <t>Pengurangan beban kerja manual yang membebaskan kapasitas personil untuk fokus pada tugas bernilai lebih tinggi; eliminasi human error pada proses repetitif yang meningkatkan keandalan operasional; percepatan eksekusi proses operasional yang meningkatkan kecepatan delivery layanan IT; pengurangan biaya operasional jangka panjang yang dapat dialokasikan ke inisiatif strategis bisnis</t>
  </si>
  <si>
    <t>Pertumbuhan kompleksitas operasional IT yang melebihi kapasitas penambahan personil; tekanan efisiensi biaya yang mendorong optimasi proses sebagai prioritas; perkembangan tools otomatisasi open-source yang semakin matang dan dapat diadopsi tanpa investasi lisensi signifikan</t>
  </si>
  <si>
    <t>Belum ada gap analisis menyeluruh yang memetakan seluruh proses yang berpotensi diotomatisasi; keterbatasan personil yang mengerjakan otomatisasi sambil menjalankan operasional harian; prioritas anggaran IT yang lebih diarahkan ke kebutuhan bisnis daripada efisiensi internal; tidak adanya roadmap otomatisasi yang terstruktur sebagai panduan perluasan bertahap</t>
  </si>
  <si>
    <t>Otomatisasi proses telah diimplementasikan pada beberapa domain operasional IT meliputi deployment melalui Jenkins CI/CD pipeline, penjadwalan background scheduler pada aplikasi, dan eksekusi tugas terjadwal melalui cronjob pada sistem administrasi; namun belum terdapat gap analisis menyeluruh yang memetakan potensi perluasan otomatisasi secara strategis</t>
  </si>
  <si>
    <t>A.5.37 – Prosedur operasi yang terdokumentasi; 
A.8.6 – Manajemen kapasitas; 
A.8.25 – Siklus hidup pengembangan yang aman</t>
  </si>
  <si>
    <r>
      <rPr>
        <b/>
        <sz val="10"/>
        <color theme="1"/>
        <rFont val="Montserrat"/>
      </rPr>
      <t>Tinggi</t>
    </r>
    <r>
      <rPr>
        <sz val="10"/>
        <color theme="1"/>
        <rFont val="Montserrat"/>
      </rPr>
      <t xml:space="preserve"> — perusahaan memiliki ambisi untuk mengkapitalisasi peluang ini secara aktif mengingat fondasi otomatisasi yang sudah terbukti berjalan membuat perluasan dapat dilakukan secara inkremental dengan risiko implementasi yang rendah dan dampak efisiensi yang langsung terukur</t>
    </r>
  </si>
  <si>
    <r>
      <rPr>
        <b/>
        <sz val="10"/>
        <color theme="1"/>
        <rFont val="Montserrat"/>
      </rPr>
      <t>Sedang</t>
    </r>
    <r>
      <rPr>
        <sz val="10"/>
        <color theme="1"/>
        <rFont val="Montserrat"/>
      </rPr>
      <t xml:space="preserve"> — perusahaan masih dapat beroperasi dengan level otomatisasi saat ini selama beban operasional manual masih dapat ditangani oleh personil yang ada; jika volume operasional manual sudah secara konsisten melampaui kapasitas tim, realisasi peluang ini wajib dieskalasi sebagai prioritas. 
Sebagai syarat minimum untuk mulai mengkapitalisasi peluang, organisasi wajib memastikan telah tersedia: (1) gap analisis proses operasional IT yang mengidentifikasi dan memprioritaskan seluruh proses berpotensi diotomatisasi berdasarkan nilai efisiensi dan kompleksitas implementasi, dan (2) roadmap otomatisasi bertahap yang terdokumentasi sebagai panduan perluasan yang terstruktur</t>
    </r>
  </si>
  <si>
    <t>(1) Dokumentasikan setiap insiden human error atau bottleneck operasional yang terjadi sebagai justifikasi konkret untuk memprioritaskan otomatisasi proses terdampak; (2) identifikasi quick win otomatisasi yang dapat diimplementasikan dalam waktu singkat menggunakan tools yang sudah tersedia seperti Jenkins atau cronjob untuk membuktikan nilai tambah secara cepat; (3) presentasikan hasil quick win kepada manajemen sebagai bukti ROI otomatisasi untuk mendapatkan alokasi kapasitas personil atau anggaran yang lebih besar; (4) eskalasi roadmap otomatisasi kepada manajemen dengan framing pengurangan biaya operasional jangka panjang dan peningkatan keandalan layanan IT</t>
  </si>
  <si>
    <t>Lakukan gap analisis menyeluruh untuk mengidentifikasi proses yang belum diotomatisasi; susun roadmap otomatisasi bertahap berbasis prioritas nilai efisiensi; mulai dengan quick win pada proses berulang dan bernilai tinggi menggunakan tools yang sudah tersedia</t>
  </si>
  <si>
    <t>Jenkins, background scheduler, dan cronjob sudah berjalan sebagai fondasi otomatisasi yang terbukti kuat, namun gap analisis menyeluruh dan roadmap perluasan belum ada sehingga potensi efisiensi yang lebih besar belum dikapitalisasi, status New - Open dan menjadi prioritas strategis untuk segera dilakukan gap analisis dan disusun roadmap otomatisasi bertahap</t>
  </si>
  <si>
    <t xml:space="preserve"> - Lakukan gap analisis menyeluruh proses operasional IT — identifikasi dan inventarisasi seluruh proses repetitif yang masih dilakukan secara manual; kategorikan berdasarkan frekuensi eksekusi, potensi human error, dan kompleksitas implementasi otomatisasi; urutkan prioritas berdasarkan rasio nilai efisiensi terhadap effort implementasi
 - Susun roadmap otomatisasi bertahap dan presentasikan ke manajemen — dokumentasikan jalur perluasan otomatisasi yang dapat dieksekusi secara inkremental menggunakan tools yang sudah tersedia; kuantifikasi estimasi penghematan waktu dan pengurangan error per proses sebagai justifikasi bisnis yang terukur
 - Implementasi quick win otomatisasi pada proses prioritas — mulai dengan mengotomatisasi proses yang paling sering dikerjakan manual, bervolume tinggi, dan dapat diselesaikan menggunakan Jenkins atau cronjob yang sudah tersedia; dokumentasikan hasil penghematan sebagai bukti ROI yang konkret
 - Eksplorasi RPA dan low-code automation untuk proses bisnis lintas sistem — evaluasi tools Robotic Process Automation open-source atau low-code yang dapat mengotomatisasi proses yang melibatkan multiple sistem tanpa memerlukan integrasi API penuh; jadikan sebagai investasi jangka menengah setelah quick win pertama berhasil dibuktikan</t>
  </si>
  <si>
    <t>Personel DevSecOps berkoordinasi dengan Personel IT Infra - Sysadmin, Personel IT Governance, dan Personel IT Prod-Support</t>
  </si>
  <si>
    <t>Walaupun sudah ada Gitleaks pada CI/CD tapi cakupan Gitleaks terbatas pada repositori kode sehingga tidak dapat mendeteksi credential yang dibagikan melalui Slack, email, Jira, Trello, atau Google Drive; rendahnya awareness personil terhadap risiko keamanan credential sharing di platform komunikasi dan kolaborasi; tidak adanya kebijakan eksplisit yang melarang pembagian credential melalui channel yang tidak aman</t>
  </si>
  <si>
    <t>Credential yang terekspos dapat dimanfaatkan oleh threat actor untuk akses tidak terotorisasi ke sistem, API, dan layanan cloud; penyalahgunaan layanan cloud menggunakan API key yang bocor yang mengakibatkan kerugian finansial; kesulitan investigasi forensik karena credential exposure di channel kolaborasi tidak meninggalkan jejak audit yang memadai; potensi pelanggaran kepatuhan regulasi akibat akses tidak terotorisasi ke data nasabah</t>
  </si>
  <si>
    <t>Eksploitasi API key atau access token yang ditemukan di Slack, email, atau Google Drive untuk akses tidak terotorisasi; penyalahgunaan database credential untuk ekstrasi data nasabah; cloud service abuse menggunakan credential yang bocor yang mengakibatkan kerugian finansial; insider threat yang memanfaatkan credential yang dibagikan secara tidak aman</t>
  </si>
  <si>
    <t>Secret scanning tidak mencakup channel non-repositori; tidak ada kebijakan eksplisit yang melarang credential sharing di platform komunikasi; rendahnya awareness personil terhadap risiko credential exposure di luar konteks source code; tidak ada mekanisme rotasi credential otomatis jika terdeteksi bocor</t>
  </si>
  <si>
    <t>Secret scanning berbasis Gitleaks telah diintegrasikan ke dalam CI/CD pipeline untuk mendeteksi credential pada source code repositori; namun cakupan terbatas pada repositori kode dan tidak mencakup platform komunikasi, email korporat, platform manajemen proyek, dan layanan berbagi dokumen</t>
  </si>
  <si>
    <t>A.5.17 – Informasi autentikasi; 
A.8.12 – Pencegahan kebocoran data; 
A.6.3 – Kesadaran, pendidikan dan pelatihan keamanan informasi; 
A.8.15 – Logging</t>
  </si>
  <si>
    <r>
      <rPr>
        <b/>
        <sz val="10"/>
        <color theme="1"/>
        <rFont val="Montserrat"/>
      </rPr>
      <t>Rendah</t>
    </r>
    <r>
      <rPr>
        <sz val="10"/>
        <color theme="1"/>
        <rFont val="Montserrat"/>
      </rPr>
      <t xml:space="preserve"> — perusahaan tidak bersedia membiarkan credential terekspos melalui channel komunikasi yang tidak terpantau mengingat dampak langsung terhadap keamanan akses sistem kritis, integritas data nasabah, dan potensi kerugian finansial akibat penyalahgunaan layanan cloud</t>
    </r>
  </si>
  <si>
    <r>
      <rPr>
        <b/>
        <sz val="10"/>
        <color theme="1"/>
        <rFont val="Montserrat"/>
      </rPr>
      <t>Sedang</t>
    </r>
    <r>
      <rPr>
        <sz val="10"/>
        <color theme="1"/>
        <rFont val="Montserrat"/>
      </rPr>
      <t xml:space="preserve"> — perusahaan masih dapat beroperasi selama nilai risiko residual ≤ 9; jika residual masih &gt;9, wajib eskalasi ke manajemen. 
Sebagai syarat minimum toleransi, organisasi wajib memastikan telah tersedia: (1) kebijakan eksplisit yang melarang pembagian credential melalui channel yang tidak aman beserta panduan alternatif yang aman, dan (2) program awareness yang memastikan seluruh personil memahami risiko credential exposure di channel non-repositori dan cara penanganannya yang benar</t>
    </r>
  </si>
  <si>
    <t>(1) Lakukan rotasi segera terhadap seluruh credential yang teridentifikasi telah dibagikan melalui channel tidak aman — revoke API key, reset password, dan regenerate access token yang terekspos; (2) audit seluruh log akses sistem dan layanan cloud untuk mengidentifikasi apakah credential yang bocor sudah dimanfaatkan oleh pihak tidak berwenang dalam periode teridentifikasi; (3) lakukan pencarian manual pada channel yang teridentifikasi menjadi medium kebocoran untuk memastikan tidak ada credential aktif lain yang masih terekspos; (4) eskalasi insiden kepada manajemen, dokumentasikan scope eksposur, dan tinjau kewajiban pelaporan regulasi jika sistem yang terekspos menangani data nasabah</t>
  </si>
  <si>
    <t>Susun dan sosialisasikan kebijakan eksplisit larangan credential sharing di channel tidak aman; implementasi program awareness credential security; eksplorasi tools DLP atau secret scanning yang dapat menjangkau channel non-repositori; implementasi secret manager sebagai alternatif aman pengganti credential sharing</t>
  </si>
  <si>
    <t>Gitleaks sudah berjalan sebagai kontrol yang memadai untuk repositori kode namun tidak mencakup channel komunikasi dan kolaborasi, credential sharing di channel non-repositori sudah terbukti terjadi dan tidak terdeteksi, risiko masih terbuka pada level Tinggi, status In Progress dan menjadi prioritas untuk segera disusun kebijakan dan diselenggarakan awareness sebelum insiden eksploitasi terjadi</t>
  </si>
  <si>
    <t>Personel DevSecOps berkoordinasi dengan Personel Security Analyst dan Personel IT Governance</t>
  </si>
  <si>
    <t xml:space="preserve"> - Susun dan sosialisasikan kebijakan eksplisit larangan credential sharing di channel tidak aman — tetapkan larangan formal berbagi password, API key, access token, dan database credential melalui Slack, email, Jira, Trello, atau Google Drive; sertakan panduan alternatif yang aman seperti penggunaan secret manager; sosialisasikan kepada seluruh personil IT dengan bukti tanda tangan penerimaan kebijakan
 - Implementasi program awareness credential security — selenggarakan sesi edukasi yang mencakup risiko nyata credential exposure di channel komunikasi, contoh kasus eksploitasi credential yang bocor, dan praktik aman pengelolaan credential; wajibkan seluruh personil yang memiliki akses ke sistem kritis mengikuti program ini
 - Implementasi secret manager sebagai alternatif aman — deploy solusi secret manager seperti HashiCorp Vault atau solusi setara untuk mengelola dan mendistribusikan credential secara aman; eliminasi kebutuhan sharing credential manual dengan menyediakan mekanisme akses credential yang terkontrol dan teraudit
 - Evaluasi dan implementasi DLP atau secret scanning untuk channel non-repositori — kaji tools yang dapat mendeteksi pola credential di platform komunikasi dan kolaborasi yang digunakan; pertimbangkan solusi yang terintegrasi dengan platform yang sudah ada untuk memastikan deteksi otomatis credential exposure di luar scope Gitleaks</t>
  </si>
  <si>
    <t>Peningkatan resiliensi operasional infrastruktur CI/CD dan eliminasi ketergantungan pada personil kunci berpotensi terwujud — melalui implementasi program knowledge transfer terstruktur dan penambahan manpower yang membangun kapabilitas tim yang lebih merata dan tidak bergantung pada individu tunggal</t>
  </si>
  <si>
    <t>Ketergantungan operasional yang signifikan pada satu personil kunci sudah menjadi pain point nyata yang mendorong kebutuhan segera; kompleksitas infrastruktur CI/CD dan otomasi keamanan yang terus berkembang membutuhkan distribusi pengetahuan yang lebih merata; risiko knowledge loss permanen jika personil kunci tidak tersedia mendorong urgensi realisasi peluang ini</t>
  </si>
  <si>
    <t>Eliminasi single point of knowledge yang meningkatkan resiliensi operasional infrastruktur kritis; percepatan onboarding personil baru melalui dokumentasi yang komprehensif; peningkatan kapabilitas tim secara keseluruhan yang memungkinkan distribusi beban kerja lebih merata; fondasi yang lebih kuat untuk pengembangan dan inovasi infrastruktur CI/CD tanpa bergantung pada satu individu</t>
  </si>
  <si>
    <t>Kemungkinan adanya turnover di profesi DevSecOps yang meningkatkan probabilitas kehilangan personil kunci; kompleksitas infrastruktur yang terus bertambah membuat ketergantungan semakin berisiko seiring waktu; tekanan delivery yang meningkat membutuhkan kapabilitas tim yang lebih terdistribusi</t>
  </si>
  <si>
    <t>Tidak ada program knowledge transfer yang terdefinisi dan terjadwal; dokumentasi infrastruktur CI/CD dan otomasi keamanan belum tersedia; keterbatasan waktu personil kunci yang harus menjalankan operasional sambil melakukan transfer pengetahuan; ketersediaan dan alokasi manpower tambahan bergantung pada persetujuan anggaran</t>
  </si>
  <si>
    <t>Belum terdapat program formal knowledge transfer maupun dokumentasi komprehensif terkait infrastruktur CI/CD pipeline dan skrip otomasi keamanan; pengelolaan infrastruktur kritis bergantung secara signifikan pada satu personil kunci tanpa mekanisme redundansi pengetahuan yang memastikan keberlangsungan operasional</t>
  </si>
  <si>
    <t>7.2 – Kompetensi; 7.5 – Informasi terdokumentasi; 
8.1 – Perencanaan dan pengendalian operasional</t>
  </si>
  <si>
    <t>A.6.3 – Kesadaran, pendidikan dan pelatihan keamanan informasi; 
A.5.37 – Prosedur operasi yang terdokumentasi; 
A.6.1 – Penyaringan</t>
  </si>
  <si>
    <r>
      <rPr>
        <b/>
        <sz val="10"/>
        <color theme="1"/>
        <rFont val="Montserrat"/>
      </rPr>
      <t>Tinggi</t>
    </r>
    <r>
      <rPr>
        <sz val="10"/>
        <color theme="1"/>
        <rFont val="Montserrat"/>
      </rPr>
      <t xml:space="preserve"> — perusahaan memiliki ambisi untuk mengkapitalisasi peluang ini secara aktif mengingat knowledge transfer dapat dimulai segera tanpa investasi besar, sementara manfaat resiliensi operasional yang dihasilkan bersifat langsung dan terukur</t>
    </r>
  </si>
  <si>
    <t>Sedang — perusahaan masih dapat beroperasi selama personil kunci tersedia; jika personil kunci tidak tersedia dan operasional terganggu, realisasi peluang ini wajib dieskalasi sebagai prioritas utama. 
Sebagai syarat minimum untuk mulai mengkapitalisasi peluang, organisasi wajib memastikan telah tersedia: (1) program knowledge transfer yang terjadwal dengan sesi reguler antara personil kunci dan minimal satu personil lain yang ditunjuk sebagai penerima transfer, dan (2) dokumentasi minimal infrastruktur CI/CD dan skrip otomasi keamanan yang memungkinkan personil lain memahami dan mengoperasikan sistem tanpa bergantung penuh pada personil kunci</t>
  </si>
  <si>
    <t>(1) Manfaatkan setiap insiden operasional yang terjadi akibat ketidaktersediaan personil kunci sebagai justifikasi konkret untuk memprioritaskan program knowledge transfer kepada manajemen; (2) segera tetapkan personil yang akan menjadi penerima knowledge transfer dan mulai sesi dokumentasi intensif pada domain paling kritis; (3) ajukan kebutuhan penambahan manpower dengan justifikasi berbasis risiko kontinuitas operasional kepada manajemen untuk mendapatkan persetujuan alokasi; (4) eskalasi status single point of knowledge kepada manajemen dengan roadmap resolusi yang konkret dan terukur</t>
  </si>
  <si>
    <t>Tetapkan program knowledge transfer terjadwal dengan personil penerima yang ditunjuk secara formal; mulai dengan dokumentasi domain paling kritis sebagai quick win; susun justifikasi penambahan manpower berbasis risiko kontinuitas untuk persetujuan manajemen</t>
  </si>
  <si>
    <t>Belum ada program knowledge transfer dan dokumentasi infrastruktur CI/CD yang tersedia, ketergantungan pada personil kunci masih penuh tanpa redundansi pengetahuan, peluang belum dikapitalisasi, status New - Open dan menjadi prioritas untuk segera ditunjuk personil penerima transfer dan dimulai sesi dokumentasi domain kritis</t>
  </si>
  <si>
    <t>Personel CTIO berkoordinasi dengan Personel DevSecOps dan Personel IT Governance</t>
  </si>
  <si>
    <t>Tunjuk personil penerima knowledge transfer dan tetapkan jadwal sesi reguler — identifikasi dan tunjuk secara formal minimal satu personil sebagai penerima transfer pengetahuan infrastruktur CI/CD dan otomasi keamanan; tetapkan jadwal sesi reguler yang terlindungi dari gangguan operasional harian sebagai komitmen organisasi
 - Susun dokumentasi komprehensif infrastruktur CI/CD dan skrip otomasi keamanan — buat dokumentasi teknis yang mencakup arsitektur pipeline, konfigurasi kritis, prosedur operasional, dan troubleshooting guide; prioritaskan domain yang paling berisiko jika personil kunci tidak tersedia sebagai quick win dokumentasi pertama
 - Susun justifikasi penambahan manpower berbasis risiko kontinuitas — dokumentasikan dampak operasional yang sudah atau berpotensi terjadi akibat single point of knowledge; kuantifikasi kebutuhan manpower tambahan dan presentasikan kepada manajemen sebagai investasi resiliensi operasional bukan sekadar penambahan biaya
 - Implementasi rotasi tugas dan cross-training berkelanjutan — setelah knowledge transfer awal selesai, tetapkan mekanisme rotasi tugas yang memastikan lebih dari satu personil secara aktif mengoperasikan dan memelihara infrastruktur CI/CD; jadikan sebagai praktik standar yang mencegah akumulasi ketergantungan pada individu di masa mendatang</t>
  </si>
  <si>
    <t>Tidak adanya mekanisme autentikasi dan otorisasi yang diterapkan langsung pada dokumentasi API; tidak ada requirement yang mendefinisikan standar keamanan akses dokumentasi teknis; keterbatasan waktu yang menghambat implementasi kontrol akses pada dokumentasi; tidak ada awareness terhadap risiko eksposur dokumentasi API di jaringan internal</t>
  </si>
  <si>
    <t>Threat actor yang berhasil masuk ke jaringan internal melalui lateral movement atau insider threat dapat mengakses seluruh detail arsitektur API; informasi yang diperoleh memfasilitasi threat modeling yang lebih akurat dan pengembangan eksploitasi yang lebih terarah; peningkatan efektivitas serangan berbasis pengetahuan arsitektur yang menurunkan waktu dan effort yang dibutuhkan attacker; eksposur struktur data internal yang dapat mengungkap cara pengelolaan data nasabah</t>
  </si>
  <si>
    <t>Insider threat yang memanfaatkan akses dokumentasi API untuk memetakan celah eksploitasi; attacker yang sudah berada di jaringan internal melalui lateral movement menggunakan dokumentasi untuk merancang serangan lanjutan; eksposur endpoint dan parameter schema yang memfasilitasi serangan BOLA/IDOR yang lebih terarah</t>
  </si>
  <si>
    <t>Dokumentasi API tidak memiliki mekanisme autentikasi dan otorisasi tersendiri; akses hanya dikontrol di level perimeter firewall tanpa granularitas per pengguna; tidak ada requirement yang mewajibkan proteksi dokumentasi teknis sebagai aset sensitif; tidak ada klasifikasi dokumen yang menandai API specification sebagai informasi yang memerlukan perlindungan akses</t>
  </si>
  <si>
    <t>Akses terhadap dokumentasi teknis API telah dibatasi pada jaringan internal melalui konfigurasi firewall sebagai kontrol perimeter; namun belum terdapat mekanisme autentikasi dan otorisasi yang diterapkan langsung pada dokumentasi API, sehingga seluruh personil di jaringan internal dapat mengakses detail arsitektur tanpa verifikasi identitas dan kewenangan</t>
  </si>
  <si>
    <t>8.1 – Perencanaan dan pengendalian operasional; 
5.15 – Manajemen akses</t>
  </si>
  <si>
    <t>A.5.15 – Manajemen akses; 
A.8.3 – Pembatasan akses informasi; 
A.8.26 – Persyaratan keamanan aplikasi; 
A.5.12 – Klasifikasi informasi</t>
  </si>
  <si>
    <r>
      <rPr>
        <b/>
        <sz val="10"/>
        <color theme="1"/>
        <rFont val="Montserrat"/>
      </rPr>
      <t>Rendah</t>
    </r>
    <r>
      <rPr>
        <sz val="10"/>
        <color theme="1"/>
        <rFont val="Montserrat"/>
      </rPr>
      <t xml:space="preserve"> — perusahaan tidak bersedia membiarkan dokumentasi teknis API yang mengandung detail arsitektur sistem dapat diakses tanpa verifikasi identitas dan kewenangan, mengingat informasi tersebut secara langsung memfasilitasi pengembangan eksploitasi yang lebih terarah terhadap sistem</t>
    </r>
  </si>
  <si>
    <t>Sedang — perusahaan masih dapat beroperasi selama nilai risiko residual ≤ 6; jika residual masih &gt;6, wajib eskalasi ke manajemen. Sebagai syarat minimum toleransi, organisasi wajib memastikan telah tersedia: (1) mekanisme autentikasi yang membatasi akses dokumentasi API hanya kepada personil yang memiliki kebutuhan bisnis yang terdefinisi, dan (2) klasifikasi dokumentasi API sebagai aset informasi sensitif yang memerlukan kontrol akses berbasis identitas</t>
  </si>
  <si>
    <t>(1) Nonaktifkan sementara akses publik dokumentasi API pada jaringan internal hingga mekanisme autentikasi dapat diimplementasikan; distribusikan dokumentasi hanya melalui channel yang terproteksi kepada personil yang membutuhkan; (2) audit log akses untuk mengidentifikasi siapa saja yang sudah mengakses dokumentasi API dalam periode tertentu dan apakah ada pola akses yang tidak wajar; (3) lakukan review terhadap seluruh endpoint yang terdokumentasi untuk mengidentifikasi apakah ada yang sudah dieksploitasi berdasarkan pola akses pada log API Gateway; (4) eskalasi temuan kepada manajemen dan dokumentasikan scope eksposur sebagai dasar prioritas implementasi kontrol akses</t>
  </si>
  <si>
    <t>Implementasi mekanisme autentikasi pada akses dokumentasi API; klasifikasikan API specification sebagai aset informasi sensitif; tetapkan requirement keamanan akses dokumentasi teknis sebagai standar wajib; batasi akses hanya kepada personil dengan kebutuhan bisnis yang terdefinisi</t>
  </si>
  <si>
    <t>Pembatasan firewall internal sudah berjalan sebagai kontrol perimeter yang memberikan perlindungan dasar, namun tidak adanya autentikasi pada dokumentasi API membuat insider threat dan attacker yang sudah berada di jaringan internal dapat mengakses seluruh detail arsitektur tanpa hambatan, risiko belum mengalami penurunan signifikan, status In Progress dan menjadi prioritas untuk segera diimplementasikan autentikasi pada akses dokumentasi API</t>
  </si>
  <si>
    <t>Personel Digital Application Development berkoordinasi dengan Personel Security Analyst dan Personel IT Governance</t>
  </si>
  <si>
    <t xml:space="preserve"> - Implementasi mekanisme autentikasi pada akses dokumentasi API — terapkan kontrol akses berbasis identitas pada seluruh dokumentasi teknis API (Swagger UI, Postman collections, OpenAPI spec) sehingga hanya personil dengan identitas terverifikasi dan kewenangan terdefinisi yang dapat mengaksesnya; manfaatkan IAM yang sudah tersedia sebagai mekanisme autentikasi
 - Klasifikasikan API documentation sebagai aset informasi sensitif — tandai seluruh dokumentasi teknis API sebagai aset dengan klasifikasi confidential yang memerlukan kontrol akses berbasis identitas; integrasikan ke dalam kebijakan klasifikasi informasi yang berlaku dan pastikan penanganannya mengikuti standar perlindungan yang sesuai
 - Tetapkan requirement keamanan akses dokumentasi teknis sebagai standar wajib — definisikan secara formal bahwa seluruh dokumentasi teknis yang mengandung detail arsitektur sistem wajib dilindungi dengan autentikasi; integrasikan sebagai requirement wajib dalam proses pengembangan dan deployment dokumentasi API ke depannya
 - Evaluasi penerapan API documentation portal dengan kontrol akses granular — kaji solusi portal dokumentasi API yang mendukung autentikasi terpusat, kontrol akses berbasis role, dan audit trail akses; pertimbangkan sebagai investasi jangka menengah untuk mengelola akses dokumentasi secara lebih terstruktur dan teraudit</t>
  </si>
  <si>
    <t>Rencana Tinjauan
Q1</t>
  </si>
  <si>
    <t>Rencana Tinjauan
Q3</t>
  </si>
  <si>
    <t>Tinjauan Q1</t>
  </si>
  <si>
    <t>Tinjauan Q2</t>
  </si>
  <si>
    <t>Rencana Tinjauan
Q2</t>
  </si>
  <si>
    <t xml:space="preserve"> Q1 Review</t>
  </si>
  <si>
    <t>Q2 Review</t>
  </si>
  <si>
    <t>Q1 Hasil</t>
  </si>
  <si>
    <t>Q2 Hasil</t>
  </si>
  <si>
    <t>Tinjauan Q3</t>
  </si>
  <si>
    <t>Q3 Review</t>
  </si>
  <si>
    <t>Q3 Hasil</t>
  </si>
  <si>
    <t>Rencana Tinjauan
Q4</t>
  </si>
  <si>
    <t>Q4 Review</t>
  </si>
  <si>
    <t>Q4 Hasil</t>
  </si>
  <si>
    <t>Dokumentasi API specification belum tersedia akibat keterbatasan waktu dan resources untuk penyusunannya; tidak adanya prosedur formal notifikasi perubahan API contract kepada consumer; consumer tidak memiliki referensi formal untuk memvalidasi dan mengantisipasi perubahan yang terjadi pada API yang mereka konsumsi</t>
  </si>
  <si>
    <t>Gangguan layanan pada sistem dependen akibat perubahan field, tipe data, atau validation rule yang tidak diantisipasi; inkonsistensi data pada consumer yang belum melakukan adaptasi terhadap perubahan contract; peningkatan effort debugging dan troubleshooting akibat tidak adanya referensi API spec yang dapat digunakan untuk mengidentifikasi akar masalah; potensi data corruption pada sistem yang memproses response dengan format yang sudah berubah</t>
  </si>
  <si>
    <t>Breaking change yang tidak terdeteksi consumer akibat tidak adanya dokumentasi contract formal; inkonsistensi data yang terakumulasi pada sistem downstream; gangguan layanan yang berdampak pada operasional bisnis akibat integrasi yang gagal setelah perubahan API</t>
  </si>
  <si>
    <t>API specification belum terdokumentasi dan tidak dapat dibagikan kepada consumer; tidak ada prosedur notifikasi perubahan API yang formal; consumer tidak memiliki referensi untuk melakukan contract testing secara mandiri; keterbatasan waktu dan resources yang menghalangi penyusunan dokumentasi API</t>
  </si>
  <si>
    <t>Semantic versioning telah diimplementasikan pada API sebagai mekanisme dasar pengelolaan perubahan; namun dokumentasi API specification yang dapat dibagikan kepada pengguna internal maupun eksternal belum tersedia, sehingga consumer tidak memiliki referensi formal terhadap contract yang berlaku dan tidak dapat menerima notifikasi perubahan secara terstruktur</t>
  </si>
  <si>
    <t>A.5.37 – Prosedur operasi yang terdokumentasi; 
A.8.25 – Siklus hidup pengembangan yang aman; 
A.5.19 – Keamanan informasi dalam hubungan pemasok</t>
  </si>
  <si>
    <r>
      <rPr>
        <b/>
        <sz val="10"/>
        <color theme="1"/>
        <rFont val="Montserrat"/>
      </rPr>
      <t>Sedang</t>
    </r>
    <r>
      <rPr>
        <sz val="10"/>
        <color theme="1"/>
        <rFont val="Montserrat"/>
      </rPr>
      <t xml:space="preserve"> — perusahaan dapat mentolerir ketiadaan API spec dalam jangka pendek selama versioning masih berjalan sebagai kontrol dasar, namun tidak bersedia membiarkan consumer internal maupun eksternal beroperasi tanpa referensi formal contract API mengingat dampaknya pada keandalan integrasi dan konsistensi data</t>
    </r>
  </si>
  <si>
    <t>Sedang — perusahaan masih dapat beroperasi selama nilai risiko residual ≤ 6; jika residual masih &gt;6, wajib eskalasi ke manajemen. 
Sebagai syarat minimum toleransi, organisasi wajib memastikan telah tersedia: (1) dokumentasi API specification minimal untuk endpoint kritis yang dikonsumsi oleh sistem dependen yang paling berdampak pada operasional bisnis, dan (2) prosedur notifikasi perubahan API yang formal kepada seluruh consumer yang teridentifikasi sebelum perubahan diimplementasikan</t>
  </si>
  <si>
    <t>(1) Identifikasi segera sistem dependen yang mengalami gangguan dan koordinasikan dengan tim developer untuk melakukan rollback atau hotfix pada perubahan API yang menyebabkan disruption; (2) komunikasikan perubahan API yang telah terjadi kepada seluruh consumer yang teridentifikasi melalui channel komunikasi yang tersedia sebagai notifikasi darurat; (3) lakukan audit terhadap seluruh sistem dependen untuk mengidentifikasi scope dampak inkonsistensi data yang mungkin sudah terjadi; (4) eskalasi insiden kepada manajemen, dokumentasikan akar masalah, dan jadikan sebagai justifikasi urgensi penyusunan API specification formal</t>
  </si>
  <si>
    <t>Susun dokumentasi API specification minimal untuk endpoint kritis; implementasi prosedur notifikasi perubahan API formal kepada consumer; integrasikan penyusunan API spec sebagai komponen wajib dalam proses pengembangan API baru</t>
  </si>
  <si>
    <t>Versioning sudah berjalan sebagai kontrol dasar yang memadai untuk mencegah breaking change langsung, namun ketiadaan API specification membuat consumer tidak memiliki referensi formal contract dan perubahan tidak dapat dikomunikasikan secara terstruktur, risiko belum mengalami penurunan signifikan, status In Progress dan menjadi prioritas untuk segera disusun API spec endpoint kritis dan ditetapkan prosedur notifikasi perubahan</t>
  </si>
  <si>
    <t>Personel App Development berkoordinasi dengan Personel IT Core Development dan Personel IT Governance dan IT DevSecOps serta QA</t>
  </si>
  <si>
    <t xml:space="preserve"> - Susun dokumentasi API specification untuk endpoint kritis — prioritaskan dokumentasi OpenAPI/Swagger untuk endpoint yang dikonsumsi oleh sistem dependen paling kritis; manfaatkan tools auto-generation dari kode yang sudah ada untuk mempercepat proses tanpa memerlukan effort manual penuh dalam keterbatasan waktu dan resources
 - Tetapkan prosedur notifikasi perubahan API formal kepada consumer — definisikan mekanisme dan channel notifikasi wajib yang harus dijalankan sebelum setiap perubahan API diimplementasikan; sertakan changelog yang menjelaskan perubahan field, tipe data, dan validation rule beserta timeline adaptasi yang diberikan kepada consumer
 - Integrasikan penyusunan API spec sebagai komponen wajib dalam pengembangan API baru — tetapkan bahwa setiap API baru yang dikembangkan wajib disertai dokumentasi OpenAPI specification sebelum dapat di-deploy ke production; jadikan sebagai gate wajib dalam pipeline CI/CD untuk API endpoint baru
 - Implementasi consumer contract testing — eksplorasi tools contract testing seperti Pact atau Spring Cloud Contract yang memungkinkan consumer memvalidasi secara otomatis bahwa perubahan API tidak melanggar contract yang disepakati; jadikan sebagai investasi jangka menengah setelah dokumentasi API spec tersedia</t>
  </si>
  <si>
    <t>Degradasi performa sistem dan kegagalan layanan di bawah beban production yang tidak dapat diantisipasi berpotensi terjadi — akibat tidak konsistennya pendefinisian NFR sebagai target performa terukur dan belum terstandarisasinya cakupan performance testing untuk seluruh sistem</t>
  </si>
  <si>
    <t>NFR belum terdefinisi secara konsisten untuk seluruh sistem akibat tidak adanya standar dan kebijakan yang mewajibkannya; keterbatasan pengetahuan tim terkait jenis-jenis NFR dan cara mendefinisikannya secara terukur; performance testing dilakukan secara ad-hoc tanpa baseline NFR yang dapat digunakan sebagai acuan validasi; cakupan performance testing terbatas pada sistem eksternal tanpa mencakup sistem internal secara menyeluruh</t>
  </si>
  <si>
    <t>Batas kapasitas sistem tidak terdokumentasi sehingga tidak dapat digunakan sebagai dasar capacity planning; degradasi performa yang tidak terprediksi saat sistem menghadapi beban production yang melebihi kapasitas yang tidak diketahui; kegagalan layanan yang berdampak pada pengalaman nasabah dan operasional bisnis; kesulitan troubleshooting performa akibat tidak adanya baseline yang dapat dijadikan referensi perbandingan</t>
  </si>
  <si>
    <t>Kegagalan sistem saat menghadapi lonjakan traffic production yang melebihi kapasitas tidak terdokumentasi; degradasi performa yang tidak terdeteksi hingga berdampak pada nasabah; pelanggaran SLA akibat performa sistem yang tidak tervalidasi di bawah beban nyata; inkonsistensi kapasitas antar sistem yang menimbulkan bottleneck pada integrasi</t>
  </si>
  <si>
    <t>NFR tidak terdefinisi secara konsisten sehingga tidak ada target performa terukur sebagai acuan; performance testing dilakukan tanpa baseline NFR yang valid; cakupan testing terbatas pada sistem eksternal tanpa mencakup seluruh sistem; keterbatasan pengetahuan tim terkait jenis dan cara pendefinisian NFR yang komprehensif</t>
  </si>
  <si>
    <t>Performance testing telah dilaksanakan secara ad-hoc dalam pipeline CI/CD oleh tim DevSecOps dengan fokus pada sistem yang menghadap ke eksternal; namun pelaksanaannya belum terstandarisasi, tidak didasarkan pada target NFR yang terdefinisi, dan tidak mencakup seluruh sistem secara konsisten</t>
  </si>
  <si>
    <t>A.8.6 – Manajemen kapasitas; 
A.8.25 – Siklus hidup pengembangan yang aman; 
A.8.26 – Persyaratan keamanan aplikasi; 
A.5.37 – Prosedur operasi yang terdokumentasi</t>
  </si>
  <si>
    <r>
      <rPr>
        <b/>
        <sz val="10"/>
        <color theme="1"/>
        <rFont val="Montserrat"/>
      </rPr>
      <t>Sedang</t>
    </r>
    <r>
      <rPr>
        <sz val="10"/>
        <color theme="1"/>
        <rFont val="Montserrat"/>
      </rPr>
      <t xml:space="preserve"> — perusahaan dapat mentolerir inkonsistensi NFR dalam jangka pendek selama performance testing ad-hoc masih dijalankan untuk sistem kritis eksternal, namun tidak bersedia membiarkan sistem beroperasi tanpa target performa terukur dan validasi kapasitas yang komprehensif mengingat dampaknya pada keandalan layanan nasabah</t>
    </r>
  </si>
  <si>
    <r>
      <rPr>
        <b/>
        <sz val="10"/>
        <color theme="1"/>
        <rFont val="Montserrat"/>
      </rPr>
      <t>Sedang</t>
    </r>
    <r>
      <rPr>
        <sz val="10"/>
        <color theme="1"/>
        <rFont val="Montserrat"/>
      </rPr>
      <t xml:space="preserve"> — perusahaan masih dapat beroperasi selama nilai risiko residual ≤ 6; jika residual masih &gt;6, wajib eskalasi ke manajemen. Sebagai syarat minimum toleransi, organisasi wajib memastikan telah tersedia: (1) NFR yang terdefinisi dan terdokumentasi minimal untuk seluruh sistem kritis yang menghadap nasabah eksternal sebagai baseline validasi performa, dan (2) standar minimum performance testing yang menetapkan skenario wajib dan threshold kelulusan berbasis NFR yang telah terdefinisi</t>
    </r>
  </si>
  <si>
    <t>(1) Identifikasi segera sistem yang mengalami degradasi performa dan lakukan triage untuk menentukan apakah masalah bersumber dari kapasitas yang terlampaui atau konfigurasi yang tidak optimal; (2) implementasikan scaling darurat atau load balancing adjustment untuk memulihkan layanan dalam waktu sesingkat mungkin; (3) lakukan performance profiling pada sistem terdampak untuk mengidentifikasi bottleneck spesifik dan dokumentasikan batas kapasitas aktual yang teridentifikasi; (4) eskalasi insiden kepada manajemen, dokumentasikan dampak SLA, dan jadikan sebagai justifikasi urgensi pendefinisian NFR dan standarisasi performance testing</t>
  </si>
  <si>
    <t>Tetapkan NFR sebagai komponen wajib dalam BRD untuk seluruh sistem; standarisasi skenario dan threshold performance testing berbasis NFR; perluas cakupan performance testing ke seluruh sistem termasuk internal</t>
  </si>
  <si>
    <t>Performance testing ad-hoc dalam CI/CD sudah berjalan untuk sistem eksternal sebagai kontrol parsial yang memadai, namun NFR belum terdefinisi secara konsisten dan cakupan testing belum menyeluruh, risiko belum mengalami penurunan signifikan, status In Progress dan menjadi prioritas untuk segera ditetapkan NFR sebagai komponen wajib dan distandarisasi skenario performance testing</t>
  </si>
  <si>
    <t>Personel Quality Assurance berkoordinasi dengan Personel Business Analyst, Personel DevSecOps, dan Personel IT Infra - Sysadmin</t>
  </si>
  <si>
    <t xml:space="preserve"> - Tetapkan template NFR standar dan integrasikan sebagai komponen wajib BRD — buat template yang mencakup seluruh kategori NFR yang relevan meliputi performa, kapasitas, ketersediaan, skalabilitas, dan keamanan; lengkapi dengan panduan cara mendefinisikan target yang terukur; jadikan sebagai komponen mandatory yang harus diisi sebelum BRD dapat disetujui
 - Standarisasi skenario dan threshold performance testing berbasis NFR — definisikan skenario wajib performance testing yang mencakup load testing, stress testing, dan spike testing; tetapkan threshold kelulusan yang mengacu pada NFR yang terdefinisi; jadikan sebagai gate wajib dalam pipeline CI/CD untuk seluruh sistem sebelum deployment ke production
 - Perluas cakupan performance testing ke seluruh sistem termasuk internal — identifikasi sistem internal yang belum tercakup dalam performance testing; prioritaskan berdasarkan ketergantungan sistem eksternal pada sistem internal tersebut; jadwalkan pelaksanaan performance testing pertama untuk mengidentifikasi batas kapasitas aktual
 - Selenggarakan pelatihan NFR untuk BA, QA, dan DevSecOps — program pelatihan yang mencakup jenis-jenis NFR, cara mendefinisikan target yang terukur, dan metode validasi melalui performance testing; pastikan seluruh personil yang terlibat dalam SDLC memahami peran NFR dalam memastikan keandalan sistem di production</t>
  </si>
  <si>
    <t>Kegagalan integrasi antar microservice dan inkompatibilitas layanan yang tidak terdeteksi berpotensi lolos ke production dan mengganggu operasional bisnis — akibat skenario pengujian integrasi yang tidak mencakup keseluruhan interaksi antar microservice karena ketiadaan referensi arsitektur dan pemahaman end-to-end yang memadai pada personil BA dan QA</t>
  </si>
  <si>
    <t>Skenario pengujian integrasi disusun terbatas berdasarkan Postman collection per project tanpa referensi arsitektur microservice yang komprehensif; BA dan QA tidak memiliki pemahaman terhadap keseluruhan arsitektur dan pola interaksi antar service sehingga tidak dapat menyusun skenario pengujian yang representatif; tidak adanya API specification per service yang dapat menjadi acuan penyusunan test case integrasi lintas service</t>
  </si>
  <si>
    <t>Skenario pengujian integrasi tidak merepresentasikan keseluruhan interaksi antar microservice yang terjadi di production; kegagalan integrasi dan inkompatibilitas antar service lolos tanpa terdeteksi; peningkatan waktu dan biaya debugging pasca-release akibat kegagalan yang seharusnya dapat dicegah dalam proses pengujian; kesulitan membuktikan bahwa seluruh alur integrasi kritis sudah divalidasi sebelum release</t>
  </si>
  <si>
    <t>Kegagalan layanan production akibat inkompatibilitas microservice yang tidak tercakup dalam skenario pengujian; gangguan cascade pada multiple service yang tidak terantisipasi; peningkatan MTTR akibat tidak adanya skenario pengujian yang dapat direplikasi untuk proses debugging</t>
  </si>
  <si>
    <t>Skenario pengujian integrasi terbatas pada Postman collection per project tanpa cakupan interaksi lintas service; BA dan QA tidak memiliki pemahaman arsitektur keseluruhan sebagai dasar penyusunan test case; tidak ada standar minimum cakupan pengujian integrasi yang mewajibkan skenario lintas service; gap knowledge terhadap seluruh microservice yang ada dan interaksinya</t>
  </si>
  <si>
    <t>Pengujian integrasi dilaksanakan berdasarkan Postman collection yang tersedia secara parsial per project; namun skenario yang ada tidak mencakup interaksi lintas service secara komprehensif karena tidak tersedianya referensi arsitektur microservice dan API specification yang dapat digunakan sebagai acuan penyusunan test case integrasi end-to-end</t>
  </si>
  <si>
    <t>A.8.25 – Siklus hidup pengembangan yang aman; 
A.8.26 – Persyaratan keamanan aplikasi; 
A.5.37 – Prosedur operasi yang terdokumentasi</t>
  </si>
  <si>
    <r>
      <rPr>
        <b/>
        <sz val="10"/>
        <color theme="1"/>
        <rFont val="Montserrat"/>
      </rPr>
      <t>Sedang</t>
    </r>
    <r>
      <rPr>
        <sz val="10"/>
        <color theme="1"/>
        <rFont val="Montserrat"/>
      </rPr>
      <t xml:space="preserve"> — perusahaan dapat mentolerir keterbatasan cakupan skenario pengujian integrasi dalam jangka pendek selama Postman collection masih memberikan validasi dasar per project, namun tidak bersedia membiarkan kegagalan integrasi antar microservice terus berpotensi lolos ke production akibat skenario test case yang tidak merepresentasikan keseluruhan interaksi sistem</t>
    </r>
  </si>
  <si>
    <r>
      <rPr>
        <b/>
        <sz val="10"/>
        <color theme="1"/>
        <rFont val="Montserrat"/>
      </rPr>
      <t>Sedang</t>
    </r>
    <r>
      <rPr>
        <sz val="10"/>
        <color theme="1"/>
        <rFont val="Montserrat"/>
      </rPr>
      <t xml:space="preserve"> — perusahaan masih dapat beroperasi selama nilai risiko residual ≤ 6; jika residual masih &gt;6, wajib eskalasi ke manajemen. 
Sebagai syarat minimum toleransi, organisasi wajib memastikan telah tersedia: (1) skenario test case integrasi yang mencakup alur bisnis kritis lintas microservice yang paling sering digunakan dan paling berisiko jika gagal, dan (2) standar minimum cakupan pengujian integrasi yang mewajibkan skenario lintas service sebagai gate wajib sebelum release</t>
    </r>
  </si>
  <si>
    <t>(1) Identifikasi segera service yang mengalami kegagalan integrasi dan lakukan isolasi untuk mencegah cascade failure ke service lain yang bergantung; (2) lakukan rollback pada deployment terakhir yang menyebabkan inkompatibilitas sambil tim developer mengidentifikasi akar masalah; (3) jadikan kegagalan yang terjadi sebagai skenario pengujian baru yang wajib ditambahkan ke dalam test case integrasi untuk mencegah pengulangan; (4) eskalasi insiden kepada manajemen, dokumentasikan gap skenario pengujian yang menyebabkan kegagalan tidak terdeteksi, dan jadikan sebagai justifikasi urgensi perluasan cakupan test case integrasi</t>
  </si>
  <si>
    <t>Perluas skenario test case untuk mencakup alur integrasi lintas microservice; tetapkan standar minimum cakupan pengujian integrasi sebagai gate release; tingkatkan pemahaman BA dan QA terhadap arsitektur dan interaksi antar microservice sebagai dasar penyusunan skenario yang representatif</t>
  </si>
  <si>
    <t>Personel Quality Assurance berkoordinasi dengan Personel Business Analyst, Personel DevSecOps, dan Personel IT Core Development</t>
  </si>
  <si>
    <t>Postman collection per project sudah berjalan sebagai kontrol pengujian parsial yang terbatas, namun skenario test case tidak mencakup interaksi lintas microservice dan cakupan pengujian integrasi tidak dapat divalidasi secara menyeluruh, risiko belum mengalami penurunan, status In Progress dan menjadi prioritas untuk segera diperluas skenario test case integrasi dan ditetapkan standar minimum cakupan pengujian lintas service</t>
  </si>
  <si>
    <t xml:space="preserve"> - Susun skenario test case integrasi untuk alur bisnis kritis lintas microservice — identifikasi alur bisnis end-to-end yang paling sering digunakan dan paling berisiko jika gagal; kembangkan skenario pengujian yang mensimulasikan interaksi nyata antar service dalam alur tersebut; jadikan sebagai test suite wajib yang dieksekusi sebelum setiap release
 - Tetapkan standar minimum cakupan pengujian integrasi sebagai gate release — definisikan persentase minimum alur integrasi kritis yang harus tercakup dalam skenario test case; jadikan sebagai gate wajib dalam pipeline CI/CD yang mencegah deployment ke production jika cakupan minimum belum terpenuhi
 - Selenggarakan knowledge transfer arsitektur microservice untuk BA dan QA — fasilitasi sesi yang dipandu tim developer untuk menjelaskan arsitektur keseluruhan, pola interaksi antar service, dan titik integrasi kritis; dokumentasikan hasilnya sebagai referensi mandiri yang dapat digunakan dalam penyusunan skenario pengujian berikutnya
 - Perluas dan standarisasi Postman collection untuk pengujian integrasi lintas service — kembangkan collection yang mencakup skenario interaksi antar microservice secara berurutan sesuai alur bisnis nyata; integrasikan ke dalam pipeline CI/CD sebagai bagian dari automated integration testing yang berjalan secara konsisten pada setiap deployment</t>
  </si>
  <si>
    <t>Kerentanan logika bisnis dan celah non-teknis berpotensi lolos ke production akibat kepercayaan diri yang tidak berdasar terhadap hasil automated security testing — disebabkan tidak adanya review aktif terhadap output pipeline dan ketiadaan penetration testing manual sebagai validasi independen</t>
  </si>
  <si>
    <t>Hasil security testing dari pipeline tidak direview secara aktif oleh personil yang kompeten setelah deployment selesai; tidak adanya penetration testing manual yang memvalidasi kerentanan di luar jangkauan automated tools; tekanan waktu release dari user yang mendorong tim melewati review mendalam; keterbatasan personil yang tidak memungkinkan dedicated security reviewer untuk setiap release</t>
  </si>
  <si>
    <t>Kerentanan logika bisnis yang tidak dapat dideteksi automated tools lolos ke production; false confidence bahwa sistem aman hanya berdasarkan status pipeline hijau tanpa validasi independen; eksploitasi celah non-teknis yang seharusnya teridentifikasi melalui penetration testing manual; peningkatan eksposur risiko keamanan yang tidak terukur karena temuan DefectDojo tidak ditindaklanjuti secara konsisten</t>
  </si>
  <si>
    <t>Eksploitasi kerentanan logika bisnis yang lolos dari automated scanning; serangan yang memanfaatkan celah non-teknis seperti broken access control dan business logic bypass yang tidak dapat dideteksi SAST/DAST; akumulasi temuan tidak ditindaklanjuti di DefectDojo yang berpotensi dieksploitasi</t>
  </si>
  <si>
    <t>Hasil security testing pipeline tidak direview secara aktif; tidak ada penetration testing manual sebagai validasi independen; status pipeline hijau dianggap sebagai jaminan keamanan tanpa verifikasi lebih lanjut; tidak ada prosedur tindak lanjut temuan DefectDojo yang terdefinisi dan konsisten dijalankan</t>
  </si>
  <si>
    <t>Pipeline CI/CD telah dilengkapi SAST, DAST, Gitleaks, Checkstyle, dan DefectDojo sebagai rangkaian automated security testing yang komprehensif; namun hasil security testing belum direview secara aktif oleh personil kompeten dan belum terdapat penetration testing manual yang memvalidasi kerentanan logika bisnis serta celah non-teknis</t>
  </si>
  <si>
    <t>A.8.25 – Siklus hidup pengembangan yang aman; 
A.8.26 – Persyaratan keamanan aplikasi; 
A.8.8 – Manajemen kerentanan teknis; 
A.5.25 – Asesmen dan keputusan terkait peristiwa keamanan informasi</t>
  </si>
  <si>
    <r>
      <rPr>
        <b/>
        <sz val="10"/>
        <color theme="1"/>
        <rFont val="Montserrat"/>
      </rPr>
      <t>Rendah</t>
    </r>
    <r>
      <rPr>
        <sz val="10"/>
        <color theme="1"/>
        <rFont val="Montserrat"/>
      </rPr>
      <t xml:space="preserve"> — perusahaan tidak bersedia mengandalkan status pipeline hijau sebagai satu-satunya jaminan keamanan mengingat automated tools memiliki keterbatasan inheren dalam mendeteksi kerentanan logika bisnis dan celah non-teknis yang dapat dieksploitasi secara aktif</t>
    </r>
  </si>
  <si>
    <r>
      <rPr>
        <b/>
        <sz val="10"/>
        <color theme="1"/>
        <rFont val="Montserrat"/>
      </rPr>
      <t>Sedang</t>
    </r>
    <r>
      <rPr>
        <sz val="10"/>
        <color theme="1"/>
        <rFont val="Montserrat"/>
      </rPr>
      <t xml:space="preserve"> — perusahaan masih dapat beroperasi selama nilai risiko residual ≤ 9; jika residual masih &gt;9, wajib eskalasi ke manajemen. 
Sebagai syarat minimum toleransi, organisasi wajib memastikan telah tersedia: (1) prosedur review aktif terhadap temuan DefectDojo yang mewajibkan tindak lanjut terdokumentasi sebelum release disetujui, dan (2) jadwal penetration testing manual minimal tahunan atau setelah setiap perubahan arsitektur signifikan sebagai validasi independen terhadap hasil automated security testing</t>
    </r>
  </si>
  <si>
    <t>(1) Lakukan review segera terhadap seluruh temuan yang terakumulasi di DefectDojo yang belum ditindaklanjuti untuk mengidentifikasi kerentanan aktif yang berpotensi sudah ada di production; (2) prioritaskan remediasi temuan dengan severity Critical dan High yang teridentifikasi belum ditangani; (3) jadwalkan penetration testing darurat terfokus pada fitur atau modul yang baru dirilis tanpa review manual sebagai validasi kondisi keamanan aktual; (4) eskalasi temuan kepada manajemen, dokumentasikan gap review yang menyebabkan kondisi ini, dan susun remediation plan dengan timeline yang dapat dipertanggungjawabkan</t>
  </si>
  <si>
    <t>Implementasi prosedur review aktif terhadap temuan DefectDojo sebagai gate release; jadwalkan penetration testing manual secara berkala; tetapkan threshold temuan yang jika terlampaui memblokir release secara otomatis</t>
  </si>
  <si>
    <t>SAST, DAST, Gitleaks, Checkstyle, dan DefectDojo sudah berjalan sebagai fondasi automated security testing yang komprehensif, namun hasil tidak direview secara aktif dan tidak ada penetration testing manual, false confidence dari status pipeline hijau masih berpotensi tinggi, risiko belum mengalami penurunan, status In Progress dan menjadi prioritas untuk segera diimplementasikan prosedur review aktif DefectDojo dan dijadwalkan penetration testing manual</t>
  </si>
  <si>
    <t xml:space="preserve"> - Implementasi prosedur review aktif temuan DefectDojo sebagai gate release — tetapkan kewajiban review dan tindak lanjut terdokumentasi terhadap seluruh temuan DefectDojo sebelum release disetujui; definisikan threshold severity yang jika terlampaui secara otomatis memblokir pipeline hingga remediasi selesai; tunjuk PIC yang bertanggung jawab atas review setiap siklus release
 - Jadwalkan penetration testing manual berkala sebagai validasi independen — tetapkan jadwal penetration testing manual minimal tahunan atau setelah setiap perubahan arsitektur signifikan; fokuskan pada kerentanan logika bisnis dan celah non-teknis yang tidak dapat dideteksi automated tools; dokumentasikan temuan sebagai masukan perbaikan dan update rule SAST/DAST
 - Lakukan review retroaktif seluruh temuan DefectDojo yang belum ditindaklanjuti — audit seluruh temuan yang terakumulasi di DefectDojo sejak tools diimplementasikan; kategorikan berdasarkan severity dan status remediasi; prioritaskan penanganan Critical dan High yang belum diselesaikan sebelum release berikutnya
 - Implementasi security review checklist sebagai komplemen automated testing — buat checklist review manual yang mencakup skenario kerentanan logika bisnis dan celah non-teknis yang wajib diverifikasi secara manual sebelum release; distribusikan tanggung jawab review kepada personil yang tersedia untuk mengatasi keterbatasan dedicated security reviewer</t>
  </si>
  <si>
    <t>Keberhasilan kampanye phishing dan pengiriman malware yang melewati filter email berpotensi terjadi — akibat console mail server yang dapat diakses publik dari internet berpotensi mengekspos detail konfigurasi filtering kepada threat actor yang dapat memanfaatkannya untuk merancang payload yang menghindari deteksi</t>
  </si>
  <si>
    <t>Console mail server dipublish ke internet tanpa pembatasan akses jaringan yang membatasi akses hanya dari jaringan terotorisasi; tidak adanya review berkala terhadap konfigurasi filtering dan log akses console; MFA sebagai satu-satunya kontrol tidak memberikan perlindungan memadai terhadap risiko eksposur konfigurasi jika terjadi kompromi akun</t>
  </si>
  <si>
    <t>Detail konfigurasi antispam, antivirus, dan content filtering terekspos kepada threat actor yang dapat menggunakannya untuk merancang payload yang melewati deteksi; peningkatan efektivitas kampanye phishing yang dirancang khusus untuk melewati filter yang berlaku; potensi pengiriman malware yang berhasil masuk ke inbox personil akibat payload yang disesuaikan dengan aturan filtering; kompromi sistem melalui malware yang berhasil dikirimkan via email</t>
  </si>
  <si>
    <t>Threat actor yang mengakses console untuk mempelajari detail aturan filtering dan merancang payload yang melewatinya; credential stuffing atau brute force terhadap akun console yang dapat diakses dari internet; kampanye phishing bertarget yang dirancang berdasarkan pengetahuan konfigurasi filtering; pengiriman malware yang berhasil melewati antivirus scanning akibat payload yang disesuaikan</t>
  </si>
  <si>
    <t>Console mail server dapat diakses dari internet tanpa pembatasan jaringan; MFA sebagai satu-satunya kontrol rentan terhadap kompromi akun melalui social engineering atau session hijacking; tidak ada review log akses yang dapat mendeteksi upaya reconnaissance terhadap konfigurasi; tidak ada pembatasan tampilan konfigurasi sensitif berdasarkan level kewenangan pengguna</t>
  </si>
  <si>
    <t>Multi-Factor Authentication telah diimplementasikan sebagai kontrol akses pada console mail server; namun console masih dapat diakses publik melalui internet tanpa pembatasan jaringan, dan belum terdapat review berkala terhadap konfigurasi filtering maupun log akses console untuk mendeteksi aktivitas tidak wajar</t>
  </si>
  <si>
    <t>A.8.20 – Keamanan jaringan; 
A.8.21 – Keamanan layanan jaringan; 
A.8.15 – Logging; 
A.8.16 – Aktivitas pemantauan; 
A.5.15 – Manajemen akses</t>
  </si>
  <si>
    <r>
      <rPr>
        <b/>
        <sz val="10"/>
        <color theme="1"/>
        <rFont val="Montserrat"/>
      </rPr>
      <t>Rendah</t>
    </r>
    <r>
      <rPr>
        <sz val="10"/>
        <color theme="1"/>
        <rFont val="Montserrat"/>
      </rPr>
      <t xml:space="preserve"> — perusahaan tidak bersedia membiarkan console mail server dengan detail konfigurasi keamanan filtering dapat diakses publik dari internet tanpa pembatasan jaringan yang memadai, mengingat eksposur konfigurasi tersebut secara langsung meningkatkan efektivitas serangan phishing dan pengiriman malware</t>
    </r>
  </si>
  <si>
    <r>
      <rPr>
        <b/>
        <sz val="10"/>
        <color theme="1"/>
        <rFont val="Montserrat"/>
      </rPr>
      <t>Sedang</t>
    </r>
    <r>
      <rPr>
        <sz val="10"/>
        <color theme="1"/>
        <rFont val="Montserrat"/>
      </rPr>
      <t xml:space="preserve"> — perusahaan masih dapat beroperasi selama nilai risiko residual ≤ 9; jika residual masih &gt;9, wajib eskalasi ke manajemen. 
Sebagai syarat minimum toleransi, organisasi wajib memastikan telah tersedia: (1) pembatasan akses console mail server hanya dari jaringan internal atau VPN yang terotorisasi sehingga tidak dapat diakses langsung dari internet, dan (2) mekanisme review log akses console yang terjadwal untuk mendeteksi upaya akses tidak wajar secara berkala</t>
    </r>
  </si>
  <si>
    <t>(1) Audit segera seluruh log akses console mail server untuk mengidentifikasi apakah sudah ada akses tidak terotorisasi atau aktivitas reconnaissance terhadap konfigurasi filtering dalam periode tertentu; (2) lakukan review terhadap seluruh email yang berhasil melewati filter dalam periode teridentifikasi untuk mendeteksi indikasi payload yang dirancang untuk menghindari deteksi; (3) reset segera seluruh kredensial akses console dan perketat konfigurasi MFA; blokir akses dari IP atau geolokasi yang tidak sesuai pola normal; (4) eskalasi insiden kepada manajemen, dokumentasikan scope potensi eksposur konfigurasi, dan jadwalkan implementasi pembatasan akses jaringan sebagai prioritas segera</t>
  </si>
  <si>
    <t>Batasi akses console mail server hanya dari jaringan internal atau VPN; implementasi review log akses berkala; lakukan hardening konfigurasi tampilan yang membatasi detail filtering hanya kepada pengguna dengan kewenangan yang sesuai</t>
  </si>
  <si>
    <t>Personel IT Infra - Sysadmin berkoordinasi dengan Personel Security Analyst dan Personel IT Governance</t>
  </si>
  <si>
    <t>MFA sudah berjalan sebagai kontrol autentikasi yang memadai namun console masih dapat diakses dari internet tanpa pembatasan jaringan dan tidak ada review log akses, detail konfigurasi filtering berpotensi terekspos kepada threat actor, risiko masih terbuka pada level Tinggi, status In Progress dan menjadi prioritas utama untuk segera dibatasi akses console hanya dari jaringan internal atau VPN</t>
  </si>
  <si>
    <t xml:space="preserve"> - Batasi akses console mail server hanya dari jaringan internal atau VPN — implementasikan firewall rule atau network policy yang memblokir akses console dari internet secara langsung; pastikan seluruh akses wajib melalui VPN yang terautentikasi sebagai lapisan kontrol tambahan di atas MFA yang sudah ada
 - Implementasi review log akses console mail server secara berkala — aktifkan logging seluruh aktivitas akses console dan integrasikan ke Wazuh atau log aggregator yang sudah tersedia; tetapkan jadwal review minimal mingguan untuk mendeteksi pola akses tidak wajar atau upaya reconnaissance terhadap konfigurasi filtering
 - Lakukan hardening konfigurasi tampilan detail filtering — batasi visibilitas detail aturan antispam, antivirus, dan content filtering berdasarkan level kewenangan pengguna; pastikan hanya administrator yang berwenang yang dapat melihat dan memodifikasi konfigurasi sensitif; terapkan prinsip least privilege pada seluruh akun console
 - Jadwalkan review berkala konfigurasi filtering dan efektivitas deteksi — lakukan evaluasi konfigurasi antispam, antivirus, dan content filtering secara berkala untuk memastikan tetap efektif terhadap teknik bypass terbaru; update rule filtering berdasarkan threat intelligence terkini dan temuan dari analisis email yang lolos</t>
  </si>
  <si>
    <t>Postur keamanan operasional yang tidak meningkat secara substansif dan kegagalan saat audit eksternal atau insiden nyata berpotensi terjadi — akibat implementasi ISO 27001 yang masih sebatas kepatuhan terdokumentasi tanpa mekanisme pengawasan yang memvalidasi efektivitas kontrol dalam operasional sehari-hari</t>
  </si>
  <si>
    <t>Tidak adanya mekanisme pengawasan dan validasi yang memastikan kontrol terdokumentasi diimplementasikan secara konsisten; keterbatasan man power dan kepincangan struktur yang mengakibatkan implementasi kontrol tidak menjadi prioritas di tengah banyaknya project per departemen; sosialisasi sudah berjalan namun tanpa mekanisme enforcement yang memastikan kontrol benar-benar dijalankan</t>
  </si>
  <si>
    <t>Gap signifikan antara kepatuhan terdokumentasi dan implementasi aktual yang terekspos saat audit eksternal; postur keamanan operasional tidak meningkat meskipun investasi sertifikasi ISO 27001 sudah dilakukan; insiden keamanan yang seharusnya dicegah oleh kontrol yang terdokumentasi tetap terjadi karena kontrol tidak dijalankan; potensi kehilangan sertifikasi ISO 27001 jika audit surveillance menemukan gap implementasi yang signifikan</t>
  </si>
  <si>
    <t>Temuan major non-conformity saat audit surveillance ISO 27001 yang mengancam keberlanjutan sertifikasi; insiden keamanan yang terjadi akibat kontrol yang terdokumentasi tidak dijalankan; reputasi perusahaan yang terdampak akibat ketidaksesuaian antara klaim kepatuhan dan kondisi aktual; sanksi regulasi akibat kontrol yang disyaratkan tidak diimplementasikan secara efektif</t>
  </si>
  <si>
    <t>Tidak ada mekanisme pengawasan pelaksanaan kontrol yang berjalan secara konsisten; validasi efektivitas kontrol tidak dilakukan secara berkala; man power dan struktur yang tidak memadai untuk memastikan implementasi end-to-end; kontrol hanya dijalankan menjelang audit tanpa kontinuitas dalam operasional sehari-hari</t>
  </si>
  <si>
    <t>Program sosialisasi kebijakan dan SOP telah dilaksanakan; dokumentasi telah tersedia dan dapat diakses melalui platform web aplikasi internal; namun belum terdapat mekanisme pengawasan dan validasi yang memastikan kontrol diimplementasikan secara konsisten dan efektif dalam operasional sehari-hari</t>
  </si>
  <si>
    <t>9.1 – Pemantauan, pengukuran, analisis dan evaluasi; 
9.2 – Audit internal; 
10.1 – Ketidaksesuaian dan tindakan korektif</t>
  </si>
  <si>
    <t>A.5.1 – Kebijakan keamanan informasi; 
A.5.36 – Kepatuhan terhadap kebijakan dan standar keamanan informasi; 
A.5.37 – Prosedur operasi yang terdokumentasi</t>
  </si>
  <si>
    <r>
      <rPr>
        <b/>
        <sz val="10"/>
        <color theme="1"/>
        <rFont val="Montserrat"/>
      </rPr>
      <t>Rendah</t>
    </r>
    <r>
      <rPr>
        <sz val="10"/>
        <color theme="1"/>
        <rFont val="Montserrat"/>
      </rPr>
      <t xml:space="preserve"> — perusahaan tidak bersedia membiarkan gap antara kepatuhan terdokumentasi dan implementasi aktual terus melebar mengingat dampak langsung pada keberlanjutan sertifikasi ISO 27001, efektivitas postur keamanan operasional, dan pemenuhan kewajiban regulasi</t>
    </r>
  </si>
  <si>
    <r>
      <rPr>
        <b/>
        <sz val="10"/>
        <color theme="1"/>
        <rFont val="Montserrat"/>
      </rPr>
      <t>Sedang</t>
    </r>
    <r>
      <rPr>
        <sz val="10"/>
        <color theme="1"/>
        <rFont val="Montserrat"/>
      </rPr>
      <t xml:space="preserve"> — perusahaan masih dapat beroperasi selama nilai risiko residual ≤ 9; jika residual masih &gt;9, wajib eskalasi ke manajemen senior. 
Sebagai syarat minimum toleransi, organisasi wajib memastikan telah tersedia: (1) mekanisme pengawasan pelaksanaan kontrol yang berjalan secara konsisten dengan PIC yang terdefinisi dan laporan berkala kepada manajemen, dan (2) program internal audit atau compliance check berkala yang memvalidasi efektivitas implementasi kontrol secara substansif bukan hanya kelengkapan dokumentasi</t>
    </r>
  </si>
  <si>
    <t>(1) Lakukan gap assessment segera terhadap seluruh kontrol ISO 27001 untuk mengidentifikasi mana yang terdokumentasi namun tidak diimplementasikan secara aktual; (2) prioritaskan remediasi kontrol dengan dampak tertinggi terhadap postur keamanan dan yang paling berpotensi menjadi temuan major non-conformity dalam audit surveillance berikutnya; (3) bentuk tim task force sementara untuk memastikan kontrol kritis diimplementasikan sebelum jadwal audit eksternal berikutnya; (4) eskalasi kondisi kepada manajemen senior dengan laporan gap yang terukur dan remediation plan yang dapat dipertanggungjawabkan</t>
  </si>
  <si>
    <t>Implementasi mekanisme pengawasan pelaksanaan kontrol dengan PIC yang terdefinisi; jadwalkan program internal audit atau compliance check berkala yang memvalidasi efektivitas implementasi secara substansif; tetapkan mekanisme pelaporan kepatuhan berkala kepada manajemen</t>
  </si>
  <si>
    <t>Sosialisasi dan distribusi dokumen sudah berjalan namun tidak ada mekanisme pengawasan yang memastikan kontrol diimplementasikan secara konsisten, gap antara dokumentasi dan implementasi aktual sudah terbukti terjadi, risiko masih terbuka penuh pada level Tinggi dengan probabilitas sangat tinggi, status New - Open dan menjadi prioritas utama untuk segera dilakukan gap assessment dan diimplementasikan mekanisme pengawasan pelaksanaan kontrol</t>
  </si>
  <si>
    <t>Personel IT Governance berkoordinasi dengan Personel CTIO dan seluruh PIC kontrol per domain</t>
  </si>
  <si>
    <t xml:space="preserve"> - Lakukan gap assessment menyeluruh terhadap implementasi kontrol ISO 27001 — identifikasi seluruh kontrol yang terdokumentasi namun tidak diimplementasikan secara konsisten dalam operasional; kategorikan berdasarkan dampak terhadap postur keamanan dan risiko temuan saat audit surveillance; jadikan sebagai baseline prioritas remediasi
 - Implementasi mekanisme pengawasan pelaksanaan kontrol dengan PIC terdefinisi — tetapkan PIC yang bertanggung jawab atas pengawasan implementasi kontrol per domain; definisikan format dan frekuensi pelaporan status implementasi kepada manajemen; pastikan pengawasan berjalan sebagai rutinitas operasional bukan hanya menjelang audit
 - Jadwalkan program internal audit atau compliance check berkala — lakukan validasi efektivitas implementasi kontrol secara substansif minimal semesteran; fokuskan pada verifikasi bahwa kontrol benar-benar dijalankan bukan hanya terdokumentasi; dokumentasikan temuan dan tindakan korektif sebagai bukti continuous improvement kepada auditor eksternal
 - Tetapkan mekanisme pelaporan kepatuhan berkala kepada manajemen — buat dashboard atau laporan ringkasan status implementasi kontrol ISO 27001 yang disampaikan kepada manajemen senior secara triwulanan; gunakan sebagai dasar pengambilan keputusan alokasi man power dan prioritas remediasi gap yang teridentifikasi</t>
  </si>
  <si>
    <t>Ancaman keamanan yang tidak terdeteksi dan insiden yang tidak tertangani secara memadai berpotensi terjadi secara konsisten — akibat tidak adanya personil IT Security Analyst yang dedicated dan seluruh fungsi keamanan dijalankan secara merangkap tanpa kapabilitas yang memadai</t>
  </si>
  <si>
    <t>Tidak adanya personil IT Security Analyst yang ditugaskan secara dedicated untuk menjalankan fungsi keamanan informasi; fungsi keamanan dijalankan oleh personil yang merangkap dengan tanggung jawab operasional lain sehingga tidak mendapat perhatian dan kapabilitas yang memadai; tidak adanya struktur organisasi yang mendefinisikan fungsi IT Security sebagai entitas tersendiri</t>
  </si>
  <si>
    <t>Pemantauan keamanan tidak berjalan secara proaktif dan berkelanjutan; ancaman dan anomali tidak terdeteksi secara dini akibat tidak ada yang secara dedicated memantau; respons insiden terlambat dan tidak terstruktur karena tidak ada PIC dedicated; postur keamanan organisasi tidak meningkat secara substansif karena tidak ada yang bertanggung jawab penuh atas fungsi keamanan</t>
  </si>
  <si>
    <t>Ancaman siber yang tidak terdeteksi akibat tidak ada monitoring dedicated; insiden keamanan yang tidak tertangani tepat waktu karena personil merangkap tidak dapat memprioritaskan respons; akumulasi kerentanan yang tidak ditindaklanjuti karena tidak ada yang bertanggung jawab penuh; kegagalan pemenuhan kewajiban keamanan regulasi akibat fungsi keamanan yang tidak terstruktur</t>
  </si>
  <si>
    <t>Tidak ada personil dedicated IT Security Analyst; fungsi keamanan dijalankan secara merangkap tanpa kapabilitas dan waktu yang memadai; tidak ada struktur organisasi yang mendefinisikan IT Security sebagai fungsi tersendiri; tidak ada program pengembangan kompetensi keamanan yang terstruktur</t>
  </si>
  <si>
    <t>Fungsi keamanan informasi saat ini dijalankan oleh personil yang merangkap dengan tanggung jawab operasional lain secara non-dedicated; belum terdapat personil IT Security Analyst yang ditugaskan secara eksklusif untuk menjalankan fungsi pemantauan keamanan, deteksi ancaman, dan respons insiden secara proaktif</t>
  </si>
  <si>
    <t>7.1 – Sumber daya; 
7.2 – Kompetensi; 
5.3 – Peran, tanggung jawab, dan wewenang organisasi</t>
  </si>
  <si>
    <t>A.5.2 – Peran dan tanggung jawab keamanan informasi; 
A.6.1 – Penyaringan; 
A.6.3 – Kesadaran, pendidikan dan pelatihan keamanan informasi</t>
  </si>
  <si>
    <r>
      <rPr>
        <b/>
        <sz val="10"/>
        <color theme="1"/>
        <rFont val="Montserrat"/>
      </rPr>
      <t>Rendah</t>
    </r>
    <r>
      <rPr>
        <sz val="10"/>
        <color theme="1"/>
        <rFont val="Montserrat"/>
      </rPr>
      <t xml:space="preserve"> — perusahaan tidak bersedia membiarkan fungsi keamanan informasi berjalan tanpa personil dedicated mengingat dampak langsung pada kemampuan deteksi dan respons ancaman yang secara langsung mempengaruhi seluruh postur keamanan organisasi</t>
    </r>
  </si>
  <si>
    <t>Sedang — perusahaan masih dapat beroperasi selama nilai risiko residual ≤ 9; jika residual masih &gt;9, wajib eskalasi ke manajemen senior. 
Sebagai syarat minimum toleransi, organisasi wajib memastikan telah tersedia: (1) minimal satu personil yang ditugaskan secara dedicated untuk menjalankan fungsi IT Security Analyst dengan job description dan KPI yang terdefinisi, dan (2) prosedur eskalasi dan respons insiden yang terdokumentasi dan dapat dijalankan oleh personil yang ditugaskan</t>
  </si>
  <si>
    <t>(1) Aktifkan prosedur respons insiden darurat dengan menugaskan personil yang paling kompeten saat ini sebagai incident commander sementara meskipun merangkap; (2) lakukan triase dan prioritisasi insiden yang sedang terjadi untuk memastikan yang paling berdampak ditangani terlebih dahulu; (3) eskalasi insiden kepada manajemen senior dengan rekomendasi mendesak penugasan personil dedicated sebagai tindakan korektif segera; (4) dokumentasikan seluruh insiden dan gap penanganan sebagai justifikasi urgensi penambahan personil IT Security Analyst dedicated</t>
  </si>
  <si>
    <t>Tetapkan minimal satu personil IT Security Analyst dedicated dengan job description dan KPI yang terdefinisi; susun struktur fungsi IT Security yang jelas dalam organisasi; kembangkan kompetensi keamanan melalui program pelatihan dan sertifikasi yang terstruktur</t>
  </si>
  <si>
    <t>Fungsi keamanan saat ini dijalankan secara merangkap tanpa kapabilitas yang memadai, ancaman tidak dapat dipantau dan direspons secara proaktif, risiko masih terbuka penuh pada level Tinggi, status New - Open dan menjadi prioritas utama untuk segera ditetapkan personil IT Security Analyst dedicated sebelum insiden keamanan yang tidak tertangani terjadi</t>
  </si>
  <si>
    <t>Personel CTIO berkoordinasi dengan Personel IT Governance dan HR</t>
  </si>
  <si>
    <t xml:space="preserve"> - Tetapkan dan tugaskan personil IT Security Analyst dedicated — definisikan job description, scope tanggung jawab, dan KPI yang jelas untuk fungsi IT Security Analyst; lakukan penugasan dari personil internal yang paling kompeten sebagai langkah interim sambil proses rekrutmen eksternal berjalan jika kapasitas internal tidak mencukupi
 - Susun struktur fungsi IT Security sebagai entitas tersendiri — definisikan posisi IT Security dalam struktur organisasi IT dengan garis pelaporan yang jelas; pastikan fungsi ini tidak merangkap dengan tanggung jawab operasional lain yang dapat mengurangi fokus dan efektivitas pengawasan keamanan
 - Dokumentasikan prosedur monitoring dan respons insiden — susun SOP pemantauan keamanan harian, prosedur deteksi anomali, dan panduan respons insiden yang dapat dijalankan oleh personil yang ditugaskan; pastikan prosedur ini dapat dieksekusi secara mandiri tanpa bergantung pada pengetahuan implisit individu
 - Investasikan dalam program pelatihan dan sertifikasi keamanan — identifikasi sertifikasi relevan seperti CompTIA Security+, CEH, atau CISSP; jadwalkan program pelatihan untuk meningkatkan kompetensi personil yang ditugaskan; pertimbangkan kemitraan dengan MSSP sebagai bridge kapabilitas selama pembangunan tim internal berlangsung</t>
  </si>
  <si>
    <t>Peningkatan efektivitas tata kelola IT, kemandirian validasi kontrol keamanan, dan pemenuhan persyaratan audit internal ISO 27001 secara berkelanjutan berpotensi terwujud — melalui pembangunan fungsi IT Audit Internal berbasis pengembangan kompetensi tim Internal Audit yang sudah ada</t>
  </si>
  <si>
    <t>Ketergantungan penuh pada auditor eksternal untuk seluruh kebutuhan IT audit yang menimbulkan biaya tinggi dan keterbatasan frekuensi; persyaratan ISO 27001 yang mewajibkan program audit internal yang efektif dan berkelanjutan; kebutuhan validasi independen terhadap efektivitas implementasi kontrol keamanan yang tidak dapat dipenuhi secara memadai oleh fungsi yang merangkap</t>
  </si>
  <si>
    <t>Kemandirian dalam melaksanakan validasi efektivitas kontrol IT secara berkala tanpa bergantung penuh pada auditor eksternal; pemenuhan persyaratan audit internal ISO 27001 yang lebih konsisten dan berkelanjutan; identifikasi gap implementasi kontrol lebih dini sebelum terekspos dalam audit eksternal; pengurangan biaya audit eksternal jangka panjang melalui internalisasi sebagian fungsi audit IT</t>
  </si>
  <si>
    <t>Persyaratan ISO 27001 Clause 9.2 yang mewajibkan program audit internal yang efektif; tekanan regulasi OJK yang mensyaratkan fungsi audit internal yang kompeten terhadap risiko teknologi; ketergantungan pada auditor eksternal yang membatasi frekuensi dan kedalaman validasi kontrol</t>
  </si>
  <si>
    <t>Internal Audit tidak memiliki kompetensi IT audit; tidak ada metodologi atau framework IT audit yang diadopsi; tidak ada personil yang pernah menjalankan fungsi IT audit secara formal; pembangunan kapabilitas memerlukan investasi waktu dan anggaran yang tidak dapat direalisasikan secara instan</t>
  </si>
  <si>
    <t>Fungsi Internal Audit telah tersedia dalam struktur organisasi; namun kompetensi belum mencakup domain IT, tidak ada metodologi IT audit yang digunakan, dan seluruh kebutuhan audit IT dipenuhi melalui auditor eksternal tanpa pembangunan kapabilitas internal yang berkelanjutan</t>
  </si>
  <si>
    <t>9.2 – Audit internal; 
5.1 – Kepemimpinan dan komitmen; 
7.2 – Kompetensi</t>
  </si>
  <si>
    <t>A.5.35 – Tinjauan independen keamanan informasi; 
A.5.36 – Kepatuhan terhadap kebijakan dan standar keamanan informasi</t>
  </si>
  <si>
    <r>
      <rPr>
        <b/>
        <sz val="10"/>
        <color theme="1"/>
        <rFont val="Montserrat"/>
      </rPr>
      <t>Tinggi</t>
    </r>
    <r>
      <rPr>
        <sz val="10"/>
        <color theme="1"/>
        <rFont val="Montserrat"/>
      </rPr>
      <t xml:space="preserve"> — perusahaan memiliki ambisi untuk membangun kapabilitas IT Audit Internal secara bertahap mengingat manfaat jangka panjangnya terhadap kemandirian validasi kontrol, efisiensi biaya audit, dan pemenuhan persyaratan ISO 27001 yang berkelanjutan</t>
    </r>
  </si>
  <si>
    <r>
      <rPr>
        <b/>
        <sz val="10"/>
        <color theme="1"/>
        <rFont val="Montserrat"/>
      </rPr>
      <t>Sedang</t>
    </r>
    <r>
      <rPr>
        <sz val="10"/>
        <color theme="1"/>
        <rFont val="Montserrat"/>
      </rPr>
      <t xml:space="preserve"> — perusahaan masih dapat beroperasi dengan ketergantungan pada auditor eksternal dalam jangka pendek; jika temuan audit eksternal menunjukkan gap yang semakin melebar, realisasi peluang ini wajib dieskalasi sebagai prioritas investasi. 
Sebagai syarat minimum untuk mulai mengkapitalisasi peluang, organisasi wajib memastikan telah tersedia: (1) roadmap pembangunan kapabilitas IT Audit Internal yang terdokumentasi dan mendapat persetujuan manajemen, dan (2) minimal satu personil Internal Audit yang mengikuti pelatihan kompetensi IT audit sebagai langkah awal pembangunan kapabilitas</t>
    </r>
  </si>
  <si>
    <t>(1) Manfaatkan setiap temuan audit eksternal sebagai justifikasi konkret untuk memperkuat business case pembangunan IT Audit Internal kepada manajemen; (2) mulai dengan menugaskan personil Internal Audit untuk mengikuti proses audit IT eksternal berikutnya sebagai shadow auditor untuk membangun pemahaman awal tanpa biaya tambahan; (3) eksplorasi kemitraan dengan lembaga pelatihan atau konsultan yang dapat menyediakan program pengembangan kompetensi IT audit dengan biaya yang terukur; (4) eskalasi roadmap IT Audit Internal kepada manajemen dengan framing pengurangan ketergantungan pada auditor eksternal dan peningkatan frekuensi validasi kontrol sebagai proposisi nilai utama</t>
  </si>
  <si>
    <t>Susun roadmap pembangunan kapabilitas IT Audit Internal bertahap; adopsi framework IT audit yang sesuai seperti COBIT atau IIA GTAG; investasikan dalam pelatihan dan sertifikasi kompetensi IT audit untuk personil Internal Audit</t>
  </si>
  <si>
    <t>Personel IT Governance berkoordinasi dengan Personel CTIO, Internal Audit, dan HR</t>
  </si>
  <si>
    <t>Fungsi Internal Audit sudah tersedia sebagai fondasi struktural namun tidak memiliki kompetensi IT audit dan seluruh audit IT bergantung pada eksternal, peluang pembangunan kapabilitas internal belum dikapitalisasi sama sekali, status New - Open dan menjadi prioritas strategis untuk segera disusun roadmap dan dimulai investasi pengembangan kompetensi IT audit internal</t>
  </si>
  <si>
    <t xml:space="preserve"> - Susun business case dan roadmap pembangunan IT Audit Internal — dokumentasikan justifikasi bisnis yang mengkuantifikasi biaya ketergantungan pada auditor eksternal versus investasi pembangunan kapabilitas internal; susun roadmap bertahap yang realistis sesuai kapasitas; presentasikan kepada manajemen untuk mendapatkan komitmen strategis dan alokasi anggaran
 - Adopsi framework IT audit yang sesuai sebagai metodologi standar — evaluasi dan tetapkan framework yang akan digunakan seperti COBIT, IIA GTAG, atau ISACA IT Audit Framework; jadikan sebagai panduan resmi pelaksanaan IT audit internal yang memberikan struktur dan konsistensi metodologi sejak awal pembangunan kapabilitas
 - Investasikan dalam pelatihan dan sertifikasi kompetensi IT audit — identifikasi sertifikasi relevan seperti CISA atau IIA CISM untuk personil Internal Audit; tugaskan personil terpilih sebagai shadow auditor dalam proses audit IT eksternal berikutnya sebagai pembelajaran langsung berbiaya rendah; jadwalkan program pelatihan formal sebagai fondasi kompetensi
 - Mulai dengan pilot IT audit internal pada domain prioritas — laksanakan IT audit internal perdana pada satu domain yang paling terdokumentasi dan paling familiar bagi tim; gunakan hasil sebagai pembelajaran dan penyempurnaan metodologi sebelum diperluas ke seluruh domain IT secara bertahap</t>
  </si>
  <si>
    <t>Eksposur data perusahaan dan nasabah pada tools tidak terotorisasi serta kegagalan tata kelola IT berpotensi terjadi tanpa terdeteksi — akibat praktik shadow IT yang didorong oleh rendahnya awareness unit bisnis dan persepsi bahwa proses pengadaan IT terlalu lambat untuk memenuhi kebutuhan operasional</t>
  </si>
  <si>
    <t>Persepsi unit bisnis bahwa kerangka waktu delivery layanan IT tidak responsif terhadap kebutuhan bisnis yang mendesak; rendahnya awareness terhadap risiko keamanan informasi akibat penggunaan tools di luar standar IT; kontrol aktual terhadap penggunaan tools tidak terotorisasi yang sudah terlanjur diadopsi belum memadai</t>
  </si>
  <si>
    <t>Data perusahaan dan nasabah diproses pada tools SaaS yang tidak melalui review keamanan IT; kontrol keamanan dan tata kelola IT tidak berlaku pada tools shadow IT yang digunakan unit bisnis; potensi kebocoran data melalui tools yang tidak memenuhi standar keamanan dan kepatuhan regulasi; kesulitan audit dan compliance akibat penggunaan tools yang tidak terdaftar dalam inventaris IT resmi</t>
  </si>
  <si>
    <t>Kebocoran data melalui SaaS tidak terotorisasi yang tidak memenuhi standar keamanan; pelanggaran regulasi perlindungan data akibat pemrosesan data nasabah pada platform yang tidak di-review; akumulasi tools shadow IT yang menciptakan attack surface yang tidak terpantau; kegagalan audit akibat penggunaan tools yang tidak terdaftar</t>
  </si>
  <si>
    <t>Kontrol aktual terhadap penggunaan tools tidak terotorisasi masih terbatas meskipun kebijakan sudah ada; awareness unit bisnis terhadap risiko shadow IT masih rendah; tidak ada mekanisme inventarisasi dan deteksi tools yang sudah terlanjur diadopsi di luar proses resmi</t>
  </si>
  <si>
    <t>Mekanisme pengelolaan anggaran terpusat dan sentralisasi pembelian melalui Procurement telah diterapkan; kebijakan yang mewajibkan review IT terhadap pembelian tools teknologi telah tersedia; namun kontrol terhadap tools yang sudah terlanjur diadopsi belum memadai dan awareness unit bisnis masih rendah</t>
  </si>
  <si>
    <t>A.5.9 – Inventaris informasi dan aset terkait lainnya; 
A.5.19 – Keamanan informasi dalam hubungan pemasok; 
A.8.19 – Instalasi perangkat lunak pada sistem operasional</t>
  </si>
  <si>
    <r>
      <rPr>
        <b/>
        <sz val="10"/>
        <color theme="1"/>
        <rFont val="Montserrat"/>
      </rPr>
      <t>Sedang</t>
    </r>
    <r>
      <rPr>
        <sz val="10"/>
        <color theme="1"/>
        <rFont val="Montserrat"/>
      </rPr>
      <t xml:space="preserve"> — perusahaan dapat mentolerir keterbatasan kontrol shadow IT dalam jangka pendek selama mekanisme procurement terpusat dan kebijakan review IT sudah berjalan, namun tidak bersedia membiarkan tools tidak terotorisasi memproses data perusahaan dan nasabah tanpa review keamanan yang memadai</t>
    </r>
  </si>
  <si>
    <r>
      <rPr>
        <b/>
        <sz val="10"/>
        <color theme="1"/>
        <rFont val="Montserrat"/>
      </rPr>
      <t>Sedang</t>
    </r>
    <r>
      <rPr>
        <sz val="10"/>
        <color theme="1"/>
        <rFont val="Montserrat"/>
      </rPr>
      <t xml:space="preserve"> — perusahaan masih dapat beroperasi selama nilai risiko residual ≤ 6; jika residual masih &gt;6, wajib eskalasi ke manajemen. 
Sebagai syarat minimum toleransi, organisasi wajib memastikan telah tersedia: (1) mekanisme inventarisasi dan deteksi tools yang sudah terlanjur diadopsi di luar proses resmi, dan (2) program awareness shadow IT yang memastikan seluruh unit bisnis memahami risiko dan konsekuensi penggunaan tools di luar standar IT</t>
    </r>
  </si>
  <si>
    <t>(1) Lakukan inventarisasi darurat seluruh tools dan SaaS yang digunakan unit bisnis untuk mengidentifikasi yang diadopsi di luar proses resmi; (2) lakukan asesmen risiko cepat terhadap tools shadow IT yang teridentifikasi untuk menentukan apakah data sensitif sudah diproses dan scope eksposur yang mungkin terjadi; (3) berikan unit bisnis jalur legalisasi tools yang sudah terlanjur digunakan melalui proses review IT yang dipercepat untuk mencegah penghentian operasional mendadak; (4) eskalasi temuan kepada manajemen dan dokumentasikan seluruh tools tidak terotorisasi yang teridentifikasi sebagai dasar perbaikan kontrol</t>
  </si>
  <si>
    <t>Lakukan inventarisasi tools yang sudah terlanjur diadopsi; selenggarakan program awareness shadow IT kepada unit bisnis; tingkatkan responsivitas layanan IT untuk mengurangi insentif bypass procurement</t>
  </si>
  <si>
    <t>Personel IT Governance berkoordinasi dengan Personel CTIO, Procurement, dan seluruh kepala unit bisnis</t>
  </si>
  <si>
    <t>Centralisasi procurement dan kebijakan review IT sudah berjalan sebagai kontrol dasar yang memadai, namun kontrol aktual terhadap tools yang sudah terlanjur diadopsi dan awareness unit bisnis masih lemah, risiko belum mengalami penurunan signifikan, status In Progress dan menjadi prioritas untuk segera dilakukan inventarisasi tools shadow IT dan diselenggarakan program awareness</t>
  </si>
  <si>
    <t xml:space="preserve"> - Lakukan inventarisasi tools yang sudah terlanjur diadopsi di luar proses resmi — audit seluruh unit bisnis untuk mengidentifikasi SaaS dan tools yang digunakan tanpa melalui review IT; kategorikan berdasarkan risiko keamanan dan sensitivitas data yang diproses; berikan jalur legalisasi melalui proses review IT yang dipercepat untuk tools yang memenuhi standar keamanan
 - Selenggarakan program awareness shadow IT kepada seluruh unit bisnis — edukasi mengenai risiko keamanan dan kepatuhan penggunaan tools tidak terotorisasi; jelaskan konsekuensi hukum dan regulasi pemrosesan data nasabah pada platform yang tidak di-review; sampaikan jalur resmi yang tersedia untuk mengajukan kebutuhan tools baru dengan proses yang jelas dan responsif
 - Implementasi mekanisme deteksi shadow IT secara berkelanjutan — manfaatkan tools network monitoring yang sudah ada untuk mendeteksi traffic ke domain SaaS yang tidak terdaftar dalam inventaris IT resmi; tetapkan proses tindak lanjut yang jelas saat shadow IT terdeteksi
 - Evaluasi dan tingkatkan responsivitas proses pengadaan IT — identifikasi bottleneck dalam proses pengadaan yang menyebabkan unit bisnis merasa perlu bypass; implementasi fast-track approval untuk tools dengan risiko rendah dan nilai anggaran kecil; tetapkan SLA yang terukur untuk setiap kategori permintaan pengadaan IT</t>
  </si>
  <si>
    <t>Prosedur penanganan DSAR belum pernah disusun dan terdokumentasi; tidak ada PIC dedicated yang bertanggung jawab atas koordinasi respons DSAR lintas unit; awareness terhadap kewajiban DSAR per UU PDP masih sangat rendah di seluruh unit yang memproses data pribadi; tidak ada mekanisme penerimaan, verifikasi identitas, dan koordinasi respons yang terdefinisi</t>
  </si>
  <si>
    <t>Permintaan DSAR dari subjek data tidak dapat direspons dalam tenggat waktu wajib 3x24 jam; pelanggaran kewajiban UU PDP yang mengakibatkan sanksi administratif dari regulator; tuntutan hukum dari subjek data atas kegagalan pemenuhan hak privasi; kerusakan reputasi perusahaan akibat ketidakpatuhan terhadap regulasi perlindungan data yang bersifat mandatory</t>
  </si>
  <si>
    <t>Sanksi administratif dari regulator akibat kegagalan memenuhi tenggat waktu DSAR; tuntutan hukum dari subjek data yang permintaannya tidak ditangani sesuai ketentuan; audit regulasi yang mengungkap ketiadaan prosedur DSAR sebagai temuan major non-conformity; reputasi perusahaan yang terdampak akibat kegagalan memenuhi hak privasi nasabah</t>
  </si>
  <si>
    <t>Tidak ada prosedur DSAR yang terdokumentasi; tidak ada PIC dedicated untuk penanganan DSAR; tidak ada mekanisme penerimaan dan tracking permintaan DSAR; awareness kewajiban DSAR rendah di seluruh unit pemrosesan data; tidak ada jalur koordinasi lintas unit yang terdefinisi untuk memenuhi tenggat waktu 3x24 jam</t>
  </si>
  <si>
    <t>Register of Processing Activities telah tersedia sebagai dokumentasi aktivitas pemrosesan data pribadi; namun prosedur penanganan DSAR, mekanisme penerimaan permintaan, verifikasi identitas subjek data, koordinasi respons lintas unit, dan pemenuhan tenggat waktu wajib 3x24 jam belum tersedia dan tidak ada personil yang ditugaskan secara khusus</t>
  </si>
  <si>
    <t>A.5.34 – Privasi dan perlindungan informasi pribadi; 
A.5.31 – Persyaratan hukum, undang-undang, peraturan dan kontrak</t>
  </si>
  <si>
    <r>
      <rPr>
        <b/>
        <sz val="10"/>
        <color theme="1"/>
        <rFont val="Montserrat"/>
      </rPr>
      <t>Rendah</t>
    </r>
    <r>
      <rPr>
        <sz val="10"/>
        <color theme="1"/>
        <rFont val="Montserrat"/>
      </rPr>
      <t xml:space="preserve"> — perusahaan tidak bersedia menanggung risiko kegagalan pemenuhan kewajiban DSAR yang bersifat mandatory per UU PDP mengingat sanksi administratif, tuntutan hukum, dan kerusakan reputasi yang dapat ditimbulkan bersifat langsung dan tidak dapat dipulihkan dengan mudah</t>
    </r>
  </si>
  <si>
    <r>
      <rPr>
        <b/>
        <sz val="10"/>
        <color theme="1"/>
        <rFont val="Montserrat"/>
      </rPr>
      <t>Sedang</t>
    </r>
    <r>
      <rPr>
        <sz val="10"/>
        <color theme="1"/>
        <rFont val="Montserrat"/>
      </rPr>
      <t xml:space="preserve"> — perusahaan masih dapat beroperasi selama nilai risiko residual ≤ 9; jika residual masih &gt;9, wajib eskalasi ke manajemen senior dan Legal Counsel. 
Sebagai syarat minimum toleransi, organisasi wajib memastikan telah tersedia: (1) prosedur penanganan DSAR yang terdokumentasi mencakup mekanisme penerimaan, verifikasi identitas, koordinasi respons lintas unit, dan pemenuhan tenggat waktu 3x24 jam, dan (2) PIC yang ditunjuk secara formal dan bertanggung jawab atas koordinasi seluruh proses penanganan DSAR</t>
    </r>
  </si>
  <si>
    <t>(1) Aktifkan koordinasi darurat lintas unit dengan menunjuk PIC sementara segera setelah permintaan DSAR masuk untuk memastikan tidak ada permintaan yang terlewat; (2) lakukan verifikasi identitas subjek data dan identifikasi seluruh data pribadi yang relevan dari seluruh sistem yang memproses data subjek bersangkutan dalam waktu sesingkat mungkin; (3) koordinasikan penyusunan respons dengan Legal Counsel untuk memastikan konten dan format respons memenuhi ketentuan UU PDP sebelum disampaikan kepada subjek data; (4) dokumentasikan seluruh langkah penanganan sebagai bukti itikad baik kepada regulator dan jadikan insiden sebagai justifikasi urgensi penyusunan prosedur DSAR formal</t>
  </si>
  <si>
    <t>Susun prosedur DSAR yang mencakup seluruh tahapan dari penerimaan hingga respons dalam tenggat waktu 3x24 jam; tunjuk PIC dedicated yang bertanggung jawab atas koordinasi DSAR; sosialisasikan kewajiban DSAR kepada seluruh unit yang memproses data pribadi</t>
  </si>
  <si>
    <t>ROPA sudah tersedia sebagai fondasi dokumentasi pemrosesan data namun prosedur DSAR dan PIC dedicated belum ada sama sekali, kewajiban pemenuhan tenggat waktu 3x24 jam tidak dapat dipenuhi jika ada permintaan masuk saat ini, risiko masih terbuka penuh pada level Tinggi dengan probabilitas sangat tinggi, status New - Open dan menjadi prioritas utama untuk segera ditunjuk PIC dan disusun prosedur DSAR sebelum ada permintaan yang masuk</t>
  </si>
  <si>
    <t xml:space="preserve"> - Tunjuk PIC DSAR secara formal dan tetapkan tanggung jawabnya — tunjuk personil yang bertanggung jawab atas koordinasi seluruh proses penanganan DSAR lintas unit; definisikan scope tanggung jawab, kewenangan koordinasi, dan jalur eskalasi yang jelas; pastikan PIC memahami ketentuan UU PDP terkait hak subjek data dan tenggat waktu respons yang wajib dipenuhi
 - Susun prosedur DSAR yang komprehensif dan terdokumentasi — dokumentasikan seluruh tahapan penanganan DSAR mencakup mekanisme penerimaan permintaan, verifikasi identitas subjek data, koordinasi pengumpulan data dari seluruh sistem yang relevan, review Legal Counsel, penyusunan respons, dan pengiriman dalam tenggat waktu 3x24 jam; sertakan template respons standar untuk setiap jenis permintaan hak subjek data
 - Implementasi mekanisme penerimaan dan tracking permintaan DSAR — tetapkan channel resmi penerimaan permintaan DSAR yang dapat diakses nasabah; implementasi sistem tracking yang memantau status dan tenggat waktu setiap permintaan untuk memastikan tidak ada yang terlewat atau melampaui batas waktu regulasi
 - Sosialisasikan kewajiban DSAR kepada seluruh unit pemrosesan data — edukasi seluruh unit yang memproses data pribadi nasabah mengenai jenis-jenis hak subjek data per UU PDP, kewajiban pemenuhan dalam 3x24 jam, dan prosedur koordinasi dengan PIC DSAR saat menerima permintaan dari nasabah melalui channel manapun</t>
  </si>
  <si>
    <t>Pelanggaran kewajiban regulasi UU PDP dan eksposur terhadap sanksi administratif berpotensi terjadi — akibat tidak tersedianya prosedur DSAR (Data Subject Access Request) yang terdokumentasi dan tidak adanya PIC dedicated, sehingga permintaan hak subjek data tidak dapat direspons dalam tenggat waktu wajib 3x24 jam.
Note: Hak Akses, Hak Koreksi, Hak Penghapusan, Hak Pembatasan Pemrosesan, Hak Keberatan</t>
  </si>
  <si>
    <t>Pelanggaran kewajiban notifikasi regulasi yang memperburuk eksposur sanksi dan tuntutan hukum berpotensi terjadi — akibat kecenderungan menunda pelaporan pelanggaran data hingga mitigasi selesai dan kekhawatiran reputasi yang mengabaikan bahwa kewajiban notifikasi per UU PDP bersifat independen dari status penyelesaian insiden</t>
  </si>
  <si>
    <t>Tidak adanya prosedur yang mendefinisikan kewajiban notifikasi pelanggaran data sebagai tindakan independen yang harus dipenuhi dalam tenggat waktu terlepas dari status mitigasi; kekhawatiran terhadap dampak reputasi yang mendorong penundaan pelaporan; rendahnya pemahaman pemangku kepentingan bahwa penundaan notifikasi justru memperburuk eksposur sanksi regulasi</t>
  </si>
  <si>
    <t>Kegagalan memenuhi tenggat waktu notifikasi wajib kepada regulator dan subjek data terdampak per UU PDP; pelanggaran kewajiban regulasi yang diperburuk akibat penundaan notifikasi di atas sanksi dari insiden pelanggaran data itu sendiri; potensi sanksi berlapis dari regulator akibat dua pelanggaran sekaligus yaitu pelanggaran data dan kegagalan notifikasi; kerusakan reputasi yang justru semakin parah jika penundaan notifikasi terungkap dalam proses investigasi regulasi</t>
  </si>
  <si>
    <t>Sanksi administratif berlapis dari regulator akibat kegagalan notifikasi tepat waktu; tuntutan hukum dari subjek data yang terlambat diberitahu tentang pelanggaran yang mempengaruhi data mereka; investigasi regulasi yang diperluas akibat ditemukannya pola penundaan notifikasi yang disengaja; kerusakan reputasi yang lebih besar akibat terungkapnya upaya penyembunyian insiden</t>
  </si>
  <si>
    <t>Tidak ada prosedur yang memisahkan kewajiban notifikasi dari proses mitigasi; pemahaman pemangku kepentingan terhadap tenggat waktu notifikasi wajib per UU PDP masih rendah; budaya kekhawatiran reputasi yang lebih dominan dari kepatuhan regulasi; tidak ada PIC yang bertanggung jawab memastikan kewajiban notifikasi dipenuhi secara independen</t>
  </si>
  <si>
    <t>Mekanisme pelaporan insiden internal telah berjalan; namun pelaporan kepada otoritas regulasi dan pemberitahuan kepada individu terdampak dilakukan setelah langkah mitigasi tersedia tanpa prosedur yang mendefinisikan kewajiban notifikasi sebagai tindakan independen yang harus dipenuhi dalam tenggat waktu UU PDP</t>
  </si>
  <si>
    <t>A.5.34 – Privasi dan perlindungan informasi pribadi; 
A.5.26 – Respons terhadap insiden keamanan informasi; 
A.5.31 – Persyaratan hukum, undang-undang, peraturan dan kontrak</t>
  </si>
  <si>
    <r>
      <rPr>
        <b/>
        <sz val="10"/>
        <color theme="1"/>
        <rFont val="Montserrat"/>
      </rPr>
      <t>Rendah</t>
    </r>
    <r>
      <rPr>
        <sz val="10"/>
        <color theme="1"/>
        <rFont val="Montserrat"/>
      </rPr>
      <t xml:space="preserve"> — perusahaan tidak bersedia menanggung risiko kegagalan notifikasi yang memperburuk eksposur sanksi regulasi, mengingat penundaan notifikasi justru menambah pelanggaran di atas insiden awal dan berpotensi mengakibatkan sanksi berlapis yang lebih merugikan dari insiden itu sendiri</t>
    </r>
  </si>
  <si>
    <r>
      <rPr>
        <b/>
        <sz val="10"/>
        <color theme="1"/>
        <rFont val="Montserrat"/>
      </rPr>
      <t>Sedang</t>
    </r>
    <r>
      <rPr>
        <sz val="10"/>
        <color theme="1"/>
        <rFont val="Montserrat"/>
      </rPr>
      <t xml:space="preserve"> — perusahaan masih dapat beroperasi selama nilai risiko residual ≤ 9; jika residual masih &gt;9, wajib eskalasi ke manajemen senior dan Legal Counsel. 
Sebagai syarat minimum toleransi, organisasi wajib memastikan telah tersedia: (1) prosedur yang secara eksplisit mendefinisikan kewajiban notifikasi pelanggaran data sebagai tindakan independen dengan tenggat waktu yang terdokumentasi terlepas dari status mitigasi, dan (2) pemahaman yang tervalidasi dari seluruh pemangku kepentingan kunci bahwa penundaan notifikasi memperburuk eksposur sanksi bukan melindungi reputasi</t>
    </r>
  </si>
  <si>
    <t>(1) Aktifkan kewajiban notifikasi segera setelah pelanggaran data dikonfirmasi tanpa menunggu mitigasi selesai — notifikasi kepada regulator dan subjek data terdampak adalah tindakan paralel bukan sekuensial terhadap mitigasi; (2) engajemen Legal Counsel segera untuk memvalidasi konten notifikasi, mengidentifikasi regulator yang harus diberitahu, dan memastikan format serta tenggat waktu notifikasi memenuhi ketentuan UU PDP; (3) dokumentasikan seluruh timeline notifikasi sebagai bukti itikad baik kepada regulator bahwa kewajiban notifikasi dipenuhi sesuai ketentuan; (4) eskalasi kepada manajemen senior dengan penjelasan bahwa transparansi dan notifikasi tepat waktu justru memitigasi risiko sanksi berlapis yang jauh lebih merugikan dari dampak reputasi notifikasi itu sendiri</t>
  </si>
  <si>
    <t>Susun prosedur notifikasi pelanggaran data yang mendefinisikan kewajiban notifikasi sebagai tindakan independen dari mitigasi; sosialisasikan kepada manajemen bahwa penundaan notifikasi memperburuk eksposur sanksi; tunjuk PIC yang bertanggung jawab memastikan kewajiban notifikasi terpenuhi tepat waktu</t>
  </si>
  <si>
    <t>Pelaporan insiden internal sudah berjalan namun dengan kebiasaan menunggu mitigasi yang berpotensi melewati tenggat waktu notifikasi wajib, pemahaman terhadap kewajiban notifikasi independen masih rendah, risiko belum mengalami penurunan, status In Progress dan menjadi prioritas untuk segera disusun prosedur notifikasi dan disosialisasikan kepada manajemen bahwa penundaan notifikasi memperburuk eksposur sanksi</t>
  </si>
  <si>
    <t>Personel IT Governance berkoordinasi dengan Legal Counsel dan Personel CTIO</t>
  </si>
  <si>
    <t xml:space="preserve"> - Susun prosedur notifikasi pelanggaran data yang mendefinisikan kewajiban notifikasi sebagai tindakan independen — dokumentasikan prosedur yang secara eksplisit menetapkan bahwa notifikasi kepada regulator dan subjek data terdampak adalah kewajiban yang harus dipenuhi dalam tenggat waktu UU PDP terlepas dari status penyelesaian mitigasi; sertakan decision tree yang memandu kapan kewajiban notifikasi dipicu dan siapa yang harus diberitahu
 - Sosialisasikan kepada manajemen bahwa transparansi dan ketepatan notifikasi memitigasi sanksi — sampaikan secara terstruktur bahwa penundaan notifikasi untuk melindungi reputasi justru menambah pelanggaran dan memperburuk sanksi; gunakan studi kasus regulasi aktual sebagai ilustrasi konsekuensi penundaan versus manfaat notifikasi tepat waktu yang dapat menunjukkan itikad baik kepada regulator
 - Tunjuk PIC notifikasi dan integrasikan ke dalam prosedur respons insiden — tetapkan personil yang bertanggung jawab memastikan kewajiban notifikasi terpenuhi tepat waktu dalam setiap skenario pelanggaran data; integrasikan peran ini ke dalam prosedur incident response yang sudah ada sehingga notifikasi berjalan paralel dengan mitigasi bukan menunggu selesainya mitigasi
 - Jadwalkan tabletop exercise skenario notifikasi pelanggaran data — simulasikan skenario pelanggaran data nyata yang mencakup seluruh tahapan dari deteksi, notifikasi regulator, pemberitahuan subjek data, hingga koordinasi Legal Counsel; gunakan hasil simulasi untuk mengidentifikasi gap prosedur dan memastikan seluruh pemangku kepentingan memahami peran dan tenggat waktu masing-masing</t>
  </si>
  <si>
    <t>Gangguan operasional infrastruktur IT yang berkepanjangan dan tidak dapat dipulihkan secara mandiri berpotensi terjadi kapan saja — akibat seluruh pengetahuan teknis hanya tersimpan pada key person tanpa dokumentasi yang dapat diakses personil lain sehingga menciptakan single point of knowledge yang kritis</t>
  </si>
  <si>
    <t>Tidak adanya kebijakan dan rutinitas yang mewajibkan dokumentasi teknis sebagai bagian dari proses kerja operasional; keterbatasan personil yang menyebabkan seluruh kapasitas terserap pada pekerjaan operasional harian tanpa alokasi waktu untuk dokumentasi; knowledge spesialis yang bersifat sangat teknis dan tidak memiliki backup personil yang dapat memahami dan mewarisi pengetahuan tersebut</t>
  </si>
  <si>
    <t>Gangguan operasional yang tidak dapat ditangani jika key person tidak tersedia akibat sakit, cuti, atau resign; peningkatan Mean Time to Resolve yang signifikan akibat tidak ada referensi penanganan insiden yang dapat digunakan personil lain; knowledge loss permanen jika key person mengundurkan diri tanpa sempat melakukan transfer pengetahuan; ketergantungan ekstrem yang membatasi kemampuan organisasi dalam merespons insiden infrastruktur secara tepat waktu</t>
  </si>
  <si>
    <t>Knowledge loss permanen akibat resign atau ketidaktersediaan mendadak key person; gangguan layanan berkepanjangan yang tidak dapat ditangani tanpa key person; eskalasi insiden yang tidak dapat diselesaikan akibat tidak ada personil lain yang memahami infrastruktur; peningkatan ketergantungan pada vendor eksternal yang mahal akibat tidak ada kapabilitas internal</t>
  </si>
  <si>
    <t>Tidak ada dokumentasi teknis operasional infrastruktur; tidak ada instruksi kerja yang dapat digunakan personil lain; tidak ada knowledge base penanganan insiden; tidak ada backup personil yang memahami infrastruktur; tidak ada rutinitas knowledge transfer yang terstruktur</t>
  </si>
  <si>
    <t>Pengelolaan infrastruktur IT sepenuhnya mengandalkan pengetahuan implisit personil kunci yang tidak terdokumentasi; belum tersedia instruksi kerja operasional, knowledge base penanganan insiden, maupun dokumentasi teknis konfigurasi yang dapat diakses personil lain sebagai referensi mandiri</t>
  </si>
  <si>
    <t>7.5 – Informasi terdokumentasi; 
7.2 – Kompetensi; 
8.1 – Perencanaan dan pengendalian operasional</t>
  </si>
  <si>
    <r>
      <rPr>
        <b/>
        <sz val="10"/>
        <color theme="1"/>
        <rFont val="Montserrat"/>
      </rPr>
      <t>Rendah</t>
    </r>
    <r>
      <rPr>
        <sz val="10"/>
        <color theme="1"/>
        <rFont val="Montserrat"/>
      </rPr>
      <t xml:space="preserve"> — perusahaan tidak bersedia membiarkan seluruh operasional infrastruktur IT bergantung pada pengetahuan implisit satu atau beberapa individu tanpa dokumentasi mengingat dampak langsung pada keberlangsungan layanan dan kerentanan terhadap knowledge loss permanen yang tidak dapat dipulihkan</t>
    </r>
  </si>
  <si>
    <r>
      <rPr>
        <b/>
        <sz val="10"/>
        <color theme="1"/>
        <rFont val="Montserrat"/>
      </rPr>
      <t>Sedang</t>
    </r>
    <r>
      <rPr>
        <sz val="10"/>
        <color theme="1"/>
        <rFont val="Montserrat"/>
      </rPr>
      <t xml:space="preserve"> — perusahaan masih dapat beroperasi selama nilai risiko residual ≤ 9; jika residual masih &gt;9, wajib eskalasi ke manajemen. 
Sebagai syarat minimum toleransi, organisasi wajib memastikan telah tersedia: (1) dokumentasi teknis minimal untuk proses dan konfigurasi infrastruktur yang paling kritis yang memungkinkan personil lain melakukan penanganan dasar secara mandiri, dan (2) minimal satu sesi knowledge transfer yang terdokumentasi dari key person kepada backup personil untuk domain infrastruktur yang paling berisiko</t>
    </r>
  </si>
  <si>
    <t>(1) Aktifkan eskalasi darurat kepada key person melalui seluruh channel yang tersedia termasuk di luar jam kerja; jika key person tidak dapat dihubungi, aktifkan keterlibatan vendor atau konsultan eksternal sebagai contingency; (2) lakukan triase insiden untuk mengidentifikasi dampak layanan yang terdampak dan prioritaskan pemulihan berdasarkan kritikal bisnis; (3) dokumentasikan seluruh langkah penanganan yang dilakukan selama insiden sebagai knowledge capture darurat yang dapat dijadikan referensi di masa mendatang; (4) eskalasi kepada manajemen dengan laporan bahwa insiden terjadi akibat single point of knowledge dan jadikan sebagai justifikasi urgensi program dokumentasi dan knowledge transfer segera</t>
  </si>
  <si>
    <t>Susun dokumentasi teknis untuk proses dan konfigurasi infrastruktur kritis; laksanakan program knowledge transfer dari key person kepada backup personil; tetapkan kebijakan yang mewajibkan dokumentasi sebagai bagian dari proses kerja operasional</t>
  </si>
  <si>
    <t>Tidak ada dokumentasi teknis sama sekali dan operasional sepenuhnya bergantung pada key person tanpa backup, risiko knowledge loss permanen sangat tinggi dan dapat terjadi kapan saja, status New - Open dan menjadi prioritas utama untuk segera dilakukan knowledge capture dari key person sebelum terjadi knowledge loss yang tidak dapat dipulihkan</t>
  </si>
  <si>
    <t xml:space="preserve"> - Lakukan knowledge capture segera dari seluruh key person per domain infrastruktur — jadwalkan sesi dokumentasi intensif dengan key person untuk mengekstrak pengetahuan teknis kritis ke dalam format yang dapat diakses; prioritaskan domain yang paling berisiko jika key person tidak tersedia; jadikan ini sebagai tindakan darurat mengingat probabilitas kejadian yang sangat tinggi
 - Susun dokumentasi teknis infrastruktur kritis — buat instruksi kerja step-by-step untuk proses operasional rutin, prosedur penanganan insiden yang paling sering terjadi, dan dokumentasi konfigurasi sistem kritis; simpan di platform yang dapat diakses seluruh tim IT secara terpusat
 - Tetapkan kebijakan dokumentasi sebagai komponen wajib proses kerja — buat kebijakan yang mewajibkan setiap penanganan insiden dan perubahan konfigurasi didokumentasikan sebelum dianggap selesai; integrasikan ke dalam closure tiket helpdesk sebagai syarat penyelesaian
 - Laksanakan program knowledge transfer kepada backup personil — identifikasi personil yang akan menjadi backup untuk setiap domain infrastruktur kritis; jadwalkan sesi transfer pengetahuan terstruktur dan validasi pemahaman backup personil melalui simulasi penanganan insiden terpandu</t>
  </si>
  <si>
    <t>Personel IT Infra - Sysadmin berkoordinasi dengan Personel IT Governance dan Personel CTIO</t>
  </si>
  <si>
    <t>Ancaman siber yang masuk dan beroperasi di dalam jaringan berpotensi tidak terdeteksi dalam waktu yang sangat lama — akibat tidak tersedianya SIEM terpusat dengan kapabilitas agregasi log lintas sumber, deteksi intrusi jaringan, dan alert otomatis yang memungkinkan organisasi mendeteksi aktivitas ancaman secara real-time</t>
  </si>
  <si>
    <t>Keterbatasan anggaran yang menghambat implementasi dan pengembangan SIEM terpusat; Wazuh yang tersedia baru dimanfaatkan untuk SCA tanpa pengembangan kapabilitas SIEM secara penuh; tidak ada integrasi sumber log lintas infrastruktur, tidak ada integrasi Suricata untuk deteksi intrusi jaringan, dan tidak ada koneksi ke platform threat intelligence</t>
  </si>
  <si>
    <t>Ancaman siber yang masuk ke jaringan tidak terdeteksi secara real-time; waktu hunian ancaman yang sangat panjang memungkinkan threat actor melakukan reconnaissance, lateral movement, dan eksfiltrasi data tanpa diketahui; tidak tersedianya audit trail yang memadai untuk investigasi forensik jika insiden teridentifikasi; kegagalan pemenuhan persyaratan monitoring regulasi yang mensyaratkan kemampuan deteksi ancaman yang memadai</t>
  </si>
  <si>
    <t>Threat actor yang beroperasi dalam jaringan tanpa terdeteksi dalam waktu lama; serangan APT yang memanfaatkan ketiadaan monitoring untuk bergerak lateral secara bebas; eksfiltrasi data yang tidak terdeteksi akibat tidak ada monitoring traffic anomali; ransomware yang menyebar di jaringan tanpa peringatan sebelum mengenkripsi data</t>
  </si>
  <si>
    <t>Tidak ada SIEM terpusat yang mengagregasi dan mengkorelasikan log lintas sumber; tidak ada integrasi Suricata untuk deteksi intrusi jaringan; tidak ada koneksi ke threat intelligence platform seperti MISP; tidak ada konfigurasi alert otomatis yang memperingatkan tim saat anomali terdeteksi; Wazuh hanya digunakan untuk SCA tanpa pengembangan kapabilitas monitoring penuh</t>
  </si>
  <si>
    <t>Wazuh telah diimplementasikan dan digunakan untuk Security Configuration Assessment berbasis CIS Control pada server; namun kapabilitas belum dikembangkan sebagai SIEM terpusat, belum terintegrasi dengan Suricata, belum terhubung ke MISP, dan belum menghasilkan alert otomatis sehingga tidak ada visibilitas real-time terhadap ancaman aktif</t>
  </si>
  <si>
    <r>
      <rPr>
        <b/>
        <sz val="10"/>
        <color theme="1"/>
        <rFont val="Montserrat"/>
      </rPr>
      <t>Rendah</t>
    </r>
    <r>
      <rPr>
        <sz val="10"/>
        <color theme="1"/>
        <rFont val="Montserrat"/>
      </rPr>
      <t xml:space="preserve"> — perusahaan tidak bersedia membiarkan lingkungan IT beroperasi dalam kondisi zero visibility terhadap ancaman siber mengingat ketiadaan deteksi real-time secara langsung memungkinkan threat actor beroperasi tanpa hambatan dan mengakibatkan dampak yang jauh lebih besar dari yang seharusnya</t>
    </r>
  </si>
  <si>
    <r>
      <rPr>
        <b/>
        <sz val="10"/>
        <color theme="1"/>
        <rFont val="Montserrat"/>
      </rPr>
      <t>Sedang</t>
    </r>
    <r>
      <rPr>
        <sz val="10"/>
        <color theme="1"/>
        <rFont val="Montserrat"/>
      </rPr>
      <t xml:space="preserve"> — perusahaan masih dapat beroperasi selama nilai risiko residual ≤ 9; jika residual masih &gt;9, wajib eskalasi ke manajemen senior. 
Sebagai syarat minimum toleransi, organisasi wajib memastikan telah tersedia: (1) Wazuh dikembangkan minimal sebagai SIEM dasar dengan agregasi log dari sumber kritis dan konfigurasi alert otomatis untuk anomali prioritas tinggi, dan (2) integrasi Suricata untuk deteksi intrusi jaringan sebagai lapisan visibilitas tambahan terhadap aktivitas ancaman di level network</t>
    </r>
  </si>
  <si>
    <t>(1) Lakukan investigasi manual segera terhadap log yang tersedia di Wazuh dan perangkat jaringan untuk mengidentifikasi indikasi kompromi yang mungkin sudah terjadi tanpa terdeteksi; (2) manfaatkan SCA yang sudah berjalan di Wazuh untuk mengidentifikasi konfigurasi yang menyimpang sebagai indikator awal potensi kompromi; (3) aktifkan monitoring manual yang lebih intensif pada titik-titik kritis jaringan sebagai kompensasi sementara selama SIEM belum tersedia; (4) eskalasi kondisi zero visibility kepada manajemen dengan justifikasi urgensi pengembangan SIEM dan alokasi anggaran sebagai prioritas keamanan</t>
  </si>
  <si>
    <t>Kembangkan Wazuh menjadi SIEM dasar dengan agregasi log lintas sumber dan alert otomatis; integrasikan Suricata untuk deteksi intrusi jaringan; susun roadmap pengembangan SIEM bertahap berbasis kapasitas anggaran yang tersedia</t>
  </si>
  <si>
    <t>Wazuh sudah berjalan untuk SCA namun kapabilitas SIEM terpusat, alert otomatis, dan integrasi sumber log belum ada sehingga organisasi beroperasi dalam kondisi zero visibility terhadap ancaman aktif, risiko masih terbuka penuh pada level Tinggi dengan probabilitas sangat tinggi, status New - Open dan menjadi prioritas utama untuk segera dikembangkan Wazuh sebagai SIEM dasar dengan alert otomatis</t>
  </si>
  <si>
    <t>Personel Security Analyst berkoordinasi dengan Personel DevSecOps, Personel IT Infra - Sysadmin, dan Personel IT Infra - Network</t>
  </si>
  <si>
    <t xml:space="preserve"> - Kembangkan Wazuh menjadi SIEM dasar dengan agregasi log lintas sumber — manfaatkan kapabilitas Wazuh yang sudah tersedia untuk mengagregasi log dari server, endpoint, firewall, dan perangkat jaringan kritis; konfigurasikan korelasi event dasar untuk mendeteksi pola anomali yang mengindikasikan aktivitas ancaman; ini tidak memerlukan anggaran tambahan dan dapat dimulai segera
 - Konfigurasi alert otomatis untuk anomali prioritas tinggi di Wazuh — tetapkan rule deteksi dan threshold untuk aktivitas mencurigakan seperti failed login berulang, privilege escalation, akses di luar jam kerja, dan perubahan konfigurasi tidak terotorisasi; integrasikan notifikasi ke channel komunikasi tim yang sudah ada
 - Integrasikan Suricata sebagai Network Intrusion Detection System — deploy Suricata pada titik strategis jaringan dan integrasikan alert-nya ke Wazuh untuk memberikan visibilitas terhadap aktivitas ancaman di level network; Suricata bersifat open-source sehingga tidak memerlukan anggaran lisensi
 - Susun roadmap pengembangan SIEM lanjutan termasuk integrasi MISP — dokumentasikan jalur pengembangan bertahap dari SIEM dasar menuju kapabilitas threat intelligence yang terintegrasi; jadikan sebagai justifikasi investasi anggaran kepada manajemen dengan kuantifikasi risiko kondisi zero visibility yang sedang berlangsung</t>
  </si>
  <si>
    <r>
      <t xml:space="preserve">Insiden operasional dan ancaman keamanan yang sesungguhnya berpotensi tidak terdeteksi dan tidak ditindaklanjuti — akibat kondisi </t>
    </r>
    <r>
      <rPr>
        <b/>
        <sz val="10"/>
        <color theme="1"/>
        <rFont val="Montserrat"/>
      </rPr>
      <t>alert fatigue</t>
    </r>
    <r>
      <rPr>
        <sz val="10"/>
        <color theme="1"/>
        <rFont val="Montserrat"/>
      </rPr>
      <t xml:space="preserve"> pada PRTG dimana volume false positive yang berlebihan menyebabkan seluruh alert diabaikan tanpa mekanisme triase, eskalasi, dan monitoring dedicated yang memadai</t>
    </r>
  </si>
  <si>
    <t>Konfigurasi threshold alert PRTG yang belum dioptimalkan sehingga menghasilkan volume false positive yang berlebihan; tidak adanya personil dedicated yang bertugas memonitor dan menindaklanjuti alert secara konsisten; kurangnya awareness terhadap dampak alert fatigue pada efektivitas monitoring; Wazuh belum dikonfigurasi untuk menghasilkan alert sehingga tidak berkontribusi pada kapabilitas deteksi</t>
  </si>
  <si>
    <t>Insiden operasional nyata yang tersembunyi di balik noise false positive tidak terdeteksi tepat waktu; ancaman keamanan yang menghasilkan alert genuine diabaikan bersama dengan false positive; peningkatan Mean Time to Detect yang signifikan akibat seluruh alert dianggap tidak relevan; kegagalan monitoring yang seharusnya menjadi mekanisme deteksi dini justru menciptakan false sense of security</t>
  </si>
  <si>
    <t>Insiden infrastruktur kritis yang tidak tertangani karena alertnya diabaikan bersama false positive; ancaman keamanan yang memanfaatkan kondisi alert fatigue untuk beroperasi tanpa terdeteksi; degradasi performa layanan yang tidak teridentifikasi akibat alert yang relevan tenggelam dalam noise; eskalasi insiden yang terlambat karena tidak ada triase alert yang efektif</t>
  </si>
  <si>
    <t>Threshold alert PRTG belum dioptimalkan sehingga menghasilkan false positive berlebihan; tidak ada mekanisme triase alert yang memisahkan genuine alert dari false positive; tidak ada personil dedicated monitoring; Wazuh belum dikonfigurasi untuk alert sehingga potensi deteksi tambahan tidak termanfaatkan; tidak ada prosedur eskalasi yang terdefinisi saat alert genuine teridentifikasi</t>
  </si>
  <si>
    <t>PRTG aktif dengan konfigurasi alert yang berjalan namun menghasilkan false positive berlebihan yang menyebabkan alert fatigue; Wazuh sudah tersedia namun baru digunakan untuk SCA tanpa konfigurasi alert; tidak ada personil dedicated yang memonitor dan menindaklanjuti alert secara konsisten</t>
  </si>
  <si>
    <t>A.8.16 – Aktivitas pemantauan; 
A.8.15 – Logging; 
A.5.25 – Asesmen dan keputusan terkait peristiwa keamanan informasi</t>
  </si>
  <si>
    <r>
      <rPr>
        <b/>
        <sz val="10"/>
        <color theme="1"/>
        <rFont val="Montserrat"/>
      </rPr>
      <t>Rendah</t>
    </r>
    <r>
      <rPr>
        <sz val="10"/>
        <color theme="1"/>
        <rFont val="Montserrat"/>
      </rPr>
      <t xml:space="preserve"> — perusahaan tidak bersedia membiarkan platform monitoring beroperasi dalam kondisi alert fatigue yang mengakibatkan seluruh alert diabaikan, mengingat kondisi ini menghilangkan nilai seluruh investasi monitoring dan menciptakan false sense of security yang lebih berbahaya dari tidak memiliki monitoring sama sekali</t>
    </r>
  </si>
  <si>
    <r>
      <rPr>
        <b/>
        <sz val="10"/>
        <color theme="1"/>
        <rFont val="Montserrat"/>
      </rPr>
      <t>Sedang</t>
    </r>
    <r>
      <rPr>
        <sz val="10"/>
        <color theme="1"/>
        <rFont val="Montserrat"/>
      </rPr>
      <t xml:space="preserve"> — perusahaan masih dapat beroperasi selama nilai risiko residual ≤ 6; jika residual masih &gt;6, wajib eskalasi ke manajemen. 
Sebagai syarat minimum toleransi, organisasi wajib memastikan telah tersedia: (1) konfigurasi threshold PRTG yang telah dioptimalkan untuk meminimalkan false positive sehingga alert yang tersisa memiliki tingkat relevansi yang memadai untuk ditindaklanjuti, dan (2) prosedur triase dan eskalasi alert yang terdokumentasi dengan PIC yang terdefinisi untuk menindaklanjuti alert genuine</t>
    </r>
  </si>
  <si>
    <t>(1) Lakukan audit segera terhadap seluruh alert PRTG yang aktif untuk mengidentifikasi apakah ada genuine alert yang sudah diabaikan dalam periode tertentu dan belum ditindaklanjuti; (2) triage manual terhadap seluruh alert yang terakumulasi untuk memisahkan yang genuine dari false positive dan prioritaskan penanganan yang berdampak pada layanan kritis; (3) nonaktifkan sementara alert yang sudah terbukti false positive secara konsisten sambil konfigurasi threshold diperbaiki untuk mengurangi noise segera; (4) eskalasi kondisi alert fatigue kepada manajemen dan dokumentasikan potensi insiden yang mungkin sudah terlewat sebagai justifikasi urgensi optimasi konfigurasi</t>
  </si>
  <si>
    <t>Optimasi konfigurasi threshold PRTG untuk meminimalkan false positive; tetapkan prosedur triase dan eskalasi alert dengan PIC yang terdefinisi; konfigurasi Wazuh untuk menghasilkan alert yang terintegrasi dengan PRTG sebagai sumber deteksi tambahan</t>
  </si>
  <si>
    <t>PRTG sudah berjalan dengan alert namun kondisi alert fatigue sudah terjadi dan genuine alert berpotensi diabaikan bersama false positive, tidak ada personil dedicated monitoring dan Wazuh belum menghasilkan alert, risiko belum mengalami penurunan, status In Progress dan menjadi prioritas untuk segera dioptimasi konfigurasi threshold PRTG dan ditetapkan prosedur triase alert</t>
  </si>
  <si>
    <t>Personel IT Infra - Sysadmin berkoordinasi dengan Personel Security Analyst dan Personel IT Infra - Network</t>
  </si>
  <si>
    <t xml:space="preserve"> - Optimasi konfigurasi threshold PRTG untuk meminimalkan false positive — review dan sesuaikan threshold seluruh sensor PRTG berdasarkan baseline performa aktual; nonaktifkan sensor yang secara konsisten menghasilkan false positive tanpa nilai deteksi; terapkan kategorisasi alert berdasarkan severity sehingga hanya alert Critical dan High yang memerlukan respons segera
 - Tetapkan prosedur triase dan eskalasi alert dengan PIC terdefinisi — dokumentasikan prosedur yang mendefinisikan siapa yang bertanggung jawab memonitor alert, bagaimana cara membedakan genuine alert dari false positive, dan jalur eskalasi yang harus dijalankan saat genuine alert teridentifikasi; tetapkan jadwal review alert harian minimal untuk memastikan tidak ada yang terlewat
 - Konfigurasi alert Wazuh dan integrasikan dengan mekanisme notifikasi — aktifkan rule deteksi Wazuh untuk anomali keamanan prioritas tinggi dan integrasikan notifikasinya ke channel komunikasi tim yang sudah ada; manfaatkan kapabilitas Wazuh sebagai sumber alert keamanan yang melengkapi monitoring infrastruktur PRTG
 - Implementasi dashboard monitoring terpusat yang mengkonsolidasikan alert — buat tampilan terpusat yang mengagregasi alert dari PRTG dan Wazuh dengan kategorisasi severity yang jelas; memungkinkan tim melihat kondisi keseluruhan infrastruktur dan keamanan dalam satu tampilan tanpa harus memeriksa masing-masing platform secara terpisah</t>
  </si>
  <si>
    <t>Kekhawatiran gangguan operasional yang menunda penerapan patch pada perangkat jaringan kritis; tidak adanya jadwal patch management yang terstruktur dan prosedur penilaian risiko sebelum penerapan patch; keterbatasan personil dan knowledge teknis yang menghambat pelaksanaan patch secara mandiri; perangkat yang sudah obsolete dan tidak lagi mendapat dukungan patch dari vendor</t>
  </si>
  <si>
    <t>Jendela eksploitasi yang diperpanjang pada kerentanan yang sudah diketahui publik di perangkat VPN dan firewall; kompromi infrastruktur jaringan kritis yang dapat mengakibatkan akses tidak terotorisasi ke seluruh jaringan; pelanggaran kepatuhan regulasi akibat tidak terpenuhinya standar patch management untuk infrastruktur kritis; pada perangkat obsolete, jendela eksploitasi bersifat permanen karena tidak ada patch yang dapat diterapkan</t>
  </si>
  <si>
    <t>Eksploitasi CVE publik pada firmware VPN dan firewall yang belum di-patch; serangan yang memanfaatkan kerentanan yang diketahui pada perangkat obsolete tanpa patch tersedia; compromise perimeter jaringan yang membuka akses ke seluruh infrastruktur internal; supply chain attack melalui firmware yang tidak terbarui</t>
  </si>
  <si>
    <t>Patch management tidak terstruktur dan bersifat reaktif; perangkat obsolete yang tidak mendapat dukungan patch vendor; keterbatasan personil dan knowledge yang menghambat penerapan patch mandiri; tidak ada mekanisme pemantauan status patch seluruh perangkat secara terpusat; tidak ada prosedur rollback yang terdokumentasi yang menyebabkan kekhawatiran berlebihan terhadap penerapan patch</t>
  </si>
  <si>
    <t>Dukungan vendor tersedia untuk membantu penanganan kendala teknis dan pelaksanaan patch; namun belum terdapat jadwal patch management terstruktur, prosedur penilaian risiko sebelum patch, maupun monitoring status patch terpusat sehingga penerapan masih bersifat reaktif dan berpotensi terlambat</t>
  </si>
  <si>
    <t>A.8.8 – Manajemen kerentanan teknis; 
A.8.20 – Keamanan jaringan; 
A.8.9 – Manajemen konfigurasi</t>
  </si>
  <si>
    <r>
      <rPr>
        <b/>
        <sz val="10"/>
        <color theme="1"/>
        <rFont val="Montserrat"/>
      </rPr>
      <t>Rendah</t>
    </r>
    <r>
      <rPr>
        <sz val="10"/>
        <color theme="1"/>
        <rFont val="Montserrat"/>
      </rPr>
      <t xml:space="preserve"> — perusahaan tidak bersedia membiarkan perangkat jaringan kritis beroperasi dengan kerentanan yang diketahui dalam jendela waktu yang diperpanjang mengingat perangkat jaringan seperti VPN dan firewall merupakan garis pertahanan pertama yang jika terkompromi membuka akses ke seluruh infrastruktur internal</t>
    </r>
  </si>
  <si>
    <r>
      <rPr>
        <b/>
        <sz val="10"/>
        <color theme="1"/>
        <rFont val="Montserrat"/>
      </rPr>
      <t>Sedang</t>
    </r>
    <r>
      <rPr>
        <sz val="10"/>
        <color theme="1"/>
        <rFont val="Montserrat"/>
      </rPr>
      <t xml:space="preserve"> — perusahaan masih dapat beroperasi selama nilai risiko residual ≤ 9; jika residual masih &gt;9, wajib eskalasi ke manajemen. 
Sebagai syarat minimum toleransi, organisasi wajib memastikan telah tersedia: (1) jadwal patch management terstruktur yang menetapkan SLA penerapan patch berdasarkan severity CVE untuk seluruh perangkat jaringan kritis, dan (2) inventarisasi status patch seluruh perangkat jaringan yang diperbarui secara berkala sebagai dasar prioritasi penerapan patch</t>
    </r>
  </si>
  <si>
    <t>(1) Identifikasi segera CVE aktif yang mempengaruhi perangkat VPN dan firewall yang belum di-patch dan asesmen tingkat keparahan serta kemudahan eksploitasinya; (2) koordinasikan dengan vendor untuk penerapan patch darurat pada CVE Critical dalam waktu sesingkat mungkin dengan prosedur rollback yang disiapkan terlebih dahulu untuk mengatasi kekhawatiran gangguan operasional; (3) implementasikan kompensasi kontrol sementara seperti pengetatan rule firewall atau pembatasan akses pada perangkat yang belum dapat di-patch; (4) eskalasi kepada manajemen dan dokumentasikan seluruh CVE yang belum tertangani sebagai justifikasi urgensi jadwal patch management terstruktur</t>
  </si>
  <si>
    <t>Tetapkan jadwal patch management terstruktur dengan SLA per severity CVE; susun prosedur rollback terdokumentasi untuk mengatasi kekhawatiran gangguan operasional; inventarisasi perangkat obsolete dan susun roadmap penggantian; manfaatkan vendor untuk pelaksanaan patch terjadwal</t>
  </si>
  <si>
    <t>Dukungan vendor sudah tersedia sebagai kontrol reaktif yang memadai, namun penundaan patch sudah terbukti terjadi dan perangkat obsolete tidak dapat di-patch, risiko masih berada pada level Sedang, status In Progress dan menjadi prioritas untuk segera disusun jadwal patch management terstruktur dan diinventarisasi CVE aktif pada perangkat yang belum tertangani</t>
  </si>
  <si>
    <t>Personel IT Infra - Network berkoordinasi dengan vendor dan Personel IT Governance dan Personel IT Security Analyst</t>
  </si>
  <si>
    <r>
      <t xml:space="preserve">Eksploitasi kerentanan yang diketahui pada perangkat jaringan kritis berpotensi terjadi dalam jendela waktu yang diperpanjang — akibat </t>
    </r>
    <r>
      <rPr>
        <b/>
        <sz val="10"/>
        <color theme="1"/>
        <rFont val="Montserrat"/>
      </rPr>
      <t>penerapan patch</t>
    </r>
    <r>
      <rPr>
        <sz val="10"/>
        <color theme="1"/>
        <rFont val="Montserrat"/>
      </rPr>
      <t xml:space="preserve"> yang tertunda karena kekhawatiran gangguan operasional, keterbatasan personil dan knowledge, serta perangkat yang sudah obsolete dan tidak dapat menerima patch dari vendor</t>
    </r>
  </si>
  <si>
    <t xml:space="preserve"> -  Tetapkan jadwal patch management terstruktur dengan SLA per severity CVE — definisikan tenggat waktu wajib penerapan patch berdasarkan tingkat keparahan: Critical ≤ 7 hari, High ≤ 14 hari, Medium ≤ 30 hari; koordinasikan jadwal dengan vendor untuk pelaksanaan patch terjadwal; pastikan setiap patch memiliki change request yang terdokumentasi melalui prosedur change management
 - Susun prosedur rollback terdokumentasi sebagai mitigasi kekhawatiran gangguan operasional — buat panduan rollback step-by-step untuk setiap kategori patch perangkat jaringan kritis; lakukan backup konfigurasi sebelum setiap penerapan patch; jadikan prosedur rollback sebagai syarat wajib sebelum patch dapat dieksekusi untuk memberikan jaminan pemulihan jika terjadi gangguan
 - Inventarisasi status patch dan identifikasi CVE aktif pada seluruh perangkat jaringan — petakan seluruh perangkat jaringan beserta versi firmware yang berjalan; identifikasi CVE yang mempengaruhi setiap perangkat dan status penerapan patch-nya; kategorikan perangkat obsolete yang tidak dapat menerima patch sebagai prioritas penggantian dalam perencanaan anggaran
 - Susun roadmap penggantian perangkat obsolete — identifikasi seluruh perangkat yang sudah melampaui batas dukungan vendor; susun justifikasi penggantian berbasis risiko CVE permanen yang tidak dapat dimitigasi melalui patch; integrasikan ke dalam perencanaan anggaran IT sebagai investasi keamanan yang dapat dipertanggungjawabkan
</t>
  </si>
  <si>
    <t>Container Docker API yang berpotensi berjalan dengan privilege root sehingga kompromi container dapat memberikan akses penuh ke host; penetration testing belum pernah dilaksanakan sehingga efektivitas kontrol segmentasi tidak tervalidasi; keterbatasan knowledge dan man power yang menghambat pelaksanaan uji keamanan internal secara mandiri</t>
  </si>
  <si>
    <t>Lateral movement dari environment integrasi pihak ketiga yang terkompromi ke production environment yang mengandung data nasabah dan transaction ledger; akses tidak terotorisasi terhadap data klaim, data medis, dan data transaksi nasabah; potensi manipulasi transaction ledger yang mengakibatkan kerugian finansial; pelanggaran kepatuhan regulasi akibat eksposur data nasabah melalui jalur integrasi pihak ketiga yang tidak tervalidasi keamanannya</t>
  </si>
  <si>
    <t>Lateral movement melalui kompromi TPA, healthcare provider portal, atau broker integration platform yang memiliki koneksi langsung ke core system; container escape dari Docker container yang berjalan sebagai root untuk mendapatkan akses ke host dan jaringan internal; eksploitasi celah segmentasi yang belum teridentifikasi akibat tidak adanya pentest</t>
  </si>
  <si>
    <t>Container Docker API berpotensi berjalan dengan privilege root yang memperbesar dampak kompromi; tidak ada penetration testing yang memvalidasi efektivitas kontrol segmentasi dan kemampuan mencegah lateral movement; keterbatasan knowledge internal untuk melakukan uji keamanan mandiri; efektivitas kontrol DMZ dan geolocation belum tervalidasi terhadap skenario serangan nyata</t>
  </si>
  <si>
    <t>Pembatasan akses berbasis kebijakan telah diterapkan pada titik integrasi pihak ketiga; segmentasi jaringan melalui DMZ telah diimplementasikan; pembatasan geolokasi aktif sebagai kontrol tambahan; namun container Docker API berpotensi berjalan sebagai root dan penetration testing belum pernah dilaksanakan untuk memvalidasi efektivitas kontrol yang ada</t>
  </si>
  <si>
    <t>A.8.20 – Keamanan jaringan; 
A.8.22 – Segregasi jaringan; 
A.8.25 – Siklus hidup pengembangan yang aman; 
A.5.19 – Keamanan informasi dalam hubungan pemasok</t>
  </si>
  <si>
    <r>
      <rPr>
        <b/>
        <sz val="10"/>
        <color theme="1"/>
        <rFont val="Montserrat"/>
      </rPr>
      <t>Rendah</t>
    </r>
    <r>
      <rPr>
        <sz val="10"/>
        <color theme="1"/>
        <rFont val="Montserrat"/>
      </rPr>
      <t xml:space="preserve"> — perusahaan tidak bersedia membiarkan jalur integrasi pihak ketiga yang memiliki koneksi langsung ke core system beroperasi tanpa validasi keamanan melalui penetration testing mengingat potensi lateral movement yang dapat mengekspos seluruh data nasabah dan transaction ledger</t>
    </r>
  </si>
  <si>
    <r>
      <rPr>
        <b/>
        <sz val="10"/>
        <color theme="1"/>
        <rFont val="Montserrat"/>
      </rPr>
      <t>Sedang</t>
    </r>
    <r>
      <rPr>
        <sz val="10"/>
        <color theme="1"/>
        <rFont val="Montserrat"/>
      </rPr>
      <t xml:space="preserve"> — perusahaan masih dapat beroperasi selama nilai risiko residual ≤ 9; jika residual masih &gt;9, wajib eskalasi ke manajemen. 
Sebagai syarat minimum toleransi, organisasi wajib memastikan telah tersedia: (1) seluruh container Docker API yang digunakan untuk integrasi pihak ketiga sudah dijalankan dengan non-root user sebagai hardening dasar, dan (2) penetration testing telah dilaksanakan minimal terhadap jalur integrasi pihak ketiga yang memiliki koneksi langsung ke core system untuk memvalidasi efektivitas kontrol segmentasi</t>
    </r>
  </si>
  <si>
    <t>(1) Isolasi segera seluruh jalur integrasi pihak ketiga yang terindikasi terkompromi melalui pemutusan koneksi network pada firewall untuk mencegah lateral movement lebih lanjut ke core system; (2) lakukan audit log akses terhadap seluruh API endpoint yang terekspos ke pihak ketiga untuk mengidentifikasi scope data yang berpotensi terekspos dan timeline akses tidak terotorisasi; (3) koordinasikan dengan pihak ketiga yang terkompromi untuk asesmen scope kompromi dan langkah pemulihan di sisi mereka; (4) eskalasi insiden kepada manajemen dan Legal Counsel untuk asesmen kewajiban notifikasi regulasi jika data nasabah terdampak</t>
  </si>
  <si>
    <t>Hardening container Docker dengan menjalankan seluruh API sebagai non-root user; laksanakan penetration testing terhadap environment jaringan dan jalur integrasi pihak ketiga; validasi efektivitas kontrol DMZ terhadap skenario lateral movement</t>
  </si>
  <si>
    <t>Pembatasan akses, DMZ, dan geolocation sudah berjalan sebagai kontrol dasar yang memadai, namun container Docker berpotensi berjalan sebagai root dan penetration testing belum pernah dilaksanakan sehingga efektivitas kontrol tidak tervalidasi, risiko masih berada pada level Sedang, status In Progress dan menjadi prioritas untuk segera dilakukan hardening container dan dijadwalkan penetration testing</t>
  </si>
  <si>
    <t xml:space="preserve"> Personel App Dev berkoordinasi dengan Personel Security Analyst dan Personel IT Infra - Network, Personel IT Infra Sysadmin dan DevSecOps</t>
  </si>
  <si>
    <t xml:space="preserve"> - Hardening seluruh container Docker API ke non-root user — audit seluruh container yang digunakan untuk integrasi pihak ketiga; implementasikan non-root user pada seluruh Dockerfile dan docker-compose yang masih menggunakan root; terapkan prinsip least privilege pada level container untuk memastikan kompromi container tidak memberikan akses ke host
 - Jadwalkan dan laksanakan penetration testing terhadap jalur integrasi pihak ketiga — definisikan scope pentest yang mencakup seluruh titik integrasi TPA, healthcare provider portal, dan broker platform; gunakan vendor pentest eksternal mengingat keterbatasan kapabilitas internal; fokuskan pada skenario lateral movement dari environment pihak ketiga ke core system
 - Validasi dan perkuat efektivitas kontrol segmentasi DMZ — review konfigurasi DMZ dan firewall rules yang mengatur traffic antara environment integrasi pihak ketiga dengan core system; pastikan tidak ada jalur komunikasi yang tidak terotorisasi; terapkan whitelist komunikasi yang hanya mengizinkan traffic yang benar-benar diperlukan
 - Implementasi monitoring anomali pada jalur integrasi pihak ketiga — aktifkan logging dan monitoring terhadap seluruh traffic API dari integrasi pihak ketiga; konfigurasi alert untuk pola akses yang tidak wajar seperti volume request abnormal, akses di luar jam operasional, atau enumerasi endpoint; integrasikan ke Wazuh sebagai bagian dari monitoring terpusat</t>
  </si>
  <si>
    <t>Kebijakan retensi data digital belum terdefinisi dan hanya tersedia untuk arsip fisik; data owner belum ditetapkan sehingga tidak ada yang bertanggung jawab atas pengelolaan siklus hidup data digital; klasifikasi data belum tersedia sehingga tingkat sensitivitas dan ketentuan retensi per kategori data tidak dapat ditetapkan; tidak ada mekanisme teknis yang menegakkan batas waktu penyimpanan dan prosedur penghapusan data secara otomatis</t>
  </si>
  <si>
    <t>Data pribadi nasabah dari polis yang sudah berakhir disimpan indefinitely melampaui persyaratan retensi regulasi; pelanggaran prinsip storage limitation UU PDP yang mengakibatkan eksposur terhadap sanksi administratif; perluasan permukaan risiko pelanggaran data akibat volume data yang terus bertambah tanpa penghapusan; potensi tuntutan hukum dari nasabah atas penyimpanan data yang melampaui tujuan dan batas waktu yang diizinkan</t>
  </si>
  <si>
    <t>Sanksi administratif dari regulator atas pelanggaran prinsip storage limitation UU PDP; tuntutan hukum dari nasabah atas penyimpanan data pribadi yang melampaui batas waktu yang diizinkan; peningkatan dampak pelanggaran data akibat volume data yang tidak perlu tersimpan dalam sistem; audit regulasi yang mengungkap ketiadaan data retention policy digital sebagai temuan major non-conformity</t>
  </si>
  <si>
    <t>Tidak ada kebijakan retensi data digital yang terdefinisi dan dapat ditegakkan secara teknis; tidak ada data owner yang bertanggung jawab atas siklus hidup data; tidak ada klasifikasi data yang menjadi dasar penetapan ketentuan retensi per kategori; tidak ada mekanisme otomatis untuk penghapusan data yang melampaui batas waktu retensi</t>
  </si>
  <si>
    <t>Kebijakan retensi data telah tersedia untuk pengelolaan arsip fisik; namun kebijakan retensi data digital belum terdefinisi, data owner belum ditetapkan, dan klasifikasi data belum tersedia, sehingga tidak ada mekanisme yang mengatur batas waktu penyimpanan dan prosedur penghapusan data pribadi digital sesuai ketentuan UU PDP</t>
  </si>
  <si>
    <t>A.5.34 – Privasi dan perlindungan informasi pribadi; 
A.8.10 – Penghapusan informasi; 
A.5.12 – Klasifikasi informasi; 
A.5.31 – Persyaratan hukum, undang-undang, peraturan dan kontrak</t>
  </si>
  <si>
    <r>
      <rPr>
        <b/>
        <sz val="10"/>
        <color theme="1"/>
        <rFont val="Montserrat"/>
      </rPr>
      <t>Rendah</t>
    </r>
    <r>
      <rPr>
        <sz val="10"/>
        <color theme="1"/>
        <rFont val="Montserrat"/>
      </rPr>
      <t xml:space="preserve"> — perusahaan tidak bersedia membiarkan data pribadi nasabah disimpan tanpa batas waktu yang jelas mengingat pelanggaran prinsip storage limitation UU PDP bersifat mandatory dan membawa konsekuensi sanksi administratif serta tuntutan hukum yang tidak dapat dihindari</t>
    </r>
  </si>
  <si>
    <r>
      <rPr>
        <b/>
        <sz val="10"/>
        <color theme="1"/>
        <rFont val="Montserrat"/>
      </rPr>
      <t>Sedang</t>
    </r>
    <r>
      <rPr>
        <sz val="10"/>
        <color theme="1"/>
        <rFont val="Montserrat"/>
      </rPr>
      <t xml:space="preserve"> — perusahaan masih dapat beroperasi selama nilai risiko residual ≤ 9; jika residual masih &gt;9, wajib eskalasi ke manajemen senior dan Legal Counsel. 
Sebagai syarat minimum toleransi, organisasi wajib memastikan telah tersedia: (1) kebijakan retensi data digital yang mendefinisikan batas waktu penyimpanan per kategori data sesuai ketentuan regulasi yang berlaku, dan (2) data owner yang ditetapkan secara formal dan bertanggung jawab atas kepatuhan siklus hidup data pada domain masing-masing</t>
    </r>
  </si>
  <si>
    <t>(1) Lakukan inventarisasi segera terhadap kategori data digital yang paling berisiko — prioritaskan data nasabah dari polis berakhir yang sudah tersimpan melampaui perkiraan batas waktu yang seharusnya berlaku; (2) engajemen Legal Counsel untuk asesmen eksposur regulasi akibat penyimpanan data yang sudah terjadi dan opsi remediasi yang tersedia; (3) susun kebijakan retensi data digital darurat sebagai dokumen interim yang dapat segera diterapkan sambil proses formal penyusunan berlangsung; (4) eskalasi kepada manajemen senior dengan laporan scope data yang berpotensi melanggar prinsip storage limitation sebagai justifikasi urgensi implementasi</t>
  </si>
  <si>
    <t>Susun kebijakan retensi data digital yang mendefinisikan batas waktu penyimpanan per kategori data; tetapkan data owner per domain data; implementasi klasifikasi data sebagai fondasi penetapan ketentuan retensi; kembangkan mekanisme teknis penghapusan data otomatis pada core system</t>
  </si>
  <si>
    <t>Retensi data fisik sudah ada namun kebijakan retensi data digital, data owner, dan klasifikasi data belum ada sama sekali sehingga data pribadi nasabah disimpan indefinitely tanpa batas waktu yang sesuai regulasi, risiko masih terbuka penuh pada level Tinggi dengan probabilitas sangat tinggi, status New - Open dan menjadi prioritas utama untuk segera ditetapkan data owner dan disusun kebijakan retensi data digital</t>
  </si>
  <si>
    <t>Personel Pengembang Aplikasi Core berkoordinasi dengan Legal Counsel, Personel IT Governance, dan Personel DBA</t>
  </si>
  <si>
    <t xml:space="preserve"> - Tetapkan data owner secara formal per domain data — identifikasi dan tunjuk personil yang bertanggung jawab atas kepatuhan siklus hidup data untuk setiap domain data kritis; definisikan scope tanggung jawab, kewenangan, dan akuntabilitas data owner terhadap pemenuhan ketentuan retensi dan penghapusan data sesuai UU PDP
 - Susun kebijakan retensi data digital per kategori data — definisikan batas waktu penyimpanan untuk setiap kategori data digital berdasarkan persyaratan regulasi yang berlaku, termasuk data nasabah aktif, data polis berakhir, data klaim, dan data medis; koordinasikan dengan Legal Counsel untuk memastikan ketentuan retensi selaras dengan seluruh regulasi yang berlaku
 - Implementasi klasifikasi data sebagai fondasi penetapan retensi — kategorikan seluruh data digital berdasarkan tingkat sensitivitas dan ketentuan regulasi yang mengatur penyimpanannya; jadikan klasifikasi sebagai dasar penetapan kebijakan retensi dan prosedur penghapusan yang berbeda per kategori
 - Kembangkan mekanisme teknis penghapusan data otomatis pada core system — koordinasikan dengan tim DBA dan pengembangan untuk mengimplementasikan mekanisme yang secara otomatis mengidentifikasi dan menghapus atau mengarsip data yang telah melampaui batas waktu retensi; pastikan proses penghapusan terdokumentasi sebagai audit trail kepatuhan</t>
  </si>
  <si>
    <t>Seluruh core system menggunakan teknologi yang sudah melampaui batas dukungan vendor sehingga tidak ada security update yang tersedia; arsitektur teknologi lama tidak kompatibel dengan implementasi modern security controls seperti MFA, TLS versi terkini, dan algoritma enkripsi modern; developer yang memahami sistem sudah pensiun atau resign sementara rekrutmen developer baru yang memahami teknologi legacy sangat sulit; revamp sistem membutuhkan waktu dan investasi yang signifikan sementara kebutuhan bisnis terus berlanjut</t>
  </si>
  <si>
    <t>Kerentanan keamanan pada core system tidak dapat diperbaiki melalui patch karena vendor sudah tidak memberikan dukungan; modern security controls tidak dapat diimplementasikan sehingga sistem tidak dapat memenuhi standar keamanan minimum yang ditetapkan regulasi; risiko eksploitasi kerentanan yang diketahui publik pada teknologi lama terus meningkat seiring waktu; ketergantungan pada personil yang semakin berkurang menciptakan risiko knowledge loss yang dapat menghentikan operasional sistem</t>
  </si>
  <si>
    <t>Eksploitasi kerentanan CVE publik pada teknologi legacy yang tidak dapat di-patch; serangan yang memanfaatkan ketidakmampuan sistem menerapkan MFA sehingga credential compromise lebih mudah terjadi; intersepsi komunikasi akibat TLS versi lama yang rentan terhadap known attack; knowledge loss permanen jika personil yang tersisa tidak lagi tersedia</t>
  </si>
  <si>
    <t>Tidak ada vendor security update untuk sistem EOL; arsitektur tidak kompatibel dengan modern security controls; personil yang memahami sistem semakin terbatas dan tidak ada backup yang memadai; tidak ada roadmap modernisasi yang terdefinisi dan disetujui sebagai solusi jangka panjang</t>
  </si>
  <si>
    <t>Core system vendor dikelola melalui keterlibatan vendor sebagai dukungan pemeliharaan; core system internal menjalankan program sharing knowledge yang terbatas cakupannya; namun tidak ada vendor security update dan modern security controls tidak dapat diimplementasikan akibat ketidakkompatibilan teknologi</t>
  </si>
  <si>
    <t>8.1 – Perencanaan dan pengendalian operasional; 
5.1 – Kepemimpinan dan komitmen; 
6.1 – Tindakan untuk menangani risiko dan peluang</t>
  </si>
  <si>
    <t>A.8.8 – Manajemen kerentanan teknis; 
A.8.25 – Siklus hidup pengembangan yang aman; 
A.5.30 – Kesiapan ICT untuk keberlangsungan bisnis; 
A.6.3 – Kesadaran, pendidikan dan pelatihan keamanan informasi</t>
  </si>
  <si>
    <r>
      <rPr>
        <b/>
        <sz val="10"/>
        <color theme="1"/>
        <rFont val="Montserrat"/>
      </rPr>
      <t>Rendah</t>
    </r>
    <r>
      <rPr>
        <sz val="10"/>
        <color theme="1"/>
        <rFont val="Montserrat"/>
      </rPr>
      <t xml:space="preserve"> — perusahaan tidak bersedia membiarkan sistem inti bisnis beroperasi dalam kondisi EOL tanpa security update dan tanpa kemampuan menerapkan modern security controls dalam jangka panjang mengingat eksposur kerentanan yang tidak dapat dimitigasi terus meningkat seiring waktu</t>
    </r>
  </si>
  <si>
    <r>
      <rPr>
        <b/>
        <sz val="10"/>
        <color theme="1"/>
        <rFont val="Montserrat"/>
      </rPr>
      <t>Sedang</t>
    </r>
    <r>
      <rPr>
        <sz val="10"/>
        <color theme="1"/>
        <rFont val="Montserrat"/>
      </rPr>
      <t xml:space="preserve"> — perusahaan masih dapat beroperasi dengan core system legacy selama kompensasi kontrol pada lapisan perimeter masih efektif; jika eksploitasi aktif teridentifikasi atau kompensasi kontrol tidak lagi memadai, realisasi modernisasi wajib dieskalasi sebagai prioritas investasi segera. 
Sebagai syarat minimum toleransi, organisasi wajib memastikan telah tersedia: (1) kompensasi kontrol keamanan pada lapisan perimeter dan akses yang mengkompensasi ketidakmampuan sistem menerapkan modern security controls secara langsung, dan (2) roadmap modernisasi core system yang terdokumentasi dan mendapat persetujuan manajemen sebagai komitmen strategis jangka panjang</t>
    </r>
  </si>
  <si>
    <t>(1) Isolasi segera modul atau komponen core system yang teridentifikasi tereksploitasi untuk membatasi dampak lateral movement ke komponen lain; (2) aktifkan kompensasi kontrol darurat pada lapisan perimeter seperti pengetatan firewall rules dan pembatasan akses untuk meminimalkan attack surface sementara perbaikan teknis diupayakan; (3) koordinasikan dengan vendor core system untuk asesmen opsi darurat yang tersedia termasuk hotfix atau workaround yang dapat diterapkan tanpa upgrade penuh; (4) eskalasi kepada manajemen senior dengan laporan bahwa insiden terjadi pada sistem EOL yang tidak dapat di-patch sebagai justifikasi urgensi percepatan roadmap modernisasi</t>
  </si>
  <si>
    <t>Implementasi kompensasi kontrol keamanan pada lapisan perimeter untuk mengkompensasi ketidakmampuan sistem menerapkan modern security controls; susun roadmap modernisasi core system bertahap; akselerasi program sharing knowledge untuk mencegah knowledge loss</t>
  </si>
  <si>
    <t>Dukungan vendor dan sharing knowledge sudah berjalan sebagai kontrol parsial yang terbatas, namun seluruh core system sudah EOL tanpa security update dan tidak kompatibel dengan modern security controls, risiko eksposur kerentanan tidak dapat dimitigasi secara teknis langsung, status In Progress dan menjadi prioritas strategis untuk segera disusun roadmap modernisasi dan diimplementasikan kompensasi kontrol pada lapisan perimeter</t>
  </si>
  <si>
    <t>Personel CTIO berkoordinasi dengan Personel IT Core Development, Personel IT Governance, dan vendor core system</t>
  </si>
  <si>
    <t xml:space="preserve"> - Implementasi kompensasi kontrol keamanan pada lapisan perimeter dan akses — terapkan kontrol yang mengkompensasi ketidakmampuan sistem menerapkan MFA, TLS terkini, dan enkripsi modern secara langsung; contoh: implementasi MFA pada lapisan VPN/gateway sebelum akses ke core system, enkripsi komunikasi pada level network melalui TLS termination di load balancer, dan pembatasan akses berbasis IP dan role yang ketat
 - Susun dan presentasikan roadmap modernisasi core system bertahap — dokumentasikan jalur modernisasi yang realistis dengan mempertimbangkan ketergantungan bisnis, ketersediaan developer, dan keterbatasan anggaran; pecah menjadi fase yang dapat dieksekusi secara inkremental tanpa menghentikan operasional; presentasikan kepada manajemen untuk mendapatkan komitmen strategis dan alokasi anggaran
 - Akselerasi program sharing knowledge untuk mencegah knowledge loss — tingkatkan intensitas dan cakupan sharing knowledge dengan target minimal 2 personil memahami setiap modul kritis; dokumentasikan seluruh pengetahuan teknis yang diekstrak dalam knowledge base yang dapat diakses; pertimbangkan keterlibatan konsultan eksternal yang memahami teknologi legacy sebagai bridging resource
 - Evaluasi opsi modernisasi bertahap berbasis strangler fig pattern — kaji pendekatan modernisasi inkremental yang mengganti komponen sistem legacy satu per satu tanpa menghentikan operasional; mulai dengan modul yang paling kritikal dari perspektif keamanan dan paling feasible untuk dimodernisasi; jadikan sebagai strategi jangka menengah yang dapat dimulai sambil roadmap penuh dipersiapkan</t>
  </si>
  <si>
    <r>
      <t xml:space="preserve">Aktivitas tidak terotorisasi atau berbahaya oleh administrator yang tidak dapat dideteksi dan diinvestigasi berpotensi terjadi — akibat </t>
    </r>
    <r>
      <rPr>
        <b/>
        <sz val="10"/>
        <color theme="1"/>
        <rFont val="Montserrat"/>
      </rPr>
      <t>shared administrative credentials</t>
    </r>
    <r>
      <rPr>
        <sz val="10"/>
        <color theme="1"/>
        <rFont val="Montserrat"/>
      </rPr>
      <t xml:space="preserve"> yang digunakan bergantian tanpa individual accountability, MFA enforcement, dan PAM system yang menghilangkan seluruh audit trail yang dapat diatribusikan per individu</t>
    </r>
  </si>
  <si>
    <t>Shared administrative credentials digunakan bergantian oleh multiple personil tanpa individual accountability; PAM system belum diimplementasikan akibat keterbatasan investasi; MFA belum diterapkan pada akun administrator; password administrator yang standar dan hampir sama di seluruh environment meningkatkan risiko kompromi lateral jika satu environment terekspos</t>
  </si>
  <si>
    <t>Aktivitas administrator tidak dapat diatribusikan kepada individu yang bertanggung jawab akibat penggunaan shared credentials; audit trail yang bermakna tidak tersedia untuk keperluan investigasi forensik; insider threat melalui akses administrator tidak dapat terdeteksi dan dibuktikan; potensi kompromi seluruh environment jika satu set shared credentials terekspos akibat kesamaan password</t>
  </si>
  <si>
    <t>Insider threat yang memanfaatkan shared credentials untuk aktivitas berbahaya tanpa dapat diidentifikasi; kompromi seluruh environment akibat kesamaan password administrator yang memungkinkan lateral movement; penyalahgunaan akses administrator yang tidak dapat dibuktikan akibat tidak adanya individual audit trail; credential stuffing yang memanfaatkan password standar yang dapat ditebak</t>
  </si>
  <si>
    <t>Shared administrative credentials tanpa individual accountability; password administrator standar dan hampir sama di seluruh environment; PAM system belum ada; MFA belum diterapkan pada akun administrator; audit trail tidak dapat diatribusikan per individu</t>
  </si>
  <si>
    <t>Kebijakan pengelolaan akses istimewa telah tersedia; segregasi environment container dan non-container telah diterapkan; review hak akses istimewa dilaksanakan berkala; Guacamole tersedia sebagai platform remote access terpusat; namun PAM belum diimplementasikan, shared credentials masih digunakan, dan MFA belum diterapkan pada akun administrator</t>
  </si>
  <si>
    <t>A.8.2 – Hak akses istimewa; 
A.5.17 – Informasi autentikasi; 
A.5.15 – Manajemen akses; 
A.8.15 – Logging</t>
  </si>
  <si>
    <r>
      <rPr>
        <b/>
        <sz val="10"/>
        <color theme="1"/>
        <rFont val="Montserrat"/>
      </rPr>
      <t>Rendah</t>
    </r>
    <r>
      <rPr>
        <sz val="10"/>
        <color theme="1"/>
        <rFont val="Montserrat"/>
      </rPr>
      <t xml:space="preserve"> — perusahaan tidak bersedia membiarkan akses administrator dijalankan tanpa individual accountability dan audit trail mengingat ketiadaan atribusi individual secara langsung memungkinkan insider threat dan aktivitas berbahaya beroperasi tanpa dapat dideteksi maupun diinvestigasi</t>
    </r>
  </si>
  <si>
    <r>
      <rPr>
        <b/>
        <sz val="10"/>
        <color theme="1"/>
        <rFont val="Montserrat"/>
      </rPr>
      <t>Sedang</t>
    </r>
    <r>
      <rPr>
        <sz val="10"/>
        <color theme="1"/>
        <rFont val="Montserrat"/>
      </rPr>
      <t xml:space="preserve"> — perusahaan masih dapat beroperasi selama nilai risiko residual ≤ 9; jika residual masih &gt;9, wajib eskalasi ke manajemen senior. 
Sebagai syarat minimum toleransi, organisasi wajib memastikan telah tersedia: (1) akun administrator individual per personil yang menggantikan shared credentials minimal pada environment produksi yang paling kritis, dan (2) session recording melalui Guacamole yang aktif untuk seluruh sesi akses administrator sebagai audit trail sementara PAM belum tersedia</t>
    </r>
  </si>
  <si>
    <t>(1) Lakukan rotasi segera seluruh shared administrative credentials di seluruh environment untuk memutus potensi akses tidak terotorisasi yang sedang berlangsung; (2) review manual log Guacamole dan log sistem yang tersedia untuk mengidentifikasi aktivitas administrator yang mencurigakan dalam periode teridentifikasi; (3) batasi akses administrator hanya melalui Guacamole sebagai satu-satunya jalur yang dapat di-log sementara investigasi berlangsung; (4) eskalasi insiden kepada manajemen senior dengan laporan ketidakmampuan mengidentifikasi pelaku akibat shared credentials sebagai justifikasi urgensi implementasi akun individual dan PAM</t>
  </si>
  <si>
    <t>Buat akun administrator individual per personil sebagai pengganti shared credentials; aktifkan session recording di Guacamole sebagai audit trail sementara; susun roadmap implementasi PAM bertahap; terapkan MFA pada seluruh akses administrator</t>
  </si>
  <si>
    <t>Kebijakan, segregasi environment, review hak akses, dan Guacamole sudah berjalan sebagai kontrol dasar yang memadai, namun shared credentials masih digunakan, PAM belum ada, dan MFA belum diterapkan sehingga individual accountability dan audit trail tidak tersedia, risiko masih terbuka pada level Tinggi, status In Progress dan menjadi prioritas utama untuk segera dibuat akun individual dan diaktifkan session recording Guacamole</t>
  </si>
  <si>
    <t xml:space="preserve"> - Buat akun administrator individual per personil dan nonaktifkan shared credentials — buat akun administrator terpisah untuk setiap personil yang memerlukan akses istimewa; mulai dari environment produksi kritis; nonaktifkan shared credentials secara bertahap setelah akun individual aktif; pastikan setiap akun individual memiliki level privilege minimum sesuai kebutuhan tugasnya
 - Aktifkan session recording di Guacamole untuk seluruh sesi administrator — konfigurasi Guacamole untuk merekam seluruh sesi remote access administrator sebagai audit trail yang dapat diatribusikan per individu; manfaatkan kapabilitas ini sebagai kompensasi kontrol sementara PAM belum tersedia; pastikan rekaman tersimpan dengan retensi yang memadai untuk keperluan investigasi
 - Terapkan MFA pada seluruh akun administrator — implementasikan MFA untuk seluruh akses administrator baik langsung maupun melalui Guacamole; manfaatkan FortiToken yang sudah tersedia sebagai mekanisme MFA; pastikan tidak ada jalur akses administrator yang dapat dilakukan tanpa MFA
 - Susun roadmap implementasi PAM bertahap berbasis kapasitas investasi — evaluasi solusi PAM open-source seperti Teleport atau solusi komersial yang dapat diadopsi secara bertahap; dokumentasikan roadmap implementasi yang dimulai dari environment paling kritis; jadikan sebagai justifikasi investasi kepada manajemen dengan kuantifikasi risiko shared credentials yang sedang berlangsung</t>
  </si>
  <si>
    <r>
      <t xml:space="preserve">Penyalahgunaan endpoint API melalui serangan brute force, credential stuffing, dan enumerasi resource berpotensi terjadi tanpa hambatan teknis — akibat belum diimplementasikannya </t>
    </r>
    <r>
      <rPr>
        <b/>
        <sz val="10"/>
        <color theme="1"/>
        <rFont val="Montserrat"/>
      </rPr>
      <t>rate limiting</t>
    </r>
    <r>
      <rPr>
        <sz val="10"/>
        <color theme="1"/>
        <rFont val="Montserrat"/>
      </rPr>
      <t xml:space="preserve"> pada API Gateway yang meninggalkan celah penyalahgunaan berbasis volume.</t>
    </r>
  </si>
  <si>
    <r>
      <t xml:space="preserve">Eksposur detail arsitektur sistem dan pemetaan endpoint kepada pihak tidak berwenang yang dapat memfasilitasi threat modeling dan pengembangan eksploitasi berpotensi terjadi — akibat dokumentasi teknis API yang dapat diakses tanpa autentikasi dari seluruh jaringan internal dan tidak adanya </t>
    </r>
    <r>
      <rPr>
        <b/>
        <sz val="10"/>
        <color theme="1"/>
        <rFont val="Montserrat"/>
      </rPr>
      <t>requirement keamanan</t>
    </r>
    <r>
      <rPr>
        <sz val="10"/>
        <color theme="1"/>
        <rFont val="Montserrat"/>
      </rPr>
      <t xml:space="preserve"> yang mengatur proteksi dokumentasi</t>
    </r>
  </si>
  <si>
    <r>
      <t xml:space="preserve">Gangguan layanan pada sistem dependen dan inkonsistensi data akibat perubahan API contract yang tidak terkomunikasi berpotensi terjadi — akibat tidak tersedianya </t>
    </r>
    <r>
      <rPr>
        <b/>
        <sz val="10"/>
        <color theme="1"/>
        <rFont val="Montserrat"/>
      </rPr>
      <t>dokumentasi API specification</t>
    </r>
    <r>
      <rPr>
        <sz val="10"/>
        <color theme="1"/>
        <rFont val="Montserrat"/>
      </rPr>
      <t xml:space="preserve"> sebagai referensi formal contract bagi consumer internal maupun eksternal meskipun versioning sudah berjalan</t>
    </r>
  </si>
  <si>
    <r>
      <t xml:space="preserve">Lateral movement dari kompromi integrasi pihak ketiga ke production environment dan akses tidak terotorisasi terhadap data nasabah berpotensi terjadi — akibat container Docker API yang berjalan dengan </t>
    </r>
    <r>
      <rPr>
        <b/>
        <sz val="10"/>
        <color theme="1"/>
        <rFont val="Montserrat"/>
      </rPr>
      <t>privilege root</t>
    </r>
    <r>
      <rPr>
        <sz val="10"/>
        <color theme="1"/>
        <rFont val="Montserrat"/>
      </rPr>
      <t xml:space="preserve"> dan belum pernah dilaksanakannya penetration testing untuk memvalidasi efektivitas kontrol segmentasi jaringan yang ada</t>
    </r>
  </si>
  <si>
    <r>
      <t xml:space="preserve">Pelanggaran prinsip pembatasan penyimpanan UU PDP dan perluasan permukaan risiko pelanggaran data berpotensi terjadi — akibat tidak terdefinisinya </t>
    </r>
    <r>
      <rPr>
        <b/>
        <sz val="10"/>
        <color theme="1"/>
        <rFont val="Montserrat"/>
      </rPr>
      <t>kebijakan retensi data digital</t>
    </r>
    <r>
      <rPr>
        <sz val="10"/>
        <color theme="1"/>
        <rFont val="Montserrat"/>
      </rPr>
      <t xml:space="preserve"> yang dapat ditegakkan secara teknis sehingga data pribadi nasabah dari polis berakhir disimpan indefinitely tanpa batas waktu yang sesuai ketentuan regulasi</t>
    </r>
  </si>
  <si>
    <r>
      <t>Eksposur kerentanan yang tidak dapat dimitigasi secara teknis pada sistem inti bisnis berpotensi berlangsung dalam jangka panjang — akibat seluruh core system yang sudah</t>
    </r>
    <r>
      <rPr>
        <b/>
        <sz val="10"/>
        <color theme="1"/>
        <rFont val="Montserrat"/>
      </rPr>
      <t xml:space="preserve"> end-of-life</t>
    </r>
    <r>
      <rPr>
        <sz val="10"/>
        <color theme="1"/>
        <rFont val="Montserrat"/>
      </rPr>
      <t xml:space="preserve"> tidak mendapat vendor security update dan tidak kompatibel dengan MFA, TLS terkini, dan enkripsi modern, sementara personil yang memahami sistem semakin berkurang</t>
    </r>
  </si>
  <si>
    <r>
      <t xml:space="preserve">Meningkatnya serangan siber yang menargetkan identitas dan kredensial pengguna berpotensi mengekspos sistem kritis perusahaan — namun membuka peluang implementasi </t>
    </r>
    <r>
      <rPr>
        <b/>
        <sz val="10"/>
        <color theme="1"/>
        <rFont val="Montserrat"/>
      </rPr>
      <t>Zero Trust Architecture</t>
    </r>
    <r>
      <rPr>
        <sz val="10"/>
        <color theme="1"/>
        <rFont val="Montserrat"/>
      </rPr>
      <t xml:space="preserve"> yang menggantikan paradigma perimeter security konvensional dengan model verifikasi berkelanjutan, meningkatkan postur keamanan secara menyeluruh sambil memfasilitasi fleksibilitas akses tenaga kerja digital</t>
    </r>
  </si>
  <si>
    <r>
      <t xml:space="preserve">Credential leakage via non-repository channels (Slack, email, Jira, Trello, Google Drive, public document sharing) beyond scope dari automated secret scanning automation memungkinkan threat actor memperoleh </t>
    </r>
    <r>
      <rPr>
        <b/>
        <sz val="10"/>
        <color theme="1"/>
        <rFont val="Montserrat"/>
      </rPr>
      <t>API keys, access tokens, database credentials</t>
    </r>
    <r>
      <rPr>
        <sz val="10"/>
        <color theme="1"/>
        <rFont val="Montserrat"/>
      </rPr>
      <t xml:space="preserve"> untuk unauthorized API access dan cloud service abuse.</t>
    </r>
  </si>
  <si>
    <t>Kerugian finansial dan pembocoran akses sistem berpotensi terjadi akibat personil yang tertipu permintaan tidak terotorisasi dari pihak yang menyamar sebagai pejabat senior atau nasabah menggunakan AI — akibat tidak adanya prosedur verifikasi identitas untuk permintaan mendadak melalui channel digital dan belum adanya awareness personil terhadap modus penipuan berbasis AI</t>
  </si>
  <si>
    <t>Tidak adanya prosedur out-of-band verification untuk permintaan mendadak yang diterima melalui channel digital; materi pelatihan security awareness belum mencakup modus penipuan berbasis AI seperti voice cloning dan deepfake video call; tidak adanya kebijakan yang mewajibkan verifikasi ulang untuk permintaan transfer dana, reset kredensial, atau pemberian akses yang diterima melalui telepon atau video call</t>
  </si>
  <si>
    <t>Transfer dana tidak terotorisasi yang disetujui berdasarkan instruksi dari pihak yang menyamar sebagai pejabat senior; akses sistem atau reset kredensial diberikan kepada pihak tidak berwenang yang menyamar sebagai personil IT; perubahan data nasabah atau polis yang tidak sah melalui proses verifikasi yang tertipu; kerugian finansial langsung dan potensi kebocoran data yang berdampak pada reputasi dan kepercayaan nasabah</t>
  </si>
  <si>
    <t>Telepon atau video call dari "direktur" atau "manajer senior" menggunakan suara atau wajah yang dimanipulasi AI yang meminta transfer dana mendadak atau persetujuan transaksi besar; telepon ke IT Helpdesk menggunakan suara mirip atasan yang meminta reset password atau pemberian akses darurat; pesan suara WhatsApp dari "pimpinan" yang meminta data sensitif atau tindakan segera tanpa prosedur formal</t>
  </si>
  <si>
    <t>Tidak ada prosedur verifikasi identitas untuk permintaan mendadak melalui channel digital; personil tidak memiliki awareness terhadap modus penipuan berbasis AI; tidak ada kebijakan yang mewajibkan konfirmasi melalui channel terpisah untuk permintaan sensitif; kepercayaan implisit terhadap suara atau wajah yang familiar tanpa verifikasi tambahan</t>
  </si>
  <si>
    <t>Program pelatihan security awareness telah dilaksanakan secara rutin kepada seluruh personil; namun materi belum mencakup modus penipuan berbasis AI seperti voice cloning dan deepfake, dan belum terdapat prosedur out-of-band verification untuk permintaan sensitif yang diterima melalui channel digital</t>
  </si>
  <si>
    <t>8.1 – Perencanaan dan pengendalian operasional; 
6.1 – Tindakan untuk menangani risiko dan peluang</t>
  </si>
  <si>
    <t>A.8.5 – Autentikasi aman; 
A.5.15 – Manajemen akses; 
A.6.3 – Kesadaran, pendidikan dan pelatihan keamanan informasi; 
A.5.25 – Asesmen dan keputusan terkait peristiwa keamanan informasi</t>
  </si>
  <si>
    <r>
      <rPr>
        <b/>
        <sz val="10"/>
        <color theme="1"/>
        <rFont val="Montserrat"/>
      </rPr>
      <t>Rendah</t>
    </r>
    <r>
      <rPr>
        <sz val="10"/>
        <color theme="1"/>
        <rFont val="Montserrat"/>
      </rPr>
      <t xml:space="preserve"> — perusahaan tidak bersedia membiarkan proses transfer dana, pemberian akses, dan verifikasi identitas bergantung pada kepercayaan implisit terhadap channel digital tanpa prosedur verifikasi tambahan, mengingat modus penipuan berbasis AI semakin mudah diakses dan semakin sulit dibedakan dari komunikasi asli</t>
    </r>
  </si>
  <si>
    <r>
      <rPr>
        <b/>
        <sz val="10"/>
        <color theme="1"/>
        <rFont val="Montserrat"/>
      </rPr>
      <t>Sedang</t>
    </r>
    <r>
      <rPr>
        <sz val="10"/>
        <color theme="1"/>
        <rFont val="Montserrat"/>
      </rPr>
      <t xml:space="preserve"> — perusahaan masih dapat beroperasi selama nilai risiko residual ≤ 9; jika residual masih &gt;9, wajib eskalasi ke manajemen. 
Sebagai syarat minimum toleransi, organisasi wajib memastikan telah tersedia: (1) materi pelatihan security awareness yang sudah diperbarui mencakup modus penipuan berbasis AI dengan contoh kasus konkret yang relevan bagi seluruh personil, dan (2) prosedur out-of-band verification yang terdokumentasi dan wajib dijalankan untuk setiap permintaan transfer dana, reset kredensial, dan pemberian akses yang diterima melalui telepon atau video call tanpa pengajuan formal</t>
    </r>
  </si>
  <si>
    <t>(1) Bekukan segera transaksi, akses, atau perubahan yang terindikasi dilakukan berdasarkan instruksi dari pihak yang identitasnya diragukan; hubungi pihak yang diklaim sebagai pemberi instruksi melalui nomor resmi yang sudah terdaftar untuk konfirmasi; (2) kumpulkan dan amankan seluruh bukti komunikasi — rekaman telepon, video call, pesan — untuk keperluan investigasi forensik dan pelaporan; (3) laporkan insiden kepada manajemen senior segera dan koordinasikan dengan tim keamanan untuk analisis modus serangan yang digunakan; (4) eskalasi kepada Legal Counsel jika terjadi kerugian finansial dan dokumentasikan seluruh langkah penanganan sebagai bukti itikad baik kepada regulator</t>
  </si>
  <si>
    <t>Perbarui materi pelatihan security awareness dengan modul khusus modus penipuan berbasis AI; implementasi prosedur out-of-band verification wajib untuk permintaan sensitif; tetapkan kebijakan zero-trust untuk instruksi mendadak melalui channel digital</t>
  </si>
  <si>
    <t>Pelatihan security awareness rutin sudah berjalan sebagai fondasi yang baik namun belum mencakup modus penipuan berbasis AI dan tidak ada prosedur out-of-band verification, personil rentan tertipu instruksi tidak terotorisasi melalui channel digital, status In Progress dan menjadi prioritas untuk segera diperbarui materi pelatihan dan ditetapkan prosedur verifikasi wajib</t>
  </si>
  <si>
    <t>Personel Security Analyst berkoordinasi dengan Personel IT Governance dan seluruh kepala unit yang menjalankan proses transfer dana, pengelolaan akses, dan verifikasi identitas</t>
  </si>
  <si>
    <t xml:space="preserve"> - Perbarui materi pelatihan security awareness dengan modul modus penipuan berbasis AI — tambahkan contoh konkret seperti skenario "bos telepon minta transfer", "IT diminta reset password via telepon", dan "video call CEO palsu"; gunakan contoh kasus nyata dari industri keuangan dan asuransi global; wajibkan seluruh personil yang mengelola dana, akses sistem, dan data nasabah mengikuti pelatihan ini
 - Implementasi prosedur out-of-band verification wajib untuk permintaan sensitif — tetapkan kebijakan bahwa setiap permintaan transfer dana, reset kredensial, pemberian akses darurat, dan perubahan data nasabah yang diterima melalui telepon, video call, atau pesan digital wajib dikonfirmasi melalui nomor atau channel resmi yang sudah terdaftar sebelumnya — bukan melalui nomor yang menelepon
 - Tetapkan kebijakan zero-trust untuk instruksi mendadak melalui channel tidak resmi — tidak ada instruksi yang diterima melalui channel di luar prosedur formal yang dapat langsung dieksekusi tanpa verifikasi; sosialisasikan bahwa menolak instruksi mendadak tanpa verifikasi adalah tindakan yang benar dan didukung kebijakan perusahaan
 - Jadwalkan simulasi tabletop exercise skenario AI-based social engineering — simulasikan skenario nyata voice cloning dan deepfake video call yang menargetkan personil finance, IT helpdesk, dan unit bisnis; gunakan hasil simulasi untuk mengidentifikasi gap awareness dan memperkuat prosedur yang ada</t>
  </si>
  <si>
    <t>Celah keamanan tersembunyi dan dependency berbahaya berpotensi masuk ke aplikasi production tanpa terdeteksi — akibat tidak adanya review code yang terstruktur dan governance penggunaan AI tools dalam pengembangan sehingga kode yang dihasilkan AI tidak divalidasi keamanannya sebelum digunakan</t>
  </si>
  <si>
    <t>Tidak adanya prosedur review code yang mewajibkan validasi keamanan terhadap kode yang dihasilkan AI sebelum digunakan dalam aplikasi; belum ada governance yang mengatur penggunaan AI code generation tools secara aman; tidak ada personil dedicated yang bertanggung jawab atas validasi keamanan kode; penanganan yang sepenuhnya reaktif tanpa mekanisme deteksi proaktif</t>
  </si>
  <si>
    <t>Dependency berbahaya atau typosquatting package masuk ke aplikasi tanpa terdeteksi; celah keamanan dalam logika kode yang dihasilkan AI dieksploitasi di production; supply chain attack melalui malicious package yang direkomendasikan AI; peningkatan technical debt keamanan akibat akumulasi kode tidak tervalidasi yang semakin sulit diaudit</t>
  </si>
  <si>
    <t>Typosquatting package yang direkomendasikan AI code generation tools yang mengandung malware; hidden security flaws dalam logika kode yang dihasilkan AI yang dapat dieksploitasi; insecure library recommendations yang membawa kerentanan ke aplikasi production; supply chain attack melalui dependency yang tidak tervalidasi</t>
  </si>
  <si>
    <t>Tidak ada review code yang mewajibkan validasi keamanan kode AI-generated; tidak ada governance penggunaan AI tools dalam pengembangan; tidak ada personil dedicated untuk security code review; tidak ada dependency scanning yang mendeteksi typosquatting dan malicious package secara proaktif; penanganan sepenuhnya reaktif tanpa mekanisme deteksi dini</t>
  </si>
  <si>
    <t>Penanganan permasalahan kode dilaksanakan secara reaktif berdasarkan kendala yang ditemukan saat operasional; belum terdapat prosedur review code terstruktur, governance AI tools, personil dedicated validasi keamanan, maupun mekanisme proaktif untuk mendeteksi dependency berbahaya sebelum masuk ke production</t>
  </si>
  <si>
    <t>A.8.25 – Siklus hidup pengembangan yang aman; 
A.8.26 – Persyaratan keamanan aplikasi; 
A.8.8 – Manajemen kerentanan teknis; 
A.5.19 – Keamanan informasi dalam hubungan pemasok</t>
  </si>
  <si>
    <r>
      <rPr>
        <b/>
        <sz val="10"/>
        <color theme="1"/>
        <rFont val="Montserrat"/>
      </rPr>
      <t>Rendah</t>
    </r>
    <r>
      <rPr>
        <sz val="10"/>
        <color theme="1"/>
        <rFont val="Montserrat"/>
      </rPr>
      <t xml:space="preserve"> — perusahaan tidak bersedia membiarkan kode yang dihasilkan AI masuk ke aplikasi production tanpa validasi keamanan mengingat potensi hidden security flaws dan dependency berbahaya yang tidak terdeteksi dapat dieksploitasi secara aktif dan sulit diidentifikasi setelah terakumulasi</t>
    </r>
  </si>
  <si>
    <r>
      <rPr>
        <b/>
        <sz val="10"/>
        <color theme="1"/>
        <rFont val="Montserrat"/>
      </rPr>
      <t>Sedang</t>
    </r>
    <r>
      <rPr>
        <sz val="10"/>
        <color theme="1"/>
        <rFont val="Montserrat"/>
      </rPr>
      <t xml:space="preserve"> — perusahaan masih dapat beroperasi selama nilai risiko residual ≤ 9; jika residual masih &gt;9, wajib eskalasi ke manajemen. 
Sebagai syarat minimum toleransi, organisasi wajib memastikan telah tersedia: (1) prosedur review code yang mewajibkan validasi keamanan terhadap kode AI-generated sebelum dapat di-merge ke branch utama, dan (2) dependency scanning otomatis yang aktif dalam CI/CD pipeline untuk mendeteksi typosquatting dan malicious package sebelum deployment</t>
    </r>
  </si>
  <si>
    <t>(1) Lakukan audit segera terhadap seluruh dependency yang ditambahkan dalam periode penggunaan AI code generation untuk mengidentifikasi package yang mencurigakan atau tidak dikenal; (2) jalankan dependency scanning manual terhadap seluruh aplikasi yang aktif untuk mengidentifikasi typosquatting package atau malicious library yang mungkin sudah masuk ke production; (3) isolasi dan rollback komponen yang teridentifikasi mengandung dependency berbahaya atau celah keamanan kritis; (4) eskalasi temuan kepada manajemen dan dokumentasikan scope potensi eksposur sebagai justifikasi urgensi implementasi governance AI dan review code yang terstruktur</t>
  </si>
  <si>
    <t>Susun kebijakan governance penggunaan AI code generation tools; implementasi prosedur review code wajib untuk kode AI-generated; aktifkan dependency scanning otomatis dalam CI/CD pipeline; tingkatkan awareness developer terhadap risiko AI-generated code</t>
  </si>
  <si>
    <t>Penanganan masih sepenuhnya reaktif tanpa review code, governance AI, dan dependency scanning proaktif, kode AI-generated masuk ke aplikasi tanpa validasi keamanan, risiko masih terbuka penuh pada level Tinggi, status New - Open dan menjadi prioritas untuk segera disusun governance AI dan diaktifkan dependency scanning dalam CI/CD pipeline</t>
  </si>
  <si>
    <t>Personel DevSecOps berkoordinasi dengan Personel IT Core Development dan Personel IT Governance dan Personel IT Digital Development dan Personel IT Security Analyst</t>
  </si>
  <si>
    <t xml:space="preserve"> - Susun kebijakan governance penggunaan AI code generation tools — tetapkan tools AI yang diizinkan secara resmi, batasan penggunaannya, kewajiban review sebelum kode digunakan, dan larangan penggunaan AI untuk komponen yang menangani data nasabah sensitif tanpa review keamanan; sosialisasikan kepada seluruh developer sebagai kebijakan yang mengikat
 - Implementasi prosedur review code wajib untuk kode AI-generated — tetapkan bahwa seluruh kode yang dihasilkan AI wajib melalui security-focused code review oleh personil yang kompeten sebelum dapat di-merge; gunakan checklist review yang mencakup validasi dependency, logika akses data, dan potensi injection vulnerability
 - Aktifkan dependency scanning otomatis dalam CI/CD pipeline — implementasikan tools seperti OWASP Dependency-Check atau Dependabot untuk mendeteksi typosquatting package, malicious library, dan dependency dengan CVE yang diketahui secara otomatis sebelum deployment; jadikan sebagai gate wajib yang memblokir build jika dependency berbahaya terdeteksi
 - Selenggarakan awareness training untuk developer tentang risiko AI-generated code — edukasi developer mengenai risiko spesifik penggunaan AI code generation seperti typosquatting, hidden logic flaws, dan insecure library recommendations; sertakan panduan cara memvalidasi kode dan dependency yang dihasilkan AI sebelum digunakan</t>
  </si>
  <si>
    <r>
      <t xml:space="preserve">Eksposur terhadap social engineering dan pencurian kredensial melalui personil outsource yang tidak </t>
    </r>
    <r>
      <rPr>
        <b/>
        <sz val="10"/>
        <color theme="1"/>
        <rFont val="Montserrat"/>
      </rPr>
      <t>terverifikasi latar belakangnya</t>
    </r>
    <r>
      <rPr>
        <sz val="10"/>
        <color theme="1"/>
        <rFont val="Montserrat"/>
      </rPr>
      <t xml:space="preserve"> berpotensi terjadi — akibat tidak adanya persyaratan background check yang diwajibkan dalam PKS dengan vendor outsource, sehingga profil risiko personil yang ditempatkan tidak dapat diverifikasi secara independen oleh perusahaan.</t>
    </r>
  </si>
  <si>
    <t>Persyaratan background check dan verifikasi latar belakang personil outsource belum pernah ditetapkan sebagai klausul wajib dalam PKS dengan vendor; Human Capital hanya melakukan background check untuk pegawai internal tanpa cakupan terhadap personil outsource; tidak ada mekanisme verifikasi independen oleh perusahaan terhadap kualitas proses seleksi yang dilakukan vendor</t>
  </si>
  <si>
    <t>Personil outsource dengan profil risiko tidak terverifikasi mendapatkan akses ke sistem dan data perusahaan; eksposur terhadap insider threat yang tidak terdeteksi akibat tidak adanya verifikasi latar belakang; personil outsource yang menjadi target social engineering lebih rentan memberikan akses atau informasi sensitif; ketidakmampuan perusahaan membuktikan due diligence terhadap personil yang ditempatkan jika terjadi insiden</t>
  </si>
  <si>
    <t>Insider threat dari personil outsource yang memiliki riwayat atau motivasi yang tidak terverifikasi; social engineering yang menargetkan personil outsource untuk mendapatkan akses atau kredensial; pencurian data atau sabotase sistem oleh personil outsource yang lolos tanpa verifikasi latar belakang yang memadai</t>
  </si>
  <si>
    <t>Background check tidak diwajibkan dalam PKS vendor; standar seleksi personil outsource sepenuhnya bergantung pada vendor tanpa verifikasi independen; tidak ada mekanisme audit kepatuhan vendor terhadap standar seleksi personil; personil outsource berpotensi memiliki profil risiko yang lebih tinggi dari pegawai internal tanpa diketahui</t>
  </si>
  <si>
    <t>Prinsip least privilege telah diterapkan pada seluruh akses personil outsource; personil outsource dilibatkan dalam program security awareness training perusahaan; namun background check belum diwajibkan dalam PKS dan verifikasi latar belakang bergantung sepenuhnya pada standar internal vendor</t>
  </si>
  <si>
    <t>6.1 – Tindakan untuk menangani risiko dan peluang; 
7.1 – Sumber daya; 
8.1 – Perencanaan dan pengendalian operasional</t>
  </si>
  <si>
    <t>A.6.1 – Penyaringan; 
A.5.19 – Keamanan informasi dalam hubungan pemasok; 
A.5.20 – Persyaratan keamanan informasi dalam perjanjian pemasok; 
A.6.2 – Syarat dan ketentuan kepegawaian</t>
  </si>
  <si>
    <r>
      <rPr>
        <b/>
        <sz val="10"/>
        <color theme="1"/>
        <rFont val="Montserrat"/>
      </rPr>
      <t>Sedang</t>
    </r>
    <r>
      <rPr>
        <sz val="10"/>
        <color theme="1"/>
        <rFont val="Montserrat"/>
      </rPr>
      <t xml:space="preserve"> — perusahaan dapat mentolerir keterbatasan verifikasi personil outsource dalam jangka pendek selama least privilege dan awareness training sudah berjalan, namun tidak bersedia membiarkan personil dengan akses ke sistem dan data perusahaan ditempatkan tanpa standar verifikasi latar belakang yang terdefinisi dan dapat diaudit</t>
    </r>
  </si>
  <si>
    <r>
      <rPr>
        <b/>
        <sz val="10"/>
        <color theme="1"/>
        <rFont val="Montserrat"/>
      </rPr>
      <t>Sedang</t>
    </r>
    <r>
      <rPr>
        <sz val="10"/>
        <color theme="1"/>
        <rFont val="Montserrat"/>
      </rPr>
      <t xml:space="preserve"> — perusahaan masih dapat beroperasi selama nilai risiko residual ≤ 6; jika residual masih &gt;6, wajib eskalasi ke manajemen. 
Sebagai syarat minimum toleransi, organisasi wajib memastikan telah tersedia: (1) klausul kewajiban background check personil outsource yang telah ditambahkan dalam template PKS dan diterapkan pada seluruh vendor aktif melalui addendum, dan (2) mekanisme verifikasi bahwa vendor telah melaksanakan background check sebelum personil ditempatkan di lingkungan perusahaan</t>
    </r>
  </si>
  <si>
    <t>(1) Cabut segera akses personil outsource yang terindikasi terlibat dalam insiden dan lakukan audit terhadap seluruh aktivitas yang dilakukan selama periode penugasan; (2) koordinasikan dengan vendor untuk mendapatkan informasi latar belakang personil yang relevan sebagai bahan investigasi; (3) review seluruh data dan sistem yang dapat diakses oleh personil terdampak untuk mengidentifikasi scope potensi eksposur atau manipulasi; (4) eskalasi insiden kepada manajemen dan Legal Counsel untuk asesmen kewajiban perusahaan dan opsi tindak lanjut terhadap vendor</t>
  </si>
  <si>
    <t>Tambahkan klausul kewajiban background check personil outsource dalam template PKS; lakukan addendum untuk seluruh PKS vendor aktif yang belum memuat klausul tersebut; implementasi mekanisme verifikasi kepatuhan vendor sebelum personil ditempatkan</t>
  </si>
  <si>
    <t>Least privilege dan awareness training sudah berjalan sebagai kontrol yang memadai namun background check belum diwajibkan dalam PKS dan verifikasi latar belakang tidak dapat diaudit, profil risiko personil outsource tidak dapat diverifikasi secara independen, status In Progress dan menjadi prioritas untuk segera ditambahkan klausul background check dalam PKS dan dilakukan addendum untuk vendor aktif</t>
  </si>
  <si>
    <t>Personel IT Vendor/Supplier Management berkoordinasi dengan Legal Counsel dan Human Capital</t>
  </si>
  <si>
    <t xml:space="preserve"> - Tambahkan klausul kewajiban background check dalam template PKS standar — definisikan secara eksplisit persyaratan minimum verifikasi latar belakang yang harus dilakukan vendor sebelum menempatkan personil, mencakup verifikasi identitas, riwayat pekerjaan, dan pemeriksaan catatan kriminal; jadikan sebagai klausul non-negotiable dalam setiap PKS baru
 - Lakukan addendum PKS untuk seluruh vendor outsource aktif — negosiasikan dan tandatangani addendum yang menambahkan klausul background check kepada seluruh vendor yang PKS-nya belum memuat persyaratan tersebut; tetapkan batas waktu kepatuhan yang jelas dan konsekuensi jika vendor tidak dapat memenuhi persyaratan
 - Implementasi mekanisme verifikasi kepatuhan vendor sebelum penempatan personil — tetapkan prosedur yang mewajibkan vendor menyerahkan bukti pelaksanaan background check sebelum personil diizinkan ditempatkan; verifikasi dokumen yang diserahkan sebelum akses diberikan kepada personil baru
 - Jadwalkan audit kepatuhan vendor secara berkala — lakukan evaluasi berkala terhadap kepatuhan vendor dalam menjalankan persyaratan background check; sertakan sebagai bagian dari vendor review yang sudah berjalan; dokumentasikan hasil audit sebagai bukti due diligence perusahaan</t>
  </si>
  <si>
    <r>
      <t xml:space="preserve">Kewajiban pengungkapan kode sumber proprietary kepada domain publik dan hilangnya perlindungan kekayaan intelektual berpotensi terjadi secara tidak disadari — akibat penggunaan library </t>
    </r>
    <r>
      <rPr>
        <b/>
        <sz val="10"/>
        <color theme="1"/>
        <rFont val="Montserrat"/>
      </rPr>
      <t>open-source berlisensi</t>
    </r>
    <r>
      <rPr>
        <sz val="10"/>
        <color theme="1"/>
        <rFont val="Montserrat"/>
      </rPr>
      <t xml:space="preserve"> copyleft tanpa review kepatuhan lisensi dan inventarisasi dependency yang memadai</t>
    </r>
  </si>
  <si>
    <t>Tidak adanya awareness developer terhadap perbedaan jenis lisensi open-source dan konsekuensi hukum lisensi copyleft; tidak ada proses review kepatuhan lisensi dalam siklus pengembangan; tidak ada inventarisasi dependency beserta informasi lisensinya; tidak ada kebijakan yang menetapkan kategori lisensi yang diizinkan dan dilarang dalam aplikasi proprietary; keterbatasan pengetahuan Legal Counsel terhadap aspek teknis lisensi perangkat lunak</t>
  </si>
  <si>
    <t>Kewajiban hukum untuk mengungkapkan seluruh kode sumber aplikasi proprietary kepada publik akibat sifat viral lisensi copyleft; hilangnya perlindungan kekayaan intelektual atas kode proprietary yang menjadi aset strategis perusahaan; kerugian kompetitif akibat kode proprietary yang harus dipublikasikan dapat diakses dan digunakan oleh kompetitor; potensi tuntutan hukum dari pemegang lisensi jika kewajiban pengungkapan tidak dipenuhi</t>
  </si>
  <si>
    <t>Tuntutan hukum dari komunitas open-source atau pemegang lisensi atas pelanggaran ketentuan lisensi copyleft; kewajiban paksa untuk mempublikasikan kode proprietary sebagai konsekuensi penggunaan library GPL/AGPL; audit lisensi oleh pihak ketiga yang mengungkap pelanggaran yang sudah terjadi; kerugian kompetitif permanen akibat kode yang harus dipublikasikan</t>
  </si>
  <si>
    <t>Tidak ada awareness terhadap implikasi lisensi copyleft; tidak ada proses review lisensi dalam SDLC; tidak ada inventarisasi dependency beserta informasi lisensinya; tidak ada kebijakan penggunaan library open-source yang terdefinisi; library copyleft berpotensi sudah digunakan dalam aplikasi proprietary tanpa diketahui</t>
  </si>
  <si>
    <t>Belum terdapat pengendalian formal yang diterapkan. Tidak tersedia kebijakan penggunaan library open-source, prosedur review kepatuhan lisensi, inventarisasi dependency beserta informasi lisensi, maupun program awareness yang mengedukasi personil pengembangan terhadap konsekuensi hukum lisensi copyleft dalam aplikasi proprietary</t>
  </si>
  <si>
    <t>A.5.32 – Hak kekayaan intelektual; 
A.8.25 – Siklus hidup pengembangan yang aman; 
A.5.31 – Persyaratan hukum, undang-undang, peraturan dan kontrak</t>
  </si>
  <si>
    <r>
      <rPr>
        <b/>
        <sz val="10"/>
        <color theme="1"/>
        <rFont val="Montserrat"/>
      </rPr>
      <t>Rendah</t>
    </r>
    <r>
      <rPr>
        <sz val="10"/>
        <color theme="1"/>
        <rFont val="Montserrat"/>
      </rPr>
      <t xml:space="preserve"> — perusahaan tidak bersedia menanggung risiko kewajiban pengungkapan kode proprietary akibat pelanggaran lisensi copyleft yang tidak disadari mengingat dampaknya langsung pada hilangnya perlindungan kekayaan intelektual yang merupakan aset strategis perusahaan</t>
    </r>
  </si>
  <si>
    <r>
      <rPr>
        <b/>
        <sz val="10"/>
        <color theme="1"/>
        <rFont val="Montserrat"/>
      </rPr>
      <t>Sedang</t>
    </r>
    <r>
      <rPr>
        <sz val="10"/>
        <color theme="1"/>
        <rFont val="Montserrat"/>
      </rPr>
      <t xml:space="preserve"> — perusahaan masih dapat beroperasi selama nilai risiko residual ≤ 9; jika residual masih &gt;9, wajib eskalasi ke manajemen senior dan Legal Counsel. 
Sebagai syarat minimum toleransi, organisasi wajib memastikan telah tersedia: (1) inventarisasi seluruh dependency open-source yang digunakan beserta jenis lisensinya untuk mengidentifikasi library copyleft yang sudah ada dalam aplikasi, dan (2) kebijakan yang menetapkan kategori lisensi yang diizinkan dan dilarang dalam aplikasi proprietary sebagai panduan wajib bagi seluruh developer</t>
    </r>
  </si>
  <si>
    <t>(1) Engajemen Legal Counsel segera untuk asesmen eksposur hukum akibat penggunaan library copyleft yang teridentifikasi dan opsi remediasi yang tersedia; (2) lakukan audit menyeluruh terhadap seluruh dependency aplikasi untuk memetakan library mana yang berlisensi copyleft dan sudah terintegrasi dalam kode proprietary; (3) evaluasi opsi teknis untuk mengganti library copyleft dengan alternatif berlisensi permisif seperti MIT atau Apache 2.0 yang tidak memiliki kewajiban viral; (4) dokumentasikan seluruh temuan dan langkah remediasi sebagai bukti itikad baik kepada pihak yang berkepentingan</t>
  </si>
  <si>
    <t>Lakukan inventarisasi seluruh dependency beserta informasi lisensinya; susun kebijakan penggunaan library open-source yang menetapkan lisensi yang diizinkan dan dilarang; implementasi Software Composition Analysis dalam CI/CD pipeline; selenggarakan awareness training untuk developer</t>
  </si>
  <si>
    <t>Belum ada pengendalian yang berjalan sama sekali terkait review kepatuhan lisensi dan inventarisasi dependency, library copyleft berpotensi sudah digunakan dalam aplikasi proprietary tanpa disadari, risiko masih terbuka penuh pada level Tinggi, status New - Open dan menjadi prioritas untuk segera dilakukan inventarisasi dependency dan disusun kebijakan penggunaan library open-source</t>
  </si>
  <si>
    <t>Personel IT Governance berkoordinasi dengan Legal Counsel dan Personel DevSecOps</t>
  </si>
  <si>
    <t xml:space="preserve"> - Lakukan inventarisasi seluruh dependency open-source beserta jenis lisensinya — audit seluruh aplikasi untuk memetakan library open-source yang digunakan, identifikasi yang berlisensi copyleft seperti GPL dan AGPL, dan kategorikan berdasarkan tingkat risiko hukum yang ditimbulkan; jadikan sebagai dasar prioritas remediasi
 - Susun kebijakan penggunaan library open-source — tetapkan whitelist lisensi yang diizinkan seperti MIT, Apache 2.0, BSD dan blacklist lisensi yang dilarang seperti GPL, AGPL untuk digunakan dalam aplikasi proprietary; sosialisasikan kepada seluruh developer sebagai panduan wajib dalam pemilihan library
 - Implementasi Software Composition Analysis dalam CI/CD pipeline — integrasikan tools SCA seperti FOSSA, Black Duck, atau OWASP Dependency-Check untuk mendeteksi secara otomatis library berlisensi copyleft sebelum masuk ke production; jadikan sebagai gate wajib yang memperingatkan atau memblokir penggunaan library yang melanggar kebijakan lisensi
 - Selenggarakan awareness training untuk developer dan Legal Counsel — edukasi developer mengenai perbedaan jenis lisensi open-source, konsekuensi hukum lisensi copyleft, dan cara memilih alternatif yang aman; berikan pemahaman teknis kepada Legal Counsel agar dapat memberikan asesmen hukum yang akurat terhadap isu lisensi perangkat lunak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</si>
</sst>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d\-mmm\-yyyy"/>
  </numFmts>
  <fonts count="27" x14ac:knownFonts="1">
    <font>
      <sz val="11"/>
      <color theme="1"/>
      <name val="Calibri"/>
      <scheme val="minor"/>
    </font>
    <font>
      <sz val="10"/>
      <color theme="1"/>
      <name val="Montserrat"/>
    </font>
    <font>
      <b/>
      <sz val="10"/>
      <color theme="1"/>
      <name val="Montserrat"/>
    </font>
    <font>
      <sz val="11"/>
      <name val="Calibri"/>
      <family val="2"/>
    </font>
    <font>
      <b/>
      <i/>
      <sz val="10"/>
      <color theme="1"/>
      <name val="Montserrat"/>
    </font>
    <font>
      <b/>
      <u/>
      <sz val="10"/>
      <color theme="1"/>
      <name val="Montserrat"/>
    </font>
    <font>
      <b/>
      <sz val="10"/>
      <color theme="1"/>
      <name val="Calibri"/>
      <family val="2"/>
    </font>
    <font>
      <sz val="10"/>
      <color theme="1"/>
      <name val="Calibri"/>
      <family val="2"/>
    </font>
    <font>
      <b/>
      <sz val="14"/>
      <color theme="1"/>
      <name val="Calibri"/>
      <family val="2"/>
    </font>
    <font>
      <sz val="11"/>
      <color theme="1"/>
      <name val="Calibri"/>
      <family val="2"/>
    </font>
    <font>
      <u/>
      <sz val="10"/>
      <color theme="1"/>
      <name val="Arial"/>
      <family val="2"/>
    </font>
    <font>
      <b/>
      <sz val="14"/>
      <color theme="1"/>
      <name val="Arial"/>
      <family val="2"/>
    </font>
    <font>
      <b/>
      <sz val="11"/>
      <color theme="1"/>
      <name val="Calibri"/>
      <family val="2"/>
    </font>
    <font>
      <b/>
      <sz val="11"/>
      <color rgb="FF000000"/>
      <name val="Calibri"/>
      <family val="2"/>
    </font>
    <font>
      <b/>
      <sz val="10"/>
      <color theme="1"/>
      <name val="Arial"/>
      <family val="2"/>
    </font>
    <font>
      <sz val="11"/>
      <color rgb="FF000000"/>
      <name val="Calibri"/>
      <family val="2"/>
    </font>
    <font>
      <sz val="11"/>
      <color theme="1"/>
      <name val="Calibri"/>
      <family val="2"/>
      <scheme val="minor"/>
    </font>
    <font>
      <b/>
      <sz val="12"/>
      <color theme="1"/>
      <name val="Calibri"/>
      <family val="2"/>
    </font>
    <font>
      <b/>
      <sz val="10"/>
      <color theme="1"/>
      <name val="Times New Roman"/>
      <family val="1"/>
    </font>
    <font>
      <b/>
      <sz val="10"/>
      <color rgb="FF000000"/>
      <name val="Times New Roman"/>
      <family val="1"/>
    </font>
    <font>
      <sz val="9"/>
      <color theme="1"/>
      <name val="Times New Roman"/>
      <family val="1"/>
    </font>
    <font>
      <sz val="8"/>
      <color theme="1"/>
      <name val="Arial"/>
      <family val="2"/>
    </font>
    <font>
      <b/>
      <sz val="12"/>
      <color rgb="FF0070C0"/>
      <name val="Calibri"/>
      <family val="2"/>
    </font>
    <font>
      <b/>
      <sz val="12"/>
      <color theme="1"/>
      <name val="Raleway"/>
    </font>
    <font>
      <b/>
      <sz val="10"/>
      <color rgb="FFFFFFFF"/>
      <name val="Montserrat"/>
    </font>
    <font>
      <b/>
      <sz val="10"/>
      <name val="Montserrat"/>
    </font>
    <font>
      <i/>
      <sz val="10"/>
      <color theme="1"/>
      <name val="Montserrat"/>
    </font>
  </fonts>
  <fills count="24">
    <fill>
      <patternFill patternType="none"/>
    </fill>
    <fill>
      <patternFill patternType="gray125"/>
    </fill>
    <fill>
      <patternFill patternType="solid">
        <fgColor rgb="FFD9E2F3"/>
        <bgColor rgb="FFD9E2F3"/>
      </patternFill>
    </fill>
    <fill>
      <patternFill patternType="solid">
        <fgColor rgb="FFD8D8D8"/>
        <bgColor rgb="FFD8D8D8"/>
      </patternFill>
    </fill>
    <fill>
      <patternFill patternType="solid">
        <fgColor rgb="FFFEF2CB"/>
        <bgColor rgb="FFFEF2CB"/>
      </patternFill>
    </fill>
    <fill>
      <patternFill patternType="solid">
        <fgColor rgb="FFB4C6E7"/>
        <bgColor rgb="FFB4C6E7"/>
      </patternFill>
    </fill>
    <fill>
      <patternFill patternType="solid">
        <fgColor theme="9"/>
        <bgColor theme="9"/>
      </patternFill>
    </fill>
    <fill>
      <patternFill patternType="solid">
        <fgColor rgb="FF595959"/>
        <bgColor rgb="FF595959"/>
      </patternFill>
    </fill>
    <fill>
      <patternFill patternType="solid">
        <fgColor rgb="FFF4B083"/>
        <bgColor rgb="FFF4B083"/>
      </patternFill>
    </fill>
    <fill>
      <patternFill patternType="solid">
        <fgColor rgb="FFFF0000"/>
        <bgColor rgb="FFFF0000"/>
      </patternFill>
    </fill>
    <fill>
      <patternFill patternType="solid">
        <fgColor rgb="FF808080"/>
        <bgColor rgb="FF808080"/>
      </patternFill>
    </fill>
    <fill>
      <patternFill patternType="solid">
        <fgColor rgb="FFC0C0C0"/>
        <bgColor rgb="FFC0C0C0"/>
      </patternFill>
    </fill>
    <fill>
      <patternFill patternType="solid">
        <fgColor rgb="FFFFD965"/>
        <bgColor rgb="FFFFD965"/>
      </patternFill>
    </fill>
    <fill>
      <patternFill patternType="solid">
        <fgColor theme="0"/>
        <bgColor theme="0"/>
      </patternFill>
    </fill>
    <fill>
      <patternFill patternType="solid">
        <fgColor rgb="FFCC99FF"/>
        <bgColor rgb="FFCC99FF"/>
      </patternFill>
    </fill>
    <fill>
      <patternFill patternType="solid">
        <fgColor rgb="FF99CC00"/>
        <bgColor rgb="FF99CC00"/>
      </patternFill>
    </fill>
    <fill>
      <patternFill patternType="solid">
        <fgColor rgb="FFFFFF00"/>
        <bgColor rgb="FFFFFF00"/>
      </patternFill>
    </fill>
    <fill>
      <patternFill patternType="solid">
        <fgColor rgb="FFFFCC00"/>
        <bgColor rgb="FFFFCC00"/>
      </patternFill>
    </fill>
    <fill>
      <patternFill patternType="solid">
        <fgColor rgb="FF339966"/>
        <bgColor rgb="FF339966"/>
      </patternFill>
    </fill>
    <fill>
      <patternFill patternType="solid">
        <fgColor rgb="FFFF9900"/>
        <bgColor rgb="FFFF9900"/>
      </patternFill>
    </fill>
    <fill>
      <patternFill patternType="solid">
        <fgColor rgb="FF00FF00"/>
        <bgColor rgb="FF00FF00"/>
      </patternFill>
    </fill>
    <fill>
      <patternFill patternType="solid">
        <fgColor rgb="FFD6DCE4"/>
        <bgColor rgb="FFD6DCE4"/>
      </patternFill>
    </fill>
    <fill>
      <patternFill patternType="solid">
        <fgColor rgb="FF366092"/>
        <bgColor rgb="FF366092"/>
      </patternFill>
    </fill>
    <fill>
      <patternFill patternType="solid">
        <fgColor theme="7" tint="0.59999389629810485"/>
        <bgColor indexed="64"/>
      </patternFill>
    </fill>
  </fills>
  <borders count="102">
    <border>
      <left/>
      <right/>
      <top/>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medium">
        <color rgb="FF000000"/>
      </top>
      <bottom style="thin">
        <color rgb="FF000000"/>
      </bottom>
      <diagonal/>
    </border>
    <border>
      <left style="thin">
        <color rgb="FF000000"/>
      </left>
      <right style="thin">
        <color rgb="FF000000"/>
      </right>
      <top style="medium">
        <color rgb="FF000000"/>
      </top>
      <bottom/>
      <diagonal/>
    </border>
    <border>
      <left style="thin">
        <color rgb="FF000000"/>
      </left>
      <right/>
      <top style="medium">
        <color rgb="FF000000"/>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style="thin">
        <color rgb="FF000000"/>
      </left>
      <right style="medium">
        <color rgb="FF000000"/>
      </right>
      <top style="thin">
        <color rgb="FF000000"/>
      </top>
      <bottom style="thin">
        <color rgb="FF000000"/>
      </bottom>
      <diagonal/>
    </border>
    <border>
      <left/>
      <right/>
      <top/>
      <bottom style="thin">
        <color rgb="FF000000"/>
      </bottom>
      <diagonal/>
    </border>
    <border>
      <left/>
      <right/>
      <top/>
      <bottom style="thin">
        <color rgb="FF000000"/>
      </bottom>
      <diagonal/>
    </border>
    <border>
      <left/>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style="double">
        <color rgb="FF000000"/>
      </left>
      <right style="thin">
        <color rgb="FF000000"/>
      </right>
      <top/>
      <bottom style="thin">
        <color rgb="FF000000"/>
      </bottom>
      <diagonal/>
    </border>
    <border>
      <left style="double">
        <color rgb="FF000000"/>
      </left>
      <right style="thin">
        <color rgb="FF000000"/>
      </right>
      <top style="thin">
        <color rgb="FF000000"/>
      </top>
      <bottom style="thin">
        <color rgb="FF000000"/>
      </bottom>
      <diagonal/>
    </border>
    <border>
      <left style="hair">
        <color rgb="FF000000"/>
      </left>
      <right/>
      <top style="hair">
        <color rgb="FF000000"/>
      </top>
      <bottom/>
      <diagonal/>
    </border>
    <border>
      <left/>
      <right/>
      <top style="hair">
        <color rgb="FF000000"/>
      </top>
      <bottom/>
      <diagonal/>
    </border>
    <border>
      <left/>
      <right style="hair">
        <color rgb="FF000000"/>
      </right>
      <top style="hair">
        <color rgb="FF000000"/>
      </top>
      <bottom/>
      <diagonal/>
    </border>
    <border>
      <left style="hair">
        <color rgb="FF000000"/>
      </left>
      <right/>
      <top style="hair">
        <color rgb="FF000000"/>
      </top>
      <bottom style="hair">
        <color rgb="FF000000"/>
      </bottom>
      <diagonal/>
    </border>
    <border>
      <left/>
      <right/>
      <top style="hair">
        <color rgb="FF000000"/>
      </top>
      <bottom style="hair">
        <color rgb="FF000000"/>
      </bottom>
      <diagonal/>
    </border>
    <border>
      <left/>
      <right style="hair">
        <color rgb="FF000000"/>
      </right>
      <top style="hair">
        <color rgb="FF000000"/>
      </top>
      <bottom style="hair">
        <color rgb="FF000000"/>
      </bottom>
      <diagonal/>
    </border>
    <border>
      <left style="hair">
        <color rgb="FF000000"/>
      </left>
      <right/>
      <top/>
      <bottom/>
      <diagonal/>
    </border>
    <border>
      <left/>
      <right style="hair">
        <color rgb="FF000000"/>
      </right>
      <top/>
      <bottom/>
      <diagonal/>
    </border>
    <border>
      <left style="hair">
        <color rgb="FF000000"/>
      </left>
      <right style="hair">
        <color rgb="FF000000"/>
      </right>
      <top style="hair">
        <color rgb="FF000000"/>
      </top>
      <bottom style="hair">
        <color rgb="FF000000"/>
      </bottom>
      <diagonal/>
    </border>
    <border>
      <left style="hair">
        <color rgb="FF000000"/>
      </left>
      <right/>
      <top/>
      <bottom style="hair">
        <color rgb="FF000000"/>
      </bottom>
      <diagonal/>
    </border>
    <border>
      <left/>
      <right/>
      <top/>
      <bottom style="hair">
        <color rgb="FF000000"/>
      </bottom>
      <diagonal/>
    </border>
    <border>
      <left/>
      <right style="hair">
        <color rgb="FF000000"/>
      </right>
      <top/>
      <bottom style="hair">
        <color rgb="FF000000"/>
      </bottom>
      <diagonal/>
    </border>
    <border>
      <left style="hair">
        <color rgb="FF000000"/>
      </left>
      <right style="hair">
        <color rgb="FF000000"/>
      </right>
      <top style="hair">
        <color rgb="FF000000"/>
      </top>
      <bottom/>
      <diagonal/>
    </border>
    <border>
      <left style="hair">
        <color rgb="FF000000"/>
      </left>
      <right style="hair">
        <color rgb="FF000000"/>
      </right>
      <top/>
      <bottom/>
      <diagonal/>
    </border>
    <border>
      <left style="hair">
        <color rgb="FF000000"/>
      </left>
      <right style="hair">
        <color rgb="FF000000"/>
      </right>
      <top/>
      <bottom style="hair">
        <color rgb="FF000000"/>
      </bottom>
      <diagonal/>
    </border>
    <border>
      <left/>
      <right/>
      <top style="thin">
        <color rgb="FF000000"/>
      </top>
      <bottom/>
      <diagonal/>
    </border>
    <border>
      <left/>
      <right/>
      <top/>
      <bottom/>
      <diagonal/>
    </border>
    <border>
      <left style="thin">
        <color rgb="FF000000"/>
      </left>
      <right/>
      <top/>
      <bottom/>
      <diagonal/>
    </border>
    <border>
      <left/>
      <right style="thin">
        <color rgb="FF000000"/>
      </right>
      <top/>
      <bottom/>
      <diagonal/>
    </border>
    <border>
      <left style="thin">
        <color rgb="FF000000"/>
      </left>
      <right style="thin">
        <color rgb="FF000000"/>
      </right>
      <top style="thin">
        <color rgb="FF000000"/>
      </top>
      <bottom/>
      <diagonal/>
    </border>
    <border>
      <left style="thin">
        <color rgb="FF000000"/>
      </left>
      <right/>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diagonal/>
    </border>
    <border>
      <left/>
      <right/>
      <top/>
      <bottom/>
      <diagonal/>
    </border>
    <border>
      <left/>
      <right style="thin">
        <color rgb="FF000000"/>
      </right>
      <top/>
      <bottom/>
      <diagonal/>
    </border>
    <border>
      <left style="thin">
        <color rgb="FF000000"/>
      </left>
      <right style="thin">
        <color rgb="FF000000"/>
      </right>
      <top/>
      <bottom/>
      <diagonal/>
    </border>
    <border>
      <left style="thin">
        <color rgb="FF000000"/>
      </left>
      <right style="thin">
        <color rgb="FF000000"/>
      </right>
      <top/>
      <bottom/>
      <diagonal/>
    </border>
    <border>
      <left style="thin">
        <color rgb="FF000000"/>
      </left>
      <right style="thin">
        <color rgb="FF000000"/>
      </right>
      <top/>
      <bottom/>
      <diagonal/>
    </border>
    <border>
      <left style="thin">
        <color auto="1"/>
      </left>
      <right style="thin">
        <color auto="1"/>
      </right>
      <top style="thin">
        <color auto="1"/>
      </top>
      <bottom style="thin">
        <color auto="1"/>
      </bottom>
      <diagonal/>
    </border>
    <border>
      <left style="medium">
        <color indexed="64"/>
      </left>
      <right/>
      <top style="medium">
        <color indexed="64"/>
      </top>
      <bottom style="thin">
        <color rgb="FF000000"/>
      </bottom>
      <diagonal/>
    </border>
    <border>
      <left/>
      <right/>
      <top style="medium">
        <color indexed="64"/>
      </top>
      <bottom style="thin">
        <color rgb="FF000000"/>
      </bottom>
      <diagonal/>
    </border>
    <border>
      <left/>
      <right/>
      <top style="medium">
        <color indexed="64"/>
      </top>
      <bottom/>
      <diagonal/>
    </border>
    <border>
      <left/>
      <right style="medium">
        <color indexed="64"/>
      </right>
      <top style="medium">
        <color indexed="64"/>
      </top>
      <bottom style="thin">
        <color rgb="FF000000"/>
      </bottom>
      <diagonal/>
    </border>
    <border>
      <left style="thin">
        <color rgb="FF000000"/>
      </left>
      <right style="medium">
        <color indexed="64"/>
      </right>
      <top style="thin">
        <color rgb="FF000000"/>
      </top>
      <bottom/>
      <diagonal/>
    </border>
    <border>
      <left style="medium">
        <color indexed="64"/>
      </left>
      <right style="thin">
        <color rgb="FF000000"/>
      </right>
      <top style="thin">
        <color rgb="FF000000"/>
      </top>
      <bottom style="medium">
        <color indexed="64"/>
      </bottom>
      <diagonal/>
    </border>
    <border>
      <left style="thin">
        <color rgb="FF000000"/>
      </left>
      <right style="thin">
        <color rgb="FF000000"/>
      </right>
      <top style="thin">
        <color rgb="FF000000"/>
      </top>
      <bottom style="medium">
        <color indexed="64"/>
      </bottom>
      <diagonal/>
    </border>
    <border>
      <left style="thin">
        <color rgb="FF000000"/>
      </left>
      <right/>
      <top style="thin">
        <color rgb="FF000000"/>
      </top>
      <bottom style="medium">
        <color indexed="64"/>
      </bottom>
      <diagonal/>
    </border>
    <border>
      <left/>
      <right style="thin">
        <color rgb="FF000000"/>
      </right>
      <top style="thin">
        <color rgb="FF000000"/>
      </top>
      <bottom style="medium">
        <color indexed="64"/>
      </bottom>
      <diagonal/>
    </border>
    <border>
      <left style="thin">
        <color rgb="FF000000"/>
      </left>
      <right style="medium">
        <color indexed="64"/>
      </right>
      <top style="thin">
        <color rgb="FF000000"/>
      </top>
      <bottom style="medium">
        <color indexed="64"/>
      </bottom>
      <diagonal/>
    </border>
    <border>
      <left style="medium">
        <color indexed="64"/>
      </left>
      <right style="thin">
        <color rgb="FF000000"/>
      </right>
      <top/>
      <bottom/>
      <diagonal/>
    </border>
    <border>
      <left style="thin">
        <color rgb="FF000000"/>
      </left>
      <right style="medium">
        <color indexed="64"/>
      </right>
      <top/>
      <bottom/>
      <diagonal/>
    </border>
    <border>
      <left style="thin">
        <color rgb="FF000000"/>
      </left>
      <right/>
      <top style="medium">
        <color indexed="64"/>
      </top>
      <bottom style="thin">
        <color rgb="FF000000"/>
      </bottom>
      <diagonal/>
    </border>
    <border>
      <left style="medium">
        <color indexed="64"/>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medium">
        <color indexed="64"/>
      </left>
      <right/>
      <top style="thin">
        <color rgb="FF000000"/>
      </top>
      <bottom style="thin">
        <color rgb="FF000000"/>
      </bottom>
      <diagonal/>
    </border>
    <border>
      <left/>
      <right style="thin">
        <color rgb="FF000000"/>
      </right>
      <top style="medium">
        <color indexed="64"/>
      </top>
      <bottom style="thin">
        <color rgb="FF000000"/>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style="medium">
        <color rgb="FF000000"/>
      </top>
      <bottom style="thin">
        <color rgb="FF000000"/>
      </bottom>
      <diagonal/>
    </border>
    <border>
      <left style="thin">
        <color rgb="FF000000"/>
      </left>
      <right style="medium">
        <color indexed="64"/>
      </right>
      <top style="medium">
        <color rgb="FF000000"/>
      </top>
      <bottom/>
      <diagonal/>
    </border>
    <border>
      <left style="medium">
        <color indexed="64"/>
      </left>
      <right style="thin">
        <color rgb="FF000000"/>
      </right>
      <top style="thin">
        <color rgb="FF000000"/>
      </top>
      <bottom/>
      <diagonal/>
    </border>
    <border>
      <left style="medium">
        <color indexed="64"/>
      </left>
      <right/>
      <top style="medium">
        <color indexed="64"/>
      </top>
      <bottom style="medium">
        <color indexed="64"/>
      </bottom>
      <diagonal/>
    </border>
    <border>
      <left/>
      <right style="thin">
        <color rgb="FF000000"/>
      </right>
      <top style="medium">
        <color indexed="64"/>
      </top>
      <bottom style="medium">
        <color indexed="64"/>
      </bottom>
      <diagonal/>
    </border>
    <border>
      <left style="thin">
        <color rgb="FF000000"/>
      </left>
      <right style="thin">
        <color rgb="FF000000"/>
      </right>
      <top style="medium">
        <color indexed="64"/>
      </top>
      <bottom style="medium">
        <color indexed="64"/>
      </bottom>
      <diagonal/>
    </border>
    <border>
      <left style="thin">
        <color rgb="FF000000"/>
      </left>
      <right/>
      <top style="medium">
        <color indexed="64"/>
      </top>
      <bottom style="medium">
        <color indexed="64"/>
      </bottom>
      <diagonal/>
    </border>
    <border>
      <left style="medium">
        <color indexed="64"/>
      </left>
      <right style="thin">
        <color rgb="FF000000"/>
      </right>
      <top style="medium">
        <color indexed="64"/>
      </top>
      <bottom style="medium">
        <color indexed="64"/>
      </bottom>
      <diagonal/>
    </border>
    <border>
      <left style="thin">
        <color rgb="FF000000"/>
      </left>
      <right style="medium">
        <color indexed="64"/>
      </right>
      <top style="medium">
        <color indexed="64"/>
      </top>
      <bottom style="medium">
        <color indexed="64"/>
      </bottom>
      <diagonal/>
    </border>
    <border>
      <left style="medium">
        <color indexed="64"/>
      </left>
      <right style="medium">
        <color indexed="64"/>
      </right>
      <top style="medium">
        <color indexed="64"/>
      </top>
      <bottom style="thin">
        <color auto="1"/>
      </bottom>
      <diagonal/>
    </border>
    <border>
      <left style="medium">
        <color indexed="64"/>
      </left>
      <right style="medium">
        <color indexed="64"/>
      </right>
      <top style="thin">
        <color auto="1"/>
      </top>
      <bottom style="thin">
        <color auto="1"/>
      </bottom>
      <diagonal/>
    </border>
    <border>
      <left style="medium">
        <color indexed="64"/>
      </left>
      <right style="medium">
        <color indexed="64"/>
      </right>
      <top style="thin">
        <color auto="1"/>
      </top>
      <bottom style="medium">
        <color indexed="64"/>
      </bottom>
      <diagonal/>
    </border>
    <border>
      <left style="medium">
        <color indexed="64"/>
      </left>
      <right style="medium">
        <color indexed="64"/>
      </right>
      <top style="medium">
        <color indexed="64"/>
      </top>
      <bottom style="medium">
        <color indexed="64"/>
      </bottom>
      <diagonal/>
    </border>
    <border>
      <left/>
      <right style="medium">
        <color indexed="64"/>
      </right>
      <top/>
      <bottom/>
      <diagonal/>
    </border>
    <border>
      <left style="medium">
        <color indexed="64"/>
      </left>
      <right/>
      <top style="medium">
        <color indexed="64"/>
      </top>
      <bottom style="thin">
        <color auto="1"/>
      </bottom>
      <diagonal/>
    </border>
    <border>
      <left/>
      <right style="medium">
        <color indexed="64"/>
      </right>
      <top style="medium">
        <color indexed="64"/>
      </top>
      <bottom style="thin">
        <color auto="1"/>
      </bottom>
      <diagonal/>
    </border>
    <border>
      <left style="medium">
        <color indexed="64"/>
      </left>
      <right style="medium">
        <color indexed="64"/>
      </right>
      <top/>
      <bottom/>
      <diagonal/>
    </border>
    <border>
      <left/>
      <right style="thin">
        <color auto="1"/>
      </right>
      <top style="thin">
        <color auto="1"/>
      </top>
      <bottom style="medium">
        <color indexed="64"/>
      </bottom>
      <diagonal/>
    </border>
    <border>
      <left style="thin">
        <color rgb="FF000000"/>
      </left>
      <right style="medium">
        <color indexed="64"/>
      </right>
      <top style="medium">
        <color indexed="64"/>
      </top>
      <bottom/>
      <diagonal/>
    </border>
    <border>
      <left style="medium">
        <color indexed="64"/>
      </left>
      <right style="thin">
        <color rgb="FF000000"/>
      </right>
      <top style="medium">
        <color indexed="64"/>
      </top>
      <bottom/>
      <diagonal/>
    </border>
    <border>
      <left style="medium">
        <color indexed="64"/>
      </left>
      <right style="thin">
        <color rgb="FF000000"/>
      </right>
      <top/>
      <bottom style="medium">
        <color indexed="64"/>
      </bottom>
      <diagonal/>
    </border>
    <border>
      <left style="thin">
        <color rgb="FF000000"/>
      </left>
      <right style="medium">
        <color indexed="64"/>
      </right>
      <top/>
      <bottom style="medium">
        <color indexed="64"/>
      </bottom>
      <diagonal/>
    </border>
    <border>
      <left style="medium">
        <color indexed="64"/>
      </left>
      <right style="medium">
        <color indexed="64"/>
      </right>
      <top style="medium">
        <color indexed="64"/>
      </top>
      <bottom/>
      <diagonal/>
    </border>
    <border>
      <left/>
      <right style="thin">
        <color rgb="FF000000"/>
      </right>
      <top style="medium">
        <color indexed="64"/>
      </top>
      <bottom/>
      <diagonal/>
    </border>
    <border>
      <left style="medium">
        <color indexed="64"/>
      </left>
      <right/>
      <top/>
      <bottom style="medium">
        <color indexed="64"/>
      </bottom>
      <diagonal/>
    </border>
    <border>
      <left/>
      <right style="thin">
        <color rgb="FF000000"/>
      </right>
      <top/>
      <bottom style="medium">
        <color indexed="64"/>
      </bottom>
      <diagonal/>
    </border>
    <border>
      <left style="thin">
        <color rgb="FF000000"/>
      </left>
      <right/>
      <top style="medium">
        <color indexed="64"/>
      </top>
      <bottom/>
      <diagonal/>
    </border>
    <border>
      <left style="thin">
        <color rgb="FF000000"/>
      </left>
      <right/>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thin">
        <color rgb="FF000000"/>
      </top>
      <bottom style="medium">
        <color indexed="64"/>
      </bottom>
      <diagonal/>
    </border>
  </borders>
  <cellStyleXfs count="1">
    <xf numFmtId="0" fontId="0" fillId="0" borderId="0"/>
  </cellStyleXfs>
  <cellXfs count="279">
    <xf numFmtId="0" fontId="0" fillId="0" borderId="0" xfId="0"/>
    <xf numFmtId="0" fontId="1" fillId="0" borderId="0" xfId="0" applyFont="1" applyAlignment="1">
      <alignment horizontal="left" vertical="top"/>
    </xf>
    <xf numFmtId="0" fontId="1" fillId="0" borderId="0" xfId="0" applyFont="1" applyAlignment="1">
      <alignment horizontal="center" vertical="top"/>
    </xf>
    <xf numFmtId="0" fontId="1" fillId="0" borderId="0" xfId="0" applyFont="1" applyAlignment="1">
      <alignment vertical="top"/>
    </xf>
    <xf numFmtId="0" fontId="2" fillId="0" borderId="0" xfId="0" applyFont="1" applyAlignment="1">
      <alignment vertical="top"/>
    </xf>
    <xf numFmtId="0" fontId="2" fillId="0" borderId="0" xfId="0" applyFont="1" applyAlignment="1">
      <alignment horizontal="left" vertical="top"/>
    </xf>
    <xf numFmtId="0" fontId="2" fillId="0" borderId="0" xfId="0" applyFont="1" applyAlignment="1">
      <alignment horizontal="center" vertical="top"/>
    </xf>
    <xf numFmtId="0" fontId="2" fillId="0" borderId="0" xfId="0" applyFont="1" applyAlignment="1">
      <alignment vertical="top" wrapText="1"/>
    </xf>
    <xf numFmtId="0" fontId="4" fillId="5" borderId="10" xfId="0" applyFont="1" applyFill="1" applyBorder="1" applyAlignment="1">
      <alignment horizontal="center" vertical="top" wrapText="1"/>
    </xf>
    <xf numFmtId="0" fontId="4" fillId="6" borderId="10" xfId="0" applyFont="1" applyFill="1" applyBorder="1" applyAlignment="1">
      <alignment horizontal="center" vertical="top" wrapText="1"/>
    </xf>
    <xf numFmtId="0" fontId="7" fillId="0" borderId="0" xfId="0" applyFont="1"/>
    <xf numFmtId="0" fontId="8" fillId="0" borderId="0" xfId="0" applyFont="1" applyAlignment="1">
      <alignment vertical="center" wrapText="1"/>
    </xf>
    <xf numFmtId="0" fontId="6" fillId="11" borderId="10" xfId="0" applyFont="1" applyFill="1" applyBorder="1" applyAlignment="1">
      <alignment horizontal="center" vertical="center" wrapText="1"/>
    </xf>
    <xf numFmtId="0" fontId="7" fillId="0" borderId="10" xfId="0" applyFont="1" applyBorder="1" applyAlignment="1">
      <alignment horizontal="center" vertical="center"/>
    </xf>
    <xf numFmtId="0" fontId="7" fillId="0" borderId="10" xfId="0" applyFont="1" applyBorder="1" applyAlignment="1">
      <alignment vertical="center" wrapText="1"/>
    </xf>
    <xf numFmtId="0" fontId="7" fillId="0" borderId="0" xfId="0" applyFont="1" applyAlignment="1">
      <alignment vertical="center" wrapText="1"/>
    </xf>
    <xf numFmtId="0" fontId="7" fillId="0" borderId="0" xfId="0" applyFont="1" applyAlignment="1">
      <alignment horizontal="left" vertical="center" wrapText="1"/>
    </xf>
    <xf numFmtId="0" fontId="9" fillId="0" borderId="0" xfId="0" applyFont="1" applyAlignment="1">
      <alignment horizontal="left" vertical="center" wrapText="1"/>
    </xf>
    <xf numFmtId="0" fontId="9" fillId="0" borderId="0" xfId="0" applyFont="1" applyAlignment="1">
      <alignment horizontal="left" vertical="center"/>
    </xf>
    <xf numFmtId="0" fontId="10" fillId="0" borderId="0" xfId="0" applyFont="1" applyAlignment="1">
      <alignment horizontal="left" vertical="center" wrapText="1"/>
    </xf>
    <xf numFmtId="0" fontId="7" fillId="0" borderId="0" xfId="0" applyFont="1" applyAlignment="1">
      <alignment horizontal="center" vertical="center"/>
    </xf>
    <xf numFmtId="0" fontId="7" fillId="0" borderId="0" xfId="0" applyFont="1" applyAlignment="1">
      <alignment vertical="center"/>
    </xf>
    <xf numFmtId="0" fontId="6" fillId="11" borderId="11" xfId="0" applyFont="1" applyFill="1" applyBorder="1" applyAlignment="1">
      <alignment horizontal="center" vertical="center"/>
    </xf>
    <xf numFmtId="0" fontId="6" fillId="11" borderId="11" xfId="0" applyFont="1" applyFill="1" applyBorder="1" applyAlignment="1">
      <alignment horizontal="center" vertical="center" wrapText="1"/>
    </xf>
    <xf numFmtId="0" fontId="6" fillId="11" borderId="18" xfId="0" applyFont="1" applyFill="1" applyBorder="1" applyAlignment="1">
      <alignment horizontal="center" vertical="center" wrapText="1"/>
    </xf>
    <xf numFmtId="0" fontId="7" fillId="0" borderId="10" xfId="0" applyFont="1" applyBorder="1" applyAlignment="1">
      <alignment horizontal="center" vertical="center" wrapText="1"/>
    </xf>
    <xf numFmtId="0" fontId="7" fillId="0" borderId="13" xfId="0" applyFont="1" applyBorder="1" applyAlignment="1">
      <alignment horizontal="center" vertical="center" wrapText="1"/>
    </xf>
    <xf numFmtId="0" fontId="7" fillId="13" borderId="19" xfId="0" applyFont="1" applyFill="1" applyBorder="1" applyAlignment="1">
      <alignment horizontal="center" vertical="center" wrapText="1"/>
    </xf>
    <xf numFmtId="0" fontId="7" fillId="13" borderId="11" xfId="0" applyFont="1" applyFill="1" applyBorder="1" applyAlignment="1">
      <alignment horizontal="center" vertical="center" wrapText="1"/>
    </xf>
    <xf numFmtId="0" fontId="7" fillId="13" borderId="20" xfId="0" applyFont="1" applyFill="1" applyBorder="1" applyAlignment="1">
      <alignment horizontal="center" vertical="center" wrapText="1"/>
    </xf>
    <xf numFmtId="0" fontId="7" fillId="13" borderId="10" xfId="0" applyFont="1" applyFill="1" applyBorder="1" applyAlignment="1">
      <alignment horizontal="center" vertical="center" wrapText="1"/>
    </xf>
    <xf numFmtId="0" fontId="6" fillId="14" borderId="29" xfId="0" applyFont="1" applyFill="1" applyBorder="1" applyAlignment="1">
      <alignment horizontal="center"/>
    </xf>
    <xf numFmtId="0" fontId="13" fillId="11" borderId="29" xfId="0" applyFont="1" applyFill="1" applyBorder="1" applyAlignment="1">
      <alignment horizontal="center"/>
    </xf>
    <xf numFmtId="0" fontId="13" fillId="11" borderId="29" xfId="0" applyFont="1" applyFill="1" applyBorder="1" applyAlignment="1">
      <alignment horizontal="center" vertical="center" wrapText="1"/>
    </xf>
    <xf numFmtId="1" fontId="14" fillId="14" borderId="29" xfId="0" applyNumberFormat="1" applyFont="1" applyFill="1" applyBorder="1" applyAlignment="1">
      <alignment horizontal="center" vertical="center"/>
    </xf>
    <xf numFmtId="0" fontId="6" fillId="11" borderId="29" xfId="0" applyFont="1" applyFill="1" applyBorder="1" applyAlignment="1">
      <alignment vertical="center" wrapText="1"/>
    </xf>
    <xf numFmtId="1" fontId="15" fillId="15" borderId="29" xfId="0" applyNumberFormat="1" applyFont="1" applyFill="1" applyBorder="1" applyAlignment="1">
      <alignment horizontal="center"/>
    </xf>
    <xf numFmtId="1" fontId="15" fillId="16" borderId="29" xfId="0" applyNumberFormat="1" applyFont="1" applyFill="1" applyBorder="1" applyAlignment="1">
      <alignment horizontal="center"/>
    </xf>
    <xf numFmtId="1" fontId="15" fillId="17" borderId="29" xfId="0" applyNumberFormat="1" applyFont="1" applyFill="1" applyBorder="1" applyAlignment="1">
      <alignment horizontal="center"/>
    </xf>
    <xf numFmtId="1" fontId="15" fillId="9" borderId="29" xfId="0" applyNumberFormat="1" applyFont="1" applyFill="1" applyBorder="1" applyAlignment="1">
      <alignment horizontal="center"/>
    </xf>
    <xf numFmtId="1" fontId="13" fillId="15" borderId="29" xfId="0" applyNumberFormat="1" applyFont="1" applyFill="1" applyBorder="1" applyAlignment="1">
      <alignment horizontal="center" vertical="center" wrapText="1"/>
    </xf>
    <xf numFmtId="1" fontId="13" fillId="16" borderId="29" xfId="0" applyNumberFormat="1" applyFont="1" applyFill="1" applyBorder="1" applyAlignment="1">
      <alignment horizontal="center" vertical="center" wrapText="1"/>
    </xf>
    <xf numFmtId="1" fontId="13" fillId="17" borderId="29" xfId="0" applyNumberFormat="1" applyFont="1" applyFill="1" applyBorder="1" applyAlignment="1">
      <alignment horizontal="center" vertical="center" wrapText="1"/>
    </xf>
    <xf numFmtId="1" fontId="13" fillId="9" borderId="29" xfId="0" applyNumberFormat="1" applyFont="1" applyFill="1" applyBorder="1" applyAlignment="1">
      <alignment horizontal="center" vertical="center" wrapText="1"/>
    </xf>
    <xf numFmtId="0" fontId="15" fillId="0" borderId="0" xfId="0" applyFont="1"/>
    <xf numFmtId="1" fontId="15" fillId="18" borderId="29" xfId="0" applyNumberFormat="1" applyFont="1" applyFill="1" applyBorder="1" applyAlignment="1">
      <alignment horizontal="center"/>
    </xf>
    <xf numFmtId="1" fontId="13" fillId="18" borderId="29" xfId="0" applyNumberFormat="1" applyFont="1" applyFill="1" applyBorder="1" applyAlignment="1">
      <alignment horizontal="center" vertical="center" wrapText="1"/>
    </xf>
    <xf numFmtId="1" fontId="15" fillId="19" borderId="29" xfId="0" applyNumberFormat="1" applyFont="1" applyFill="1" applyBorder="1" applyAlignment="1">
      <alignment horizontal="center"/>
    </xf>
    <xf numFmtId="1" fontId="15" fillId="20" borderId="29" xfId="0" applyNumberFormat="1" applyFont="1" applyFill="1" applyBorder="1" applyAlignment="1">
      <alignment horizontal="center"/>
    </xf>
    <xf numFmtId="0" fontId="8" fillId="0" borderId="0" xfId="0" applyFont="1"/>
    <xf numFmtId="0" fontId="6" fillId="0" borderId="0" xfId="0" applyFont="1"/>
    <xf numFmtId="0" fontId="16" fillId="0" borderId="0" xfId="0" applyFont="1"/>
    <xf numFmtId="0" fontId="15" fillId="11" borderId="10" xfId="0" applyFont="1" applyFill="1" applyBorder="1" applyAlignment="1">
      <alignment horizontal="center" vertical="center"/>
    </xf>
    <xf numFmtId="0" fontId="7" fillId="11" borderId="10" xfId="0" applyFont="1" applyFill="1" applyBorder="1" applyAlignment="1">
      <alignment horizontal="center" vertical="center"/>
    </xf>
    <xf numFmtId="0" fontId="6" fillId="18" borderId="10" xfId="0" applyFont="1" applyFill="1" applyBorder="1" applyAlignment="1">
      <alignment horizontal="center" vertical="center"/>
    </xf>
    <xf numFmtId="0" fontId="7" fillId="0" borderId="10" xfId="0" applyFont="1" applyBorder="1" applyAlignment="1">
      <alignment vertical="center"/>
    </xf>
    <xf numFmtId="1" fontId="15" fillId="0" borderId="0" xfId="0" applyNumberFormat="1" applyFont="1" applyAlignment="1">
      <alignment horizontal="center"/>
    </xf>
    <xf numFmtId="0" fontId="6" fillId="15" borderId="10" xfId="0" applyFont="1" applyFill="1" applyBorder="1" applyAlignment="1">
      <alignment horizontal="center" vertical="center"/>
    </xf>
    <xf numFmtId="0" fontId="6" fillId="16" borderId="10" xfId="0" applyFont="1" applyFill="1" applyBorder="1" applyAlignment="1">
      <alignment horizontal="center" vertical="center"/>
    </xf>
    <xf numFmtId="0" fontId="6" fillId="17" borderId="10" xfId="0" applyFont="1" applyFill="1" applyBorder="1" applyAlignment="1">
      <alignment horizontal="center" vertical="center"/>
    </xf>
    <xf numFmtId="0" fontId="6" fillId="9" borderId="10" xfId="0" applyFont="1" applyFill="1" applyBorder="1" applyAlignment="1">
      <alignment horizontal="center" vertical="center"/>
    </xf>
    <xf numFmtId="0" fontId="12" fillId="0" borderId="0" xfId="0" applyFont="1" applyAlignment="1">
      <alignment horizontal="left" vertical="center"/>
    </xf>
    <xf numFmtId="2" fontId="7" fillId="0" borderId="0" xfId="0" applyNumberFormat="1" applyFont="1"/>
    <xf numFmtId="0" fontId="6" fillId="11" borderId="10" xfId="0" applyFont="1" applyFill="1" applyBorder="1" applyAlignment="1">
      <alignment horizontal="center" wrapText="1"/>
    </xf>
    <xf numFmtId="1" fontId="15" fillId="18" borderId="10" xfId="0" applyNumberFormat="1" applyFont="1" applyFill="1" applyBorder="1" applyAlignment="1">
      <alignment horizontal="center"/>
    </xf>
    <xf numFmtId="1" fontId="7" fillId="0" borderId="10" xfId="0" applyNumberFormat="1" applyFont="1" applyBorder="1" applyAlignment="1">
      <alignment horizontal="center"/>
    </xf>
    <xf numFmtId="0" fontId="7" fillId="0" borderId="10" xfId="0" applyFont="1" applyBorder="1" applyAlignment="1">
      <alignment horizontal="center"/>
    </xf>
    <xf numFmtId="0" fontId="7" fillId="18" borderId="10" xfId="0" applyFont="1" applyFill="1" applyBorder="1" applyAlignment="1">
      <alignment horizontal="center" vertical="center"/>
    </xf>
    <xf numFmtId="1" fontId="15" fillId="15" borderId="10" xfId="0" applyNumberFormat="1" applyFont="1" applyFill="1" applyBorder="1" applyAlignment="1">
      <alignment horizontal="center"/>
    </xf>
    <xf numFmtId="1" fontId="15" fillId="16" borderId="10" xfId="0" applyNumberFormat="1" applyFont="1" applyFill="1" applyBorder="1" applyAlignment="1">
      <alignment horizontal="center"/>
    </xf>
    <xf numFmtId="1" fontId="15" fillId="17" borderId="10" xfId="0" applyNumberFormat="1" applyFont="1" applyFill="1" applyBorder="1" applyAlignment="1">
      <alignment horizontal="center"/>
    </xf>
    <xf numFmtId="1" fontId="15" fillId="9" borderId="10" xfId="0" applyNumberFormat="1" applyFont="1" applyFill="1" applyBorder="1" applyAlignment="1">
      <alignment horizontal="center"/>
    </xf>
    <xf numFmtId="0" fontId="12" fillId="0" borderId="0" xfId="0" applyFont="1"/>
    <xf numFmtId="0" fontId="7" fillId="13" borderId="37" xfId="0" applyFont="1" applyFill="1" applyBorder="1"/>
    <xf numFmtId="0" fontId="6" fillId="13" borderId="37" xfId="0" applyFont="1" applyFill="1" applyBorder="1"/>
    <xf numFmtId="0" fontId="18" fillId="4" borderId="10" xfId="0" applyFont="1" applyFill="1" applyBorder="1" applyAlignment="1">
      <alignment horizontal="center" vertical="top"/>
    </xf>
    <xf numFmtId="0" fontId="19" fillId="3" borderId="40" xfId="0" applyFont="1" applyFill="1" applyBorder="1" applyAlignment="1">
      <alignment horizontal="center" vertical="center" wrapText="1"/>
    </xf>
    <xf numFmtId="0" fontId="19" fillId="3" borderId="10" xfId="0" applyFont="1" applyFill="1" applyBorder="1" applyAlignment="1">
      <alignment horizontal="center" vertical="center" wrapText="1"/>
    </xf>
    <xf numFmtId="0" fontId="19" fillId="4" borderId="10" xfId="0" applyFont="1" applyFill="1" applyBorder="1" applyAlignment="1">
      <alignment horizontal="center" vertical="center" wrapText="1"/>
    </xf>
    <xf numFmtId="0" fontId="19" fillId="3" borderId="11" xfId="0" applyFont="1" applyFill="1" applyBorder="1" applyAlignment="1">
      <alignment horizontal="center" vertical="center" wrapText="1"/>
    </xf>
    <xf numFmtId="0" fontId="7" fillId="0" borderId="10" xfId="0" applyFont="1" applyBorder="1" applyAlignment="1">
      <alignment horizontal="center" vertical="top"/>
    </xf>
    <xf numFmtId="0" fontId="20" fillId="0" borderId="10" xfId="0" applyFont="1" applyBorder="1" applyAlignment="1">
      <alignment horizontal="left" vertical="top" wrapText="1"/>
    </xf>
    <xf numFmtId="0" fontId="21" fillId="0" borderId="10" xfId="0" applyFont="1" applyBorder="1" applyAlignment="1">
      <alignment horizontal="center" vertical="center" wrapText="1"/>
    </xf>
    <xf numFmtId="0" fontId="20" fillId="0" borderId="10" xfId="0" applyFont="1" applyBorder="1" applyAlignment="1">
      <alignment horizontal="center" vertical="top" wrapText="1"/>
    </xf>
    <xf numFmtId="0" fontId="7" fillId="13" borderId="37" xfId="0" applyFont="1" applyFill="1" applyBorder="1" applyAlignment="1">
      <alignment horizontal="center" vertical="center"/>
    </xf>
    <xf numFmtId="0" fontId="7" fillId="13" borderId="10" xfId="0" applyFont="1" applyFill="1" applyBorder="1" applyAlignment="1">
      <alignment horizontal="center" vertical="center"/>
    </xf>
    <xf numFmtId="0" fontId="12" fillId="13" borderId="10" xfId="0" applyFont="1" applyFill="1" applyBorder="1" applyAlignment="1">
      <alignment horizontal="center" vertical="center"/>
    </xf>
    <xf numFmtId="0" fontId="12" fillId="13" borderId="10" xfId="0" applyFont="1" applyFill="1" applyBorder="1" applyAlignment="1">
      <alignment horizontal="center" vertical="center" wrapText="1"/>
    </xf>
    <xf numFmtId="0" fontId="9" fillId="13" borderId="10" xfId="0" applyFont="1" applyFill="1" applyBorder="1" applyAlignment="1">
      <alignment horizontal="center" vertical="center" wrapText="1"/>
    </xf>
    <xf numFmtId="0" fontId="9" fillId="13" borderId="10" xfId="0" applyFont="1" applyFill="1" applyBorder="1" applyAlignment="1">
      <alignment horizontal="left" vertical="center" wrapText="1"/>
    </xf>
    <xf numFmtId="0" fontId="9" fillId="13" borderId="11" xfId="0" applyFont="1" applyFill="1" applyBorder="1" applyAlignment="1">
      <alignment horizontal="center" vertical="center" wrapText="1"/>
    </xf>
    <xf numFmtId="0" fontId="9" fillId="13" borderId="11" xfId="0" applyFont="1" applyFill="1" applyBorder="1" applyAlignment="1">
      <alignment horizontal="left" vertical="center" wrapText="1"/>
    </xf>
    <xf numFmtId="0" fontId="1" fillId="0" borderId="56" xfId="0" applyFont="1" applyBorder="1" applyAlignment="1">
      <alignment horizontal="center" vertical="top"/>
    </xf>
    <xf numFmtId="0" fontId="1" fillId="0" borderId="57" xfId="0" applyFont="1" applyBorder="1" applyAlignment="1">
      <alignment horizontal="left" vertical="top"/>
    </xf>
    <xf numFmtId="0" fontId="1" fillId="0" borderId="58" xfId="0" applyFont="1" applyBorder="1" applyAlignment="1">
      <alignment horizontal="left" vertical="top" wrapText="1"/>
    </xf>
    <xf numFmtId="0" fontId="1" fillId="0" borderId="57" xfId="0" quotePrefix="1" applyFont="1" applyBorder="1" applyAlignment="1">
      <alignment horizontal="left" vertical="top" wrapText="1"/>
    </xf>
    <xf numFmtId="0" fontId="1" fillId="0" borderId="57" xfId="0" applyFont="1" applyBorder="1" applyAlignment="1">
      <alignment horizontal="center" vertical="top" wrapText="1"/>
    </xf>
    <xf numFmtId="0" fontId="1" fillId="0" borderId="60" xfId="0" applyFont="1" applyBorder="1" applyAlignment="1">
      <alignment horizontal="left" vertical="top"/>
    </xf>
    <xf numFmtId="0" fontId="1" fillId="0" borderId="45" xfId="0" applyFont="1" applyBorder="1" applyAlignment="1">
      <alignment horizontal="left" vertical="top"/>
    </xf>
    <xf numFmtId="0" fontId="1" fillId="0" borderId="45" xfId="0" applyFont="1" applyBorder="1" applyAlignment="1">
      <alignment horizontal="center" vertical="top"/>
    </xf>
    <xf numFmtId="0" fontId="0" fillId="0" borderId="0" xfId="0" applyAlignment="1">
      <alignment horizontal="center"/>
    </xf>
    <xf numFmtId="0" fontId="2" fillId="3" borderId="40" xfId="0" applyFont="1" applyFill="1" applyBorder="1" applyAlignment="1">
      <alignment horizontal="center" vertical="top" wrapText="1"/>
    </xf>
    <xf numFmtId="0" fontId="2" fillId="4" borderId="40" xfId="0" applyFont="1" applyFill="1" applyBorder="1" applyAlignment="1">
      <alignment horizontal="center" vertical="top" wrapText="1"/>
    </xf>
    <xf numFmtId="0" fontId="24" fillId="22" borderId="50" xfId="0" applyFont="1" applyFill="1" applyBorder="1" applyAlignment="1">
      <alignment horizontal="center" vertical="center" wrapText="1"/>
    </xf>
    <xf numFmtId="0" fontId="1" fillId="0" borderId="0" xfId="0" applyFont="1"/>
    <xf numFmtId="0" fontId="1" fillId="0" borderId="50" xfId="0" applyFont="1" applyBorder="1" applyAlignment="1">
      <alignment vertical="top" wrapText="1"/>
    </xf>
    <xf numFmtId="0" fontId="2" fillId="7" borderId="61" xfId="0" applyFont="1" applyFill="1" applyBorder="1" applyAlignment="1">
      <alignment horizontal="center" vertical="top" wrapText="1"/>
    </xf>
    <xf numFmtId="0" fontId="2" fillId="7" borderId="49" xfId="0" applyFont="1" applyFill="1" applyBorder="1" applyAlignment="1">
      <alignment horizontal="center" vertical="top" wrapText="1"/>
    </xf>
    <xf numFmtId="0" fontId="2" fillId="7" borderId="44" xfId="0" applyFont="1" applyFill="1" applyBorder="1" applyAlignment="1">
      <alignment horizontal="center" vertical="top" wrapText="1"/>
    </xf>
    <xf numFmtId="0" fontId="2" fillId="7" borderId="46" xfId="0" applyFont="1" applyFill="1" applyBorder="1" applyAlignment="1">
      <alignment horizontal="center" vertical="top" wrapText="1"/>
    </xf>
    <xf numFmtId="0" fontId="2" fillId="7" borderId="62" xfId="0" applyFont="1" applyFill="1" applyBorder="1" applyAlignment="1">
      <alignment horizontal="center" vertical="top" wrapText="1"/>
    </xf>
    <xf numFmtId="0" fontId="1" fillId="0" borderId="50" xfId="0" applyFont="1" applyBorder="1" applyAlignment="1">
      <alignment horizontal="left" vertical="top" wrapText="1"/>
    </xf>
    <xf numFmtId="0" fontId="1" fillId="0" borderId="50" xfId="0" applyFont="1" applyBorder="1" applyAlignment="1">
      <alignment horizontal="center" vertical="top" wrapText="1"/>
    </xf>
    <xf numFmtId="0" fontId="1" fillId="0" borderId="50" xfId="0" quotePrefix="1" applyFont="1" applyBorder="1" applyAlignment="1">
      <alignment horizontal="left" vertical="top" wrapText="1"/>
    </xf>
    <xf numFmtId="0" fontId="1" fillId="0" borderId="64" xfId="0" applyFont="1" applyBorder="1" applyAlignment="1">
      <alignment horizontal="center" vertical="top"/>
    </xf>
    <xf numFmtId="0" fontId="1" fillId="0" borderId="65" xfId="0" applyFont="1" applyBorder="1" applyAlignment="1">
      <alignment horizontal="left" vertical="top" wrapText="1"/>
    </xf>
    <xf numFmtId="0" fontId="1" fillId="0" borderId="65" xfId="0" applyFont="1" applyBorder="1" applyAlignment="1">
      <alignment horizontal="left" vertical="top"/>
    </xf>
    <xf numFmtId="0" fontId="1" fillId="0" borderId="66" xfId="0" applyFont="1" applyBorder="1" applyAlignment="1">
      <alignment horizontal="center" vertical="top" wrapText="1"/>
    </xf>
    <xf numFmtId="0" fontId="1" fillId="0" borderId="67" xfId="0" applyFont="1" applyBorder="1" applyAlignment="1">
      <alignment horizontal="center" vertical="top" wrapText="1"/>
    </xf>
    <xf numFmtId="49" fontId="1" fillId="8" borderId="65" xfId="0" applyNumberFormat="1" applyFont="1" applyFill="1" applyBorder="1" applyAlignment="1">
      <alignment horizontal="center" vertical="top" wrapText="1"/>
    </xf>
    <xf numFmtId="49" fontId="1" fillId="8" borderId="64" xfId="0" applyNumberFormat="1" applyFont="1" applyFill="1" applyBorder="1" applyAlignment="1">
      <alignment horizontal="center" vertical="top" wrapText="1"/>
    </xf>
    <xf numFmtId="49" fontId="1" fillId="8" borderId="56" xfId="0" applyNumberFormat="1" applyFont="1" applyFill="1" applyBorder="1" applyAlignment="1">
      <alignment horizontal="center" vertical="top" wrapText="1"/>
    </xf>
    <xf numFmtId="49" fontId="1" fillId="8" borderId="60" xfId="0" applyNumberFormat="1" applyFont="1" applyFill="1" applyBorder="1" applyAlignment="1">
      <alignment horizontal="center" vertical="top"/>
    </xf>
    <xf numFmtId="0" fontId="2" fillId="3" borderId="63" xfId="0" applyFont="1" applyFill="1" applyBorder="1" applyAlignment="1">
      <alignment horizontal="center" vertical="top"/>
    </xf>
    <xf numFmtId="0" fontId="1" fillId="0" borderId="66" xfId="0" applyFont="1" applyBorder="1" applyAlignment="1">
      <alignment horizontal="left" vertical="top" wrapText="1"/>
    </xf>
    <xf numFmtId="0" fontId="1" fillId="0" borderId="58" xfId="0" applyFont="1" applyBorder="1" applyAlignment="1">
      <alignment horizontal="left" vertical="top"/>
    </xf>
    <xf numFmtId="0" fontId="1" fillId="0" borderId="64" xfId="0" applyFont="1" applyBorder="1" applyAlignment="1">
      <alignment horizontal="left" vertical="top" wrapText="1"/>
    </xf>
    <xf numFmtId="0" fontId="1" fillId="0" borderId="64" xfId="0" quotePrefix="1" applyFont="1" applyBorder="1" applyAlignment="1">
      <alignment horizontal="left" vertical="top" wrapText="1"/>
    </xf>
    <xf numFmtId="0" fontId="1" fillId="0" borderId="56" xfId="0" quotePrefix="1" applyFont="1" applyBorder="1" applyAlignment="1">
      <alignment horizontal="left" vertical="top" wrapText="1"/>
    </xf>
    <xf numFmtId="0" fontId="2" fillId="3" borderId="69" xfId="0" applyFont="1" applyFill="1" applyBorder="1" applyAlignment="1">
      <alignment horizontal="center" vertical="top"/>
    </xf>
    <xf numFmtId="0" fontId="1" fillId="0" borderId="67" xfId="0" applyFont="1" applyBorder="1" applyAlignment="1">
      <alignment horizontal="left" vertical="top" wrapText="1"/>
    </xf>
    <xf numFmtId="0" fontId="1" fillId="0" borderId="59" xfId="0" applyFont="1" applyBorder="1" applyAlignment="1">
      <alignment horizontal="left" vertical="top"/>
    </xf>
    <xf numFmtId="0" fontId="2" fillId="3" borderId="74" xfId="0" applyFont="1" applyFill="1" applyBorder="1" applyAlignment="1">
      <alignment horizontal="center" vertical="top" wrapText="1"/>
    </xf>
    <xf numFmtId="0" fontId="2" fillId="3" borderId="55" xfId="0" applyFont="1" applyFill="1" applyBorder="1" applyAlignment="1">
      <alignment horizontal="center" vertical="top" wrapText="1"/>
    </xf>
    <xf numFmtId="0" fontId="2" fillId="4" borderId="74" xfId="0" applyFont="1" applyFill="1" applyBorder="1" applyAlignment="1">
      <alignment horizontal="center" vertical="top" wrapText="1"/>
    </xf>
    <xf numFmtId="0" fontId="3" fillId="0" borderId="75" xfId="0" applyFont="1" applyBorder="1"/>
    <xf numFmtId="0" fontId="2" fillId="3" borderId="79" xfId="0" applyFont="1" applyFill="1" applyBorder="1" applyAlignment="1">
      <alignment horizontal="center" vertical="top" wrapText="1"/>
    </xf>
    <xf numFmtId="0" fontId="2" fillId="3" borderId="77" xfId="0" applyFont="1" applyFill="1" applyBorder="1" applyAlignment="1">
      <alignment horizontal="center" vertical="top" wrapText="1"/>
    </xf>
    <xf numFmtId="0" fontId="2" fillId="3" borderId="80" xfId="0" applyFont="1" applyFill="1" applyBorder="1" applyAlignment="1">
      <alignment horizontal="center" vertical="top" wrapText="1"/>
    </xf>
    <xf numFmtId="0" fontId="2" fillId="4" borderId="79" xfId="0" applyFont="1" applyFill="1" applyBorder="1" applyAlignment="1">
      <alignment horizontal="center" vertical="top" wrapText="1"/>
    </xf>
    <xf numFmtId="0" fontId="2" fillId="4" borderId="77" xfId="0" applyFont="1" applyFill="1" applyBorder="1" applyAlignment="1">
      <alignment horizontal="center" vertical="top" wrapText="1"/>
    </xf>
    <xf numFmtId="0" fontId="25" fillId="0" borderId="77" xfId="0" applyFont="1" applyBorder="1" applyAlignment="1">
      <alignment horizontal="center"/>
    </xf>
    <xf numFmtId="0" fontId="25" fillId="0" borderId="78" xfId="0" applyFont="1" applyBorder="1" applyAlignment="1">
      <alignment horizontal="center"/>
    </xf>
    <xf numFmtId="0" fontId="25" fillId="0" borderId="76" xfId="0" applyFont="1" applyBorder="1" applyAlignment="1">
      <alignment horizontal="center"/>
    </xf>
    <xf numFmtId="0" fontId="25" fillId="0" borderId="80" xfId="0" applyFont="1" applyBorder="1" applyAlignment="1">
      <alignment horizontal="center"/>
    </xf>
    <xf numFmtId="14" fontId="1" fillId="0" borderId="50" xfId="0" applyNumberFormat="1" applyFont="1" applyBorder="1" applyAlignment="1">
      <alignment horizontal="left" vertical="top" wrapText="1"/>
    </xf>
    <xf numFmtId="0" fontId="3" fillId="0" borderId="76" xfId="0" applyFont="1" applyBorder="1" applyAlignment="1">
      <alignment horizontal="center"/>
    </xf>
    <xf numFmtId="0" fontId="2" fillId="0" borderId="66" xfId="0" applyFont="1" applyBorder="1" applyAlignment="1">
      <alignment horizontal="center" vertical="top" wrapText="1"/>
    </xf>
    <xf numFmtId="0" fontId="1" fillId="0" borderId="58" xfId="0" applyFont="1" applyBorder="1" applyAlignment="1">
      <alignment horizontal="center" vertical="top" wrapText="1"/>
    </xf>
    <xf numFmtId="0" fontId="23" fillId="0" borderId="81" xfId="0" applyFont="1" applyBorder="1" applyAlignment="1">
      <alignment horizontal="center" vertical="top" wrapText="1"/>
    </xf>
    <xf numFmtId="0" fontId="23" fillId="0" borderId="82" xfId="0" applyFont="1" applyBorder="1" applyAlignment="1">
      <alignment horizontal="center" vertical="top" wrapText="1"/>
    </xf>
    <xf numFmtId="0" fontId="23" fillId="0" borderId="83" xfId="0" applyFont="1" applyBorder="1" applyAlignment="1">
      <alignment horizontal="center" vertical="top" wrapText="1"/>
    </xf>
    <xf numFmtId="0" fontId="5" fillId="0" borderId="0" xfId="0" applyFont="1" applyAlignment="1">
      <alignment horizontal="center" vertical="top"/>
    </xf>
    <xf numFmtId="0" fontId="2" fillId="4" borderId="55" xfId="0" applyFont="1" applyFill="1" applyBorder="1" applyAlignment="1">
      <alignment horizontal="center" vertical="top" wrapText="1"/>
    </xf>
    <xf numFmtId="0" fontId="2" fillId="4" borderId="3" xfId="0" applyFont="1" applyFill="1" applyBorder="1" applyAlignment="1">
      <alignment horizontal="center" vertical="top" wrapText="1"/>
    </xf>
    <xf numFmtId="0" fontId="2" fillId="4" borderId="78" xfId="0" applyFont="1" applyFill="1" applyBorder="1" applyAlignment="1">
      <alignment horizontal="center" vertical="top" wrapText="1"/>
    </xf>
    <xf numFmtId="14" fontId="2" fillId="0" borderId="66" xfId="0" applyNumberFormat="1" applyFont="1" applyBorder="1" applyAlignment="1">
      <alignment horizontal="center" vertical="top" wrapText="1"/>
    </xf>
    <xf numFmtId="164" fontId="2" fillId="0" borderId="58" xfId="0" applyNumberFormat="1" applyFont="1" applyBorder="1" applyAlignment="1">
      <alignment horizontal="center" vertical="top" wrapText="1"/>
    </xf>
    <xf numFmtId="0" fontId="2" fillId="7" borderId="85" xfId="0" applyFont="1" applyFill="1" applyBorder="1" applyAlignment="1">
      <alignment horizontal="center" vertical="top" wrapText="1"/>
    </xf>
    <xf numFmtId="0" fontId="2" fillId="4" borderId="61" xfId="0" applyFont="1" applyFill="1" applyBorder="1" applyAlignment="1">
      <alignment horizontal="center" vertical="top" wrapText="1"/>
    </xf>
    <xf numFmtId="0" fontId="2" fillId="4" borderId="62" xfId="0" applyFont="1" applyFill="1" applyBorder="1" applyAlignment="1">
      <alignment horizontal="center" vertical="top" wrapText="1"/>
    </xf>
    <xf numFmtId="0" fontId="2" fillId="4" borderId="80" xfId="0" applyFont="1" applyFill="1" applyBorder="1" applyAlignment="1">
      <alignment horizontal="center" vertical="top" wrapText="1"/>
    </xf>
    <xf numFmtId="0" fontId="2" fillId="7" borderId="88" xfId="0" applyFont="1" applyFill="1" applyBorder="1" applyAlignment="1">
      <alignment horizontal="center" vertical="top" wrapText="1"/>
    </xf>
    <xf numFmtId="14" fontId="2" fillId="0" borderId="64" xfId="0" applyNumberFormat="1" applyFont="1" applyBorder="1" applyAlignment="1">
      <alignment horizontal="center" vertical="top" wrapText="1"/>
    </xf>
    <xf numFmtId="0" fontId="26" fillId="0" borderId="65" xfId="0" applyFont="1" applyBorder="1" applyAlignment="1">
      <alignment horizontal="left" vertical="top" wrapText="1"/>
    </xf>
    <xf numFmtId="14" fontId="1" fillId="0" borderId="64" xfId="0" applyNumberFormat="1" applyFont="1" applyBorder="1" applyAlignment="1">
      <alignment horizontal="center" vertical="top" wrapText="1"/>
    </xf>
    <xf numFmtId="0" fontId="1" fillId="0" borderId="60" xfId="0" applyFont="1" applyBorder="1" applyAlignment="1">
      <alignment horizontal="left" vertical="top" wrapText="1"/>
    </xf>
    <xf numFmtId="0" fontId="2" fillId="0" borderId="67" xfId="0" applyFont="1" applyBorder="1" applyAlignment="1">
      <alignment horizontal="center" vertical="top" wrapText="1"/>
    </xf>
    <xf numFmtId="0" fontId="23" fillId="0" borderId="89" xfId="0" applyFont="1" applyBorder="1" applyAlignment="1">
      <alignment horizontal="center" vertical="top" wrapText="1"/>
    </xf>
    <xf numFmtId="0" fontId="1" fillId="0" borderId="64" xfId="0" applyFont="1" applyBorder="1" applyAlignment="1">
      <alignment horizontal="center" vertical="top" wrapText="1"/>
    </xf>
    <xf numFmtId="0" fontId="1" fillId="0" borderId="56" xfId="0" applyFont="1" applyBorder="1" applyAlignment="1">
      <alignment horizontal="center" vertical="top" wrapText="1"/>
    </xf>
    <xf numFmtId="0" fontId="2" fillId="0" borderId="66" xfId="0" applyFont="1" applyBorder="1" applyAlignment="1">
      <alignment horizontal="center" vertical="top"/>
    </xf>
    <xf numFmtId="0" fontId="25" fillId="0" borderId="84" xfId="0" applyFont="1" applyBorder="1" applyAlignment="1">
      <alignment horizontal="center"/>
    </xf>
    <xf numFmtId="0" fontId="1" fillId="23" borderId="82" xfId="0" applyFont="1" applyFill="1" applyBorder="1" applyAlignment="1">
      <alignment horizontal="center" vertical="top" wrapText="1"/>
    </xf>
    <xf numFmtId="0" fontId="1" fillId="23" borderId="101" xfId="0" applyFont="1" applyFill="1" applyBorder="1" applyAlignment="1">
      <alignment horizontal="center" vertical="top" wrapText="1"/>
    </xf>
    <xf numFmtId="0" fontId="25" fillId="0" borderId="79" xfId="0" applyFont="1" applyBorder="1" applyAlignment="1">
      <alignment horizontal="center"/>
    </xf>
    <xf numFmtId="0" fontId="1" fillId="0" borderId="65" xfId="0" applyFont="1" applyBorder="1" applyAlignment="1">
      <alignment horizontal="center" vertical="top" wrapText="1"/>
    </xf>
    <xf numFmtId="0" fontId="1" fillId="0" borderId="56" xfId="0" applyFont="1" applyBorder="1" applyAlignment="1">
      <alignment horizontal="left" vertical="top" wrapText="1"/>
    </xf>
    <xf numFmtId="0" fontId="0" fillId="0" borderId="0" xfId="0" applyAlignment="1">
      <alignment horizontal="center"/>
    </xf>
    <xf numFmtId="0" fontId="2" fillId="3" borderId="3" xfId="0" applyFont="1" applyFill="1" applyBorder="1" applyAlignment="1">
      <alignment horizontal="center" vertical="top" wrapText="1"/>
    </xf>
    <xf numFmtId="0" fontId="3" fillId="0" borderId="44" xfId="0" applyFont="1" applyBorder="1"/>
    <xf numFmtId="0" fontId="2" fillId="3" borderId="6" xfId="0" applyFont="1" applyFill="1" applyBorder="1" applyAlignment="1">
      <alignment horizontal="center" vertical="top" wrapText="1"/>
    </xf>
    <xf numFmtId="0" fontId="2" fillId="3" borderId="51" xfId="0" applyFont="1" applyFill="1" applyBorder="1" applyAlignment="1">
      <alignment horizontal="center" vertical="top" wrapText="1"/>
    </xf>
    <xf numFmtId="0" fontId="3" fillId="0" borderId="54" xfId="0" applyFont="1" applyBorder="1"/>
    <xf numFmtId="0" fontId="1" fillId="0" borderId="0" xfId="0" applyFont="1" applyAlignment="1">
      <alignment horizontal="center" vertical="top"/>
    </xf>
    <xf numFmtId="0" fontId="5" fillId="0" borderId="0" xfId="0" applyFont="1" applyAlignment="1">
      <alignment horizontal="center" vertical="top"/>
    </xf>
    <xf numFmtId="0" fontId="2" fillId="3" borderId="94" xfId="0" applyFont="1" applyFill="1" applyBorder="1" applyAlignment="1">
      <alignment horizontal="center" vertical="top" wrapText="1"/>
    </xf>
    <xf numFmtId="0" fontId="3" fillId="0" borderId="100" xfId="0" applyFont="1" applyBorder="1"/>
    <xf numFmtId="0" fontId="2" fillId="4" borderId="51" xfId="0" applyFont="1" applyFill="1" applyBorder="1" applyAlignment="1">
      <alignment horizontal="center" vertical="top" wrapText="1"/>
    </xf>
    <xf numFmtId="0" fontId="3" fillId="0" borderId="52" xfId="0" applyFont="1" applyBorder="1" applyAlignment="1">
      <alignment horizontal="center"/>
    </xf>
    <xf numFmtId="0" fontId="2" fillId="4" borderId="68" xfId="0" applyFont="1" applyFill="1" applyBorder="1" applyAlignment="1">
      <alignment horizontal="center" vertical="top" wrapText="1"/>
    </xf>
    <xf numFmtId="0" fontId="2" fillId="4" borderId="16" xfId="0" applyFont="1" applyFill="1" applyBorder="1" applyAlignment="1">
      <alignment horizontal="center" vertical="top" wrapText="1"/>
    </xf>
    <xf numFmtId="0" fontId="2" fillId="4" borderId="86" xfId="0" applyFont="1" applyFill="1" applyBorder="1" applyAlignment="1">
      <alignment horizontal="center" vertical="top" wrapText="1"/>
    </xf>
    <xf numFmtId="0" fontId="2" fillId="4" borderId="87" xfId="0" applyFont="1" applyFill="1" applyBorder="1" applyAlignment="1">
      <alignment horizontal="center" vertical="top" wrapText="1"/>
    </xf>
    <xf numFmtId="0" fontId="3" fillId="0" borderId="88" xfId="0" applyFont="1" applyBorder="1"/>
    <xf numFmtId="0" fontId="2" fillId="4" borderId="91" xfId="0" applyFont="1" applyFill="1" applyBorder="1" applyAlignment="1">
      <alignment horizontal="center" vertical="top" wrapText="1"/>
    </xf>
    <xf numFmtId="0" fontId="3" fillId="0" borderId="92" xfId="0" applyFont="1" applyBorder="1"/>
    <xf numFmtId="0" fontId="2" fillId="4" borderId="90" xfId="0" applyFont="1" applyFill="1" applyBorder="1" applyAlignment="1">
      <alignment horizontal="center" vertical="top" wrapText="1"/>
    </xf>
    <xf numFmtId="0" fontId="3" fillId="0" borderId="93" xfId="0" applyFont="1" applyBorder="1"/>
    <xf numFmtId="0" fontId="2" fillId="2" borderId="70" xfId="0" applyFont="1" applyFill="1" applyBorder="1" applyAlignment="1">
      <alignment horizontal="center" vertical="top"/>
    </xf>
    <xf numFmtId="0" fontId="3" fillId="0" borderId="53" xfId="0" applyFont="1" applyBorder="1"/>
    <xf numFmtId="0" fontId="2" fillId="3" borderId="70" xfId="0" applyFont="1" applyFill="1" applyBorder="1" applyAlignment="1">
      <alignment horizontal="center" vertical="top"/>
    </xf>
    <xf numFmtId="0" fontId="3" fillId="0" borderId="71" xfId="0" applyFont="1" applyBorder="1"/>
    <xf numFmtId="0" fontId="2" fillId="4" borderId="51" xfId="0" applyFont="1" applyFill="1" applyBorder="1" applyAlignment="1">
      <alignment horizontal="center" vertical="top"/>
    </xf>
    <xf numFmtId="0" fontId="3" fillId="0" borderId="52" xfId="0" applyFont="1" applyBorder="1"/>
    <xf numFmtId="0" fontId="3" fillId="0" borderId="53" xfId="0" applyFont="1" applyBorder="1" applyAlignment="1">
      <alignment horizontal="center"/>
    </xf>
    <xf numFmtId="0" fontId="2" fillId="2" borderId="70" xfId="0" applyFont="1" applyFill="1" applyBorder="1" applyAlignment="1">
      <alignment horizontal="center" vertical="top" wrapText="1"/>
    </xf>
    <xf numFmtId="0" fontId="3" fillId="0" borderId="95" xfId="0" applyFont="1" applyBorder="1"/>
    <xf numFmtId="0" fontId="3" fillId="0" borderId="96" xfId="0" applyFont="1" applyBorder="1"/>
    <xf numFmtId="0" fontId="3" fillId="0" borderId="97" xfId="0" applyFont="1" applyBorder="1"/>
    <xf numFmtId="0" fontId="2" fillId="2" borderId="98" xfId="0" applyFont="1" applyFill="1" applyBorder="1" applyAlignment="1">
      <alignment horizontal="center" vertical="top" wrapText="1"/>
    </xf>
    <xf numFmtId="0" fontId="3" fillId="0" borderId="99" xfId="0" applyFont="1" applyBorder="1"/>
    <xf numFmtId="0" fontId="2" fillId="2" borderId="95" xfId="0" applyFont="1" applyFill="1" applyBorder="1" applyAlignment="1">
      <alignment horizontal="center" vertical="top" wrapText="1"/>
    </xf>
    <xf numFmtId="0" fontId="2" fillId="3" borderId="72" xfId="0" applyFont="1" applyFill="1" applyBorder="1" applyAlignment="1">
      <alignment horizontal="center" vertical="top" wrapText="1"/>
    </xf>
    <xf numFmtId="0" fontId="3" fillId="0" borderId="4" xfId="0" applyFont="1" applyBorder="1"/>
    <xf numFmtId="0" fontId="2" fillId="3" borderId="5" xfId="0" applyFont="1" applyFill="1" applyBorder="1" applyAlignment="1">
      <alignment horizontal="center" vertical="top" wrapText="1"/>
    </xf>
    <xf numFmtId="0" fontId="3" fillId="0" borderId="49" xfId="0" applyFont="1" applyBorder="1"/>
    <xf numFmtId="0" fontId="2" fillId="3" borderId="1" xfId="0" applyFont="1" applyFill="1" applyBorder="1" applyAlignment="1">
      <alignment horizontal="center" vertical="top" wrapText="1"/>
    </xf>
    <xf numFmtId="0" fontId="3" fillId="0" borderId="46" xfId="0" applyFont="1" applyBorder="1"/>
    <xf numFmtId="0" fontId="2" fillId="3" borderId="73" xfId="0" applyFont="1" applyFill="1" applyBorder="1" applyAlignment="1">
      <alignment horizontal="center" vertical="top" wrapText="1"/>
    </xf>
    <xf numFmtId="0" fontId="3" fillId="0" borderId="62" xfId="0" applyFont="1" applyBorder="1"/>
    <xf numFmtId="0" fontId="2" fillId="2" borderId="90" xfId="0" applyFont="1" applyFill="1" applyBorder="1" applyAlignment="1">
      <alignment horizontal="center" vertical="top" wrapText="1"/>
    </xf>
    <xf numFmtId="0" fontId="2" fillId="2" borderId="91" xfId="0" applyFont="1" applyFill="1" applyBorder="1" applyAlignment="1">
      <alignment horizontal="center" vertical="top" wrapText="1"/>
    </xf>
    <xf numFmtId="0" fontId="6" fillId="12" borderId="2" xfId="0" applyFont="1" applyFill="1" applyBorder="1" applyAlignment="1">
      <alignment horizontal="center" vertical="center" wrapText="1"/>
    </xf>
    <xf numFmtId="0" fontId="3" fillId="0" borderId="17" xfId="0" applyFont="1" applyBorder="1"/>
    <xf numFmtId="0" fontId="12" fillId="14" borderId="24" xfId="0" applyFont="1" applyFill="1" applyBorder="1" applyAlignment="1">
      <alignment horizontal="center" vertical="center"/>
    </xf>
    <xf numFmtId="0" fontId="3" fillId="0" borderId="25" xfId="0" applyFont="1" applyBorder="1"/>
    <xf numFmtId="0" fontId="3" fillId="0" borderId="26" xfId="0" applyFont="1" applyBorder="1"/>
    <xf numFmtId="0" fontId="8" fillId="10" borderId="9" xfId="0" applyFont="1" applyFill="1" applyBorder="1" applyAlignment="1">
      <alignment horizontal="center" vertical="center" wrapText="1"/>
    </xf>
    <xf numFmtId="0" fontId="3" fillId="0" borderId="7" xfId="0" applyFont="1" applyBorder="1"/>
    <xf numFmtId="0" fontId="3" fillId="0" borderId="8" xfId="0" applyFont="1" applyBorder="1"/>
    <xf numFmtId="0" fontId="8" fillId="10" borderId="12" xfId="0" applyFont="1" applyFill="1" applyBorder="1" applyAlignment="1">
      <alignment horizontal="center" vertical="center"/>
    </xf>
    <xf numFmtId="0" fontId="3" fillId="0" borderId="14" xfId="0" applyFont="1" applyBorder="1"/>
    <xf numFmtId="0" fontId="3" fillId="0" borderId="15" xfId="0" applyFont="1" applyBorder="1"/>
    <xf numFmtId="0" fontId="6" fillId="12" borderId="9" xfId="0" applyFont="1" applyFill="1" applyBorder="1" applyAlignment="1">
      <alignment horizontal="center" vertical="center"/>
    </xf>
    <xf numFmtId="0" fontId="6" fillId="11" borderId="2" xfId="0" applyFont="1" applyFill="1" applyBorder="1" applyAlignment="1">
      <alignment horizontal="center" vertical="center"/>
    </xf>
    <xf numFmtId="0" fontId="6" fillId="11" borderId="2" xfId="0" applyFont="1" applyFill="1" applyBorder="1" applyAlignment="1">
      <alignment horizontal="center" vertical="center" wrapText="1"/>
    </xf>
    <xf numFmtId="0" fontId="6" fillId="11" borderId="9" xfId="0" applyFont="1" applyFill="1" applyBorder="1" applyAlignment="1">
      <alignment horizontal="center" vertical="center"/>
    </xf>
    <xf numFmtId="0" fontId="3" fillId="0" borderId="16" xfId="0" applyFont="1" applyBorder="1"/>
    <xf numFmtId="0" fontId="11" fillId="10" borderId="21" xfId="0" applyFont="1" applyFill="1" applyBorder="1" applyAlignment="1">
      <alignment horizontal="center" vertical="center"/>
    </xf>
    <xf numFmtId="0" fontId="3" fillId="0" borderId="22" xfId="0" applyFont="1" applyBorder="1"/>
    <xf numFmtId="0" fontId="3" fillId="0" borderId="23" xfId="0" applyFont="1" applyBorder="1"/>
    <xf numFmtId="0" fontId="3" fillId="0" borderId="27" xfId="0" applyFont="1" applyBorder="1"/>
    <xf numFmtId="0" fontId="0" fillId="0" borderId="0" xfId="0"/>
    <xf numFmtId="0" fontId="3" fillId="0" borderId="28" xfId="0" applyFont="1" applyBorder="1"/>
    <xf numFmtId="0" fontId="3" fillId="0" borderId="30" xfId="0" applyFont="1" applyBorder="1"/>
    <xf numFmtId="0" fontId="3" fillId="0" borderId="31" xfId="0" applyFont="1" applyBorder="1"/>
    <xf numFmtId="0" fontId="3" fillId="0" borderId="32" xfId="0" applyFont="1" applyBorder="1"/>
    <xf numFmtId="0" fontId="14" fillId="14" borderId="33" xfId="0" applyFont="1" applyFill="1" applyBorder="1" applyAlignment="1">
      <alignment horizontal="center" vertical="center" textRotation="90"/>
    </xf>
    <xf numFmtId="0" fontId="3" fillId="0" borderId="34" xfId="0" applyFont="1" applyBorder="1"/>
    <xf numFmtId="0" fontId="3" fillId="0" borderId="35" xfId="0" applyFont="1" applyBorder="1"/>
    <xf numFmtId="0" fontId="6" fillId="11" borderId="9" xfId="0" applyFont="1" applyFill="1" applyBorder="1" applyAlignment="1">
      <alignment horizontal="center" vertical="center" wrapText="1"/>
    </xf>
    <xf numFmtId="0" fontId="19" fillId="2" borderId="2" xfId="0" applyFont="1" applyFill="1" applyBorder="1" applyAlignment="1">
      <alignment horizontal="center" vertical="center" wrapText="1"/>
    </xf>
    <xf numFmtId="0" fontId="19" fillId="3" borderId="9" xfId="0" applyFont="1" applyFill="1" applyBorder="1" applyAlignment="1">
      <alignment horizontal="center" vertical="center" wrapText="1"/>
    </xf>
    <xf numFmtId="0" fontId="19" fillId="4" borderId="9" xfId="0" applyFont="1" applyFill="1" applyBorder="1" applyAlignment="1">
      <alignment horizontal="center" vertical="center" wrapText="1"/>
    </xf>
    <xf numFmtId="0" fontId="18" fillId="2" borderId="9" xfId="0" applyFont="1" applyFill="1" applyBorder="1" applyAlignment="1">
      <alignment horizontal="center" vertical="top"/>
    </xf>
    <xf numFmtId="0" fontId="18" fillId="3" borderId="9" xfId="0" applyFont="1" applyFill="1" applyBorder="1" applyAlignment="1">
      <alignment horizontal="center" vertical="top"/>
    </xf>
    <xf numFmtId="0" fontId="19" fillId="2" borderId="3" xfId="0" applyFont="1" applyFill="1" applyBorder="1" applyAlignment="1">
      <alignment horizontal="center" vertical="center" wrapText="1"/>
    </xf>
    <xf numFmtId="0" fontId="3" fillId="0" borderId="1" xfId="0" applyFont="1" applyBorder="1"/>
    <xf numFmtId="0" fontId="3" fillId="0" borderId="41" xfId="0" applyFont="1" applyBorder="1"/>
    <xf numFmtId="0" fontId="3" fillId="0" borderId="42" xfId="0" applyFont="1" applyBorder="1"/>
    <xf numFmtId="0" fontId="19" fillId="3" borderId="2" xfId="0" applyFont="1" applyFill="1" applyBorder="1" applyAlignment="1">
      <alignment horizontal="center" vertical="center" wrapText="1"/>
    </xf>
    <xf numFmtId="0" fontId="9" fillId="13" borderId="2" xfId="0" applyFont="1" applyFill="1" applyBorder="1" applyAlignment="1">
      <alignment horizontal="center" vertical="center"/>
    </xf>
    <xf numFmtId="0" fontId="3" fillId="0" borderId="47" xfId="0" applyFont="1" applyBorder="1"/>
    <xf numFmtId="0" fontId="3" fillId="0" borderId="48" xfId="0" applyFont="1" applyBorder="1"/>
    <xf numFmtId="0" fontId="9" fillId="0" borderId="47" xfId="0" applyFont="1" applyBorder="1"/>
    <xf numFmtId="0" fontId="9" fillId="21" borderId="49" xfId="0" applyFont="1" applyFill="1" applyBorder="1"/>
    <xf numFmtId="0" fontId="12" fillId="4" borderId="2" xfId="0" applyFont="1" applyFill="1" applyBorder="1" applyAlignment="1">
      <alignment horizontal="center" vertical="center" wrapText="1"/>
    </xf>
    <xf numFmtId="0" fontId="12" fillId="2" borderId="2" xfId="0" applyFont="1" applyFill="1" applyBorder="1" applyAlignment="1">
      <alignment horizontal="center" vertical="center"/>
    </xf>
    <xf numFmtId="0" fontId="17" fillId="13" borderId="3" xfId="0" applyFont="1" applyFill="1" applyBorder="1" applyAlignment="1">
      <alignment horizontal="center" vertical="center"/>
    </xf>
    <xf numFmtId="0" fontId="3" fillId="0" borderId="36" xfId="0" applyFont="1" applyBorder="1"/>
    <xf numFmtId="0" fontId="3" fillId="0" borderId="38" xfId="0" applyFont="1" applyBorder="1"/>
    <xf numFmtId="0" fontId="3" fillId="0" borderId="39" xfId="0" applyFont="1" applyBorder="1"/>
    <xf numFmtId="0" fontId="3" fillId="0" borderId="43" xfId="0" applyFont="1" applyBorder="1"/>
    <xf numFmtId="0" fontId="22" fillId="13" borderId="44" xfId="0" applyFont="1" applyFill="1" applyBorder="1" applyAlignment="1">
      <alignment horizontal="center" vertical="center"/>
    </xf>
    <xf numFmtId="0" fontId="3" fillId="0" borderId="45" xfId="0" applyFont="1" applyBorder="1"/>
    <xf numFmtId="0" fontId="12" fillId="13" borderId="9" xfId="0" applyFont="1" applyFill="1" applyBorder="1" applyAlignment="1">
      <alignment horizontal="center"/>
    </xf>
    <xf numFmtId="0" fontId="9" fillId="13" borderId="9" xfId="0" applyFont="1" applyFill="1" applyBorder="1" applyAlignment="1">
      <alignment horizontal="center" vertical="center"/>
    </xf>
    <xf numFmtId="0" fontId="9" fillId="13" borderId="9" xfId="0" quotePrefix="1" applyFont="1" applyFill="1" applyBorder="1" applyAlignment="1">
      <alignment horizontal="center" vertical="center"/>
    </xf>
  </cellXfs>
  <cellStyles count="1">
    <cellStyle name="Normal" xfId="0" builtinId="0"/>
  </cellStyles>
  <dxfs count="336">
    <dxf>
      <fill>
        <patternFill patternType="solid">
          <fgColor rgb="FF339966"/>
          <bgColor rgb="FF339966"/>
        </patternFill>
      </fill>
    </dxf>
    <dxf>
      <fill>
        <patternFill patternType="solid">
          <fgColor rgb="FFFF0000"/>
          <bgColor rgb="FFFF0000"/>
        </patternFill>
      </fill>
    </dxf>
    <dxf>
      <fill>
        <patternFill patternType="solid">
          <fgColor rgb="FFFFFF00"/>
          <bgColor rgb="FFFFFF00"/>
        </patternFill>
      </fill>
    </dxf>
    <dxf>
      <fill>
        <patternFill patternType="solid">
          <fgColor rgb="FFFFCC00"/>
          <bgColor rgb="FFFFCC00"/>
        </patternFill>
      </fill>
    </dxf>
    <dxf>
      <fill>
        <patternFill patternType="solid">
          <fgColor rgb="FF99CC00"/>
          <bgColor rgb="FF99CC00"/>
        </patternFill>
      </fill>
    </dxf>
    <dxf>
      <fill>
        <patternFill patternType="solid">
          <fgColor rgb="FF339966"/>
          <bgColor rgb="FF339966"/>
        </patternFill>
      </fill>
    </dxf>
    <dxf>
      <fill>
        <patternFill patternType="solid">
          <fgColor rgb="FFFF0000"/>
          <bgColor rgb="FFFF0000"/>
        </patternFill>
      </fill>
    </dxf>
    <dxf>
      <fill>
        <patternFill patternType="solid">
          <fgColor rgb="FFFFFF00"/>
          <bgColor rgb="FFFFFF00"/>
        </patternFill>
      </fill>
    </dxf>
    <dxf>
      <fill>
        <patternFill patternType="solid">
          <fgColor rgb="FFFFCC00"/>
          <bgColor rgb="FFFFCC00"/>
        </patternFill>
      </fill>
    </dxf>
    <dxf>
      <fill>
        <patternFill patternType="solid">
          <fgColor rgb="FF99CC00"/>
          <bgColor rgb="FF99CC00"/>
        </patternFill>
      </fill>
    </dxf>
    <dxf>
      <fill>
        <patternFill>
          <bgColor rgb="FF339966"/>
        </patternFill>
      </fill>
    </dxf>
    <dxf>
      <fill>
        <patternFill>
          <bgColor rgb="FFFF0000"/>
        </patternFill>
      </fill>
    </dxf>
    <dxf>
      <fill>
        <patternFill>
          <bgColor rgb="FFFFFF00"/>
        </patternFill>
      </fill>
    </dxf>
    <dxf>
      <fill>
        <patternFill>
          <bgColor rgb="FFFFCC00"/>
        </patternFill>
      </fill>
    </dxf>
    <dxf>
      <fill>
        <patternFill>
          <bgColor rgb="FF99CC00"/>
        </patternFill>
      </fill>
    </dxf>
    <dxf>
      <font>
        <b/>
        <i val="0"/>
      </font>
      <fill>
        <patternFill>
          <bgColor theme="9"/>
        </patternFill>
      </fill>
    </dxf>
    <dxf>
      <fill>
        <patternFill patternType="solid">
          <fgColor rgb="FF339966"/>
          <bgColor rgb="FF339966"/>
        </patternFill>
      </fill>
    </dxf>
    <dxf>
      <fill>
        <patternFill patternType="solid">
          <fgColor rgb="FFFF0000"/>
          <bgColor rgb="FFFF0000"/>
        </patternFill>
      </fill>
    </dxf>
    <dxf>
      <fill>
        <patternFill patternType="solid">
          <fgColor rgb="FFFFFF00"/>
          <bgColor rgb="FFFFFF00"/>
        </patternFill>
      </fill>
    </dxf>
    <dxf>
      <fill>
        <patternFill patternType="solid">
          <fgColor rgb="FFFFCC00"/>
          <bgColor rgb="FFFFCC00"/>
        </patternFill>
      </fill>
    </dxf>
    <dxf>
      <fill>
        <patternFill patternType="solid">
          <fgColor rgb="FF99CC00"/>
          <bgColor rgb="FF99CC00"/>
        </patternFill>
      </fill>
    </dxf>
    <dxf>
      <fill>
        <patternFill patternType="solid">
          <fgColor rgb="FF339966"/>
          <bgColor rgb="FF339966"/>
        </patternFill>
      </fill>
    </dxf>
    <dxf>
      <fill>
        <patternFill patternType="solid">
          <fgColor rgb="FFFF0000"/>
          <bgColor rgb="FFFF0000"/>
        </patternFill>
      </fill>
    </dxf>
    <dxf>
      <fill>
        <patternFill patternType="solid">
          <fgColor rgb="FFFFFF00"/>
          <bgColor rgb="FFFFFF00"/>
        </patternFill>
      </fill>
    </dxf>
    <dxf>
      <fill>
        <patternFill patternType="solid">
          <fgColor rgb="FFFFCC00"/>
          <bgColor rgb="FFFFCC00"/>
        </patternFill>
      </fill>
    </dxf>
    <dxf>
      <fill>
        <patternFill patternType="solid">
          <fgColor rgb="FF99CC00"/>
          <bgColor rgb="FF99CC00"/>
        </patternFill>
      </fill>
    </dxf>
    <dxf>
      <fill>
        <patternFill patternType="solid">
          <fgColor rgb="FF339966"/>
          <bgColor rgb="FF339966"/>
        </patternFill>
      </fill>
    </dxf>
    <dxf>
      <fill>
        <patternFill patternType="solid">
          <fgColor rgb="FFFF0000"/>
          <bgColor rgb="FFFF0000"/>
        </patternFill>
      </fill>
    </dxf>
    <dxf>
      <fill>
        <patternFill patternType="solid">
          <fgColor rgb="FFFFFF00"/>
          <bgColor rgb="FFFFFF00"/>
        </patternFill>
      </fill>
    </dxf>
    <dxf>
      <fill>
        <patternFill patternType="solid">
          <fgColor rgb="FFFFCC00"/>
          <bgColor rgb="FFFFCC00"/>
        </patternFill>
      </fill>
    </dxf>
    <dxf>
      <fill>
        <patternFill patternType="solid">
          <fgColor rgb="FF99CC00"/>
          <bgColor rgb="FF99CC00"/>
        </patternFill>
      </fill>
    </dxf>
    <dxf>
      <fill>
        <patternFill patternType="solid">
          <fgColor rgb="FF339966"/>
          <bgColor rgb="FF339966"/>
        </patternFill>
      </fill>
    </dxf>
    <dxf>
      <fill>
        <patternFill patternType="solid">
          <fgColor rgb="FFFF0000"/>
          <bgColor rgb="FFFF0000"/>
        </patternFill>
      </fill>
    </dxf>
    <dxf>
      <fill>
        <patternFill patternType="solid">
          <fgColor rgb="FFFFFF00"/>
          <bgColor rgb="FFFFFF00"/>
        </patternFill>
      </fill>
    </dxf>
    <dxf>
      <fill>
        <patternFill patternType="solid">
          <fgColor rgb="FFFFCC00"/>
          <bgColor rgb="FFFFCC00"/>
        </patternFill>
      </fill>
    </dxf>
    <dxf>
      <fill>
        <patternFill patternType="solid">
          <fgColor rgb="FF99CC00"/>
          <bgColor rgb="FF99CC00"/>
        </patternFill>
      </fill>
    </dxf>
    <dxf>
      <fill>
        <patternFill patternType="solid">
          <fgColor rgb="FF339966"/>
          <bgColor rgb="FF339966"/>
        </patternFill>
      </fill>
    </dxf>
    <dxf>
      <fill>
        <patternFill patternType="solid">
          <fgColor rgb="FFFF0000"/>
          <bgColor rgb="FFFF0000"/>
        </patternFill>
      </fill>
    </dxf>
    <dxf>
      <fill>
        <patternFill patternType="solid">
          <fgColor rgb="FFFFFF00"/>
          <bgColor rgb="FFFFFF00"/>
        </patternFill>
      </fill>
    </dxf>
    <dxf>
      <fill>
        <patternFill patternType="solid">
          <fgColor rgb="FFFFCC00"/>
          <bgColor rgb="FFFFCC00"/>
        </patternFill>
      </fill>
    </dxf>
    <dxf>
      <fill>
        <patternFill patternType="solid">
          <fgColor rgb="FF99CC00"/>
          <bgColor rgb="FF99CC00"/>
        </patternFill>
      </fill>
    </dxf>
    <dxf>
      <fill>
        <patternFill patternType="solid">
          <fgColor rgb="FF339966"/>
          <bgColor rgb="FF339966"/>
        </patternFill>
      </fill>
    </dxf>
    <dxf>
      <fill>
        <patternFill patternType="solid">
          <fgColor rgb="FFFF0000"/>
          <bgColor rgb="FFFF0000"/>
        </patternFill>
      </fill>
    </dxf>
    <dxf>
      <fill>
        <patternFill patternType="solid">
          <fgColor rgb="FFFFFF00"/>
          <bgColor rgb="FFFFFF00"/>
        </patternFill>
      </fill>
    </dxf>
    <dxf>
      <fill>
        <patternFill patternType="solid">
          <fgColor rgb="FFFFCC00"/>
          <bgColor rgb="FFFFCC00"/>
        </patternFill>
      </fill>
    </dxf>
    <dxf>
      <fill>
        <patternFill patternType="solid">
          <fgColor rgb="FF99CC00"/>
          <bgColor rgb="FF99CC00"/>
        </patternFill>
      </fill>
    </dxf>
    <dxf>
      <fill>
        <patternFill patternType="solid">
          <fgColor rgb="FF339966"/>
          <bgColor rgb="FF339966"/>
        </patternFill>
      </fill>
    </dxf>
    <dxf>
      <fill>
        <patternFill patternType="solid">
          <fgColor rgb="FFFF0000"/>
          <bgColor rgb="FFFF0000"/>
        </patternFill>
      </fill>
    </dxf>
    <dxf>
      <fill>
        <patternFill patternType="solid">
          <fgColor rgb="FFFFFF00"/>
          <bgColor rgb="FFFFFF00"/>
        </patternFill>
      </fill>
    </dxf>
    <dxf>
      <fill>
        <patternFill patternType="solid">
          <fgColor rgb="FFFFCC00"/>
          <bgColor rgb="FFFFCC00"/>
        </patternFill>
      </fill>
    </dxf>
    <dxf>
      <fill>
        <patternFill patternType="solid">
          <fgColor rgb="FF99CC00"/>
          <bgColor rgb="FF99CC00"/>
        </patternFill>
      </fill>
    </dxf>
    <dxf>
      <fill>
        <patternFill patternType="solid">
          <fgColor rgb="FF339966"/>
          <bgColor rgb="FF339966"/>
        </patternFill>
      </fill>
    </dxf>
    <dxf>
      <fill>
        <patternFill patternType="solid">
          <fgColor rgb="FFFF0000"/>
          <bgColor rgb="FFFF0000"/>
        </patternFill>
      </fill>
    </dxf>
    <dxf>
      <fill>
        <patternFill patternType="solid">
          <fgColor rgb="FFFFFF00"/>
          <bgColor rgb="FFFFFF00"/>
        </patternFill>
      </fill>
    </dxf>
    <dxf>
      <fill>
        <patternFill patternType="solid">
          <fgColor rgb="FFFFCC00"/>
          <bgColor rgb="FFFFCC00"/>
        </patternFill>
      </fill>
    </dxf>
    <dxf>
      <fill>
        <patternFill patternType="solid">
          <fgColor rgb="FF99CC00"/>
          <bgColor rgb="FF99CC00"/>
        </patternFill>
      </fill>
    </dxf>
    <dxf>
      <fill>
        <patternFill patternType="solid">
          <fgColor rgb="FF339966"/>
          <bgColor rgb="FF339966"/>
        </patternFill>
      </fill>
    </dxf>
    <dxf>
      <fill>
        <patternFill patternType="solid">
          <fgColor rgb="FFFF0000"/>
          <bgColor rgb="FFFF0000"/>
        </patternFill>
      </fill>
    </dxf>
    <dxf>
      <fill>
        <patternFill patternType="solid">
          <fgColor rgb="FFFFFF00"/>
          <bgColor rgb="FFFFFF00"/>
        </patternFill>
      </fill>
    </dxf>
    <dxf>
      <fill>
        <patternFill patternType="solid">
          <fgColor rgb="FFFFCC00"/>
          <bgColor rgb="FFFFCC00"/>
        </patternFill>
      </fill>
    </dxf>
    <dxf>
      <fill>
        <patternFill patternType="solid">
          <fgColor rgb="FF99CC00"/>
          <bgColor rgb="FF99CC00"/>
        </patternFill>
      </fill>
    </dxf>
    <dxf>
      <fill>
        <patternFill patternType="solid">
          <fgColor rgb="FF339966"/>
          <bgColor rgb="FF339966"/>
        </patternFill>
      </fill>
    </dxf>
    <dxf>
      <fill>
        <patternFill patternType="solid">
          <fgColor rgb="FFFF0000"/>
          <bgColor rgb="FFFF0000"/>
        </patternFill>
      </fill>
    </dxf>
    <dxf>
      <fill>
        <patternFill patternType="solid">
          <fgColor rgb="FFFFFF00"/>
          <bgColor rgb="FFFFFF00"/>
        </patternFill>
      </fill>
    </dxf>
    <dxf>
      <fill>
        <patternFill patternType="solid">
          <fgColor rgb="FFFFCC00"/>
          <bgColor rgb="FFFFCC00"/>
        </patternFill>
      </fill>
    </dxf>
    <dxf>
      <fill>
        <patternFill patternType="solid">
          <fgColor rgb="FF99CC00"/>
          <bgColor rgb="FF99CC00"/>
        </patternFill>
      </fill>
    </dxf>
    <dxf>
      <fill>
        <patternFill patternType="solid">
          <fgColor rgb="FF339966"/>
          <bgColor rgb="FF339966"/>
        </patternFill>
      </fill>
    </dxf>
    <dxf>
      <fill>
        <patternFill patternType="solid">
          <fgColor rgb="FFFF0000"/>
          <bgColor rgb="FFFF0000"/>
        </patternFill>
      </fill>
    </dxf>
    <dxf>
      <fill>
        <patternFill patternType="solid">
          <fgColor rgb="FFFFFF00"/>
          <bgColor rgb="FFFFFF00"/>
        </patternFill>
      </fill>
    </dxf>
    <dxf>
      <fill>
        <patternFill patternType="solid">
          <fgColor rgb="FFFFCC00"/>
          <bgColor rgb="FFFFCC00"/>
        </patternFill>
      </fill>
    </dxf>
    <dxf>
      <fill>
        <patternFill patternType="solid">
          <fgColor rgb="FF99CC00"/>
          <bgColor rgb="FF99CC00"/>
        </patternFill>
      </fill>
    </dxf>
    <dxf>
      <fill>
        <patternFill patternType="solid">
          <fgColor rgb="FF339966"/>
          <bgColor rgb="FF339966"/>
        </patternFill>
      </fill>
    </dxf>
    <dxf>
      <fill>
        <patternFill patternType="solid">
          <fgColor rgb="FFFF0000"/>
          <bgColor rgb="FFFF0000"/>
        </patternFill>
      </fill>
    </dxf>
    <dxf>
      <fill>
        <patternFill patternType="solid">
          <fgColor rgb="FFFFFF00"/>
          <bgColor rgb="FFFFFF00"/>
        </patternFill>
      </fill>
    </dxf>
    <dxf>
      <fill>
        <patternFill patternType="solid">
          <fgColor rgb="FFFFCC00"/>
          <bgColor rgb="FFFFCC00"/>
        </patternFill>
      </fill>
    </dxf>
    <dxf>
      <fill>
        <patternFill patternType="solid">
          <fgColor rgb="FF99CC00"/>
          <bgColor rgb="FF99CC00"/>
        </patternFill>
      </fill>
    </dxf>
    <dxf>
      <fill>
        <patternFill patternType="solid">
          <fgColor rgb="FF339966"/>
          <bgColor rgb="FF339966"/>
        </patternFill>
      </fill>
    </dxf>
    <dxf>
      <fill>
        <patternFill patternType="solid">
          <fgColor rgb="FFFF0000"/>
          <bgColor rgb="FFFF0000"/>
        </patternFill>
      </fill>
    </dxf>
    <dxf>
      <fill>
        <patternFill patternType="solid">
          <fgColor rgb="FFFFFF00"/>
          <bgColor rgb="FFFFFF00"/>
        </patternFill>
      </fill>
    </dxf>
    <dxf>
      <fill>
        <patternFill patternType="solid">
          <fgColor rgb="FFFFCC00"/>
          <bgColor rgb="FFFFCC00"/>
        </patternFill>
      </fill>
    </dxf>
    <dxf>
      <fill>
        <patternFill patternType="solid">
          <fgColor rgb="FF99CC00"/>
          <bgColor rgb="FF99CC00"/>
        </patternFill>
      </fill>
    </dxf>
    <dxf>
      <fill>
        <patternFill patternType="solid">
          <fgColor rgb="FF339966"/>
          <bgColor rgb="FF339966"/>
        </patternFill>
      </fill>
    </dxf>
    <dxf>
      <fill>
        <patternFill patternType="solid">
          <fgColor rgb="FFFF0000"/>
          <bgColor rgb="FFFF0000"/>
        </patternFill>
      </fill>
    </dxf>
    <dxf>
      <fill>
        <patternFill patternType="solid">
          <fgColor rgb="FFFFFF00"/>
          <bgColor rgb="FFFFFF00"/>
        </patternFill>
      </fill>
    </dxf>
    <dxf>
      <fill>
        <patternFill patternType="solid">
          <fgColor rgb="FFFFCC00"/>
          <bgColor rgb="FFFFCC00"/>
        </patternFill>
      </fill>
    </dxf>
    <dxf>
      <fill>
        <patternFill patternType="solid">
          <fgColor rgb="FF99CC00"/>
          <bgColor rgb="FF99CC00"/>
        </patternFill>
      </fill>
    </dxf>
    <dxf>
      <fill>
        <patternFill patternType="solid">
          <fgColor rgb="FF339966"/>
          <bgColor rgb="FF339966"/>
        </patternFill>
      </fill>
    </dxf>
    <dxf>
      <fill>
        <patternFill patternType="solid">
          <fgColor rgb="FFFF0000"/>
          <bgColor rgb="FFFF0000"/>
        </patternFill>
      </fill>
    </dxf>
    <dxf>
      <fill>
        <patternFill patternType="solid">
          <fgColor rgb="FFFFFF00"/>
          <bgColor rgb="FFFFFF00"/>
        </patternFill>
      </fill>
    </dxf>
    <dxf>
      <fill>
        <patternFill patternType="solid">
          <fgColor rgb="FFFFCC00"/>
          <bgColor rgb="FFFFCC00"/>
        </patternFill>
      </fill>
    </dxf>
    <dxf>
      <fill>
        <patternFill patternType="solid">
          <fgColor rgb="FF99CC00"/>
          <bgColor rgb="FF99CC00"/>
        </patternFill>
      </fill>
    </dxf>
    <dxf>
      <fill>
        <patternFill patternType="solid">
          <fgColor rgb="FF339966"/>
          <bgColor rgb="FF339966"/>
        </patternFill>
      </fill>
    </dxf>
    <dxf>
      <fill>
        <patternFill patternType="solid">
          <fgColor rgb="FFFF0000"/>
          <bgColor rgb="FFFF0000"/>
        </patternFill>
      </fill>
    </dxf>
    <dxf>
      <fill>
        <patternFill patternType="solid">
          <fgColor rgb="FFFFFF00"/>
          <bgColor rgb="FFFFFF00"/>
        </patternFill>
      </fill>
    </dxf>
    <dxf>
      <fill>
        <patternFill patternType="solid">
          <fgColor rgb="FFFFCC00"/>
          <bgColor rgb="FFFFCC00"/>
        </patternFill>
      </fill>
    </dxf>
    <dxf>
      <fill>
        <patternFill patternType="solid">
          <fgColor rgb="FF99CC00"/>
          <bgColor rgb="FF99CC00"/>
        </patternFill>
      </fill>
    </dxf>
    <dxf>
      <fill>
        <patternFill patternType="solid">
          <fgColor rgb="FF339966"/>
          <bgColor rgb="FF339966"/>
        </patternFill>
      </fill>
    </dxf>
    <dxf>
      <fill>
        <patternFill patternType="solid">
          <fgColor rgb="FFFF0000"/>
          <bgColor rgb="FFFF0000"/>
        </patternFill>
      </fill>
    </dxf>
    <dxf>
      <fill>
        <patternFill patternType="solid">
          <fgColor rgb="FFFFFF00"/>
          <bgColor rgb="FFFFFF00"/>
        </patternFill>
      </fill>
    </dxf>
    <dxf>
      <fill>
        <patternFill patternType="solid">
          <fgColor rgb="FFFFCC00"/>
          <bgColor rgb="FFFFCC00"/>
        </patternFill>
      </fill>
    </dxf>
    <dxf>
      <fill>
        <patternFill patternType="solid">
          <fgColor rgb="FF99CC00"/>
          <bgColor rgb="FF99CC00"/>
        </patternFill>
      </fill>
    </dxf>
    <dxf>
      <fill>
        <patternFill patternType="solid">
          <fgColor rgb="FF339966"/>
          <bgColor rgb="FF339966"/>
        </patternFill>
      </fill>
    </dxf>
    <dxf>
      <fill>
        <patternFill patternType="solid">
          <fgColor rgb="FFFF0000"/>
          <bgColor rgb="FFFF0000"/>
        </patternFill>
      </fill>
    </dxf>
    <dxf>
      <fill>
        <patternFill patternType="solid">
          <fgColor rgb="FFFFFF00"/>
          <bgColor rgb="FFFFFF00"/>
        </patternFill>
      </fill>
    </dxf>
    <dxf>
      <fill>
        <patternFill patternType="solid">
          <fgColor rgb="FFFFCC00"/>
          <bgColor rgb="FFFFCC00"/>
        </patternFill>
      </fill>
    </dxf>
    <dxf>
      <fill>
        <patternFill patternType="solid">
          <fgColor rgb="FF99CC00"/>
          <bgColor rgb="FF99CC00"/>
        </patternFill>
      </fill>
    </dxf>
    <dxf>
      <fill>
        <patternFill patternType="solid">
          <fgColor rgb="FF339966"/>
          <bgColor rgb="FF339966"/>
        </patternFill>
      </fill>
    </dxf>
    <dxf>
      <fill>
        <patternFill patternType="solid">
          <fgColor rgb="FFFF0000"/>
          <bgColor rgb="FFFF0000"/>
        </patternFill>
      </fill>
    </dxf>
    <dxf>
      <fill>
        <patternFill patternType="solid">
          <fgColor rgb="FFFFFF00"/>
          <bgColor rgb="FFFFFF00"/>
        </patternFill>
      </fill>
    </dxf>
    <dxf>
      <fill>
        <patternFill patternType="solid">
          <fgColor rgb="FFFFCC00"/>
          <bgColor rgb="FFFFCC00"/>
        </patternFill>
      </fill>
    </dxf>
    <dxf>
      <fill>
        <patternFill patternType="solid">
          <fgColor rgb="FF99CC00"/>
          <bgColor rgb="FF99CC00"/>
        </patternFill>
      </fill>
    </dxf>
    <dxf>
      <fill>
        <patternFill patternType="solid">
          <fgColor rgb="FF339966"/>
          <bgColor rgb="FF339966"/>
        </patternFill>
      </fill>
    </dxf>
    <dxf>
      <fill>
        <patternFill patternType="solid">
          <fgColor rgb="FFFF0000"/>
          <bgColor rgb="FFFF0000"/>
        </patternFill>
      </fill>
    </dxf>
    <dxf>
      <fill>
        <patternFill patternType="solid">
          <fgColor rgb="FFFFFF00"/>
          <bgColor rgb="FFFFFF00"/>
        </patternFill>
      </fill>
    </dxf>
    <dxf>
      <fill>
        <patternFill patternType="solid">
          <fgColor rgb="FFFFCC00"/>
          <bgColor rgb="FFFFCC00"/>
        </patternFill>
      </fill>
    </dxf>
    <dxf>
      <fill>
        <patternFill patternType="solid">
          <fgColor rgb="FF99CC00"/>
          <bgColor rgb="FF99CC00"/>
        </patternFill>
      </fill>
    </dxf>
    <dxf>
      <fill>
        <patternFill patternType="solid">
          <fgColor rgb="FF339966"/>
          <bgColor rgb="FF339966"/>
        </patternFill>
      </fill>
    </dxf>
    <dxf>
      <fill>
        <patternFill patternType="solid">
          <fgColor rgb="FFFF0000"/>
          <bgColor rgb="FFFF0000"/>
        </patternFill>
      </fill>
    </dxf>
    <dxf>
      <fill>
        <patternFill patternType="solid">
          <fgColor rgb="FFFFFF00"/>
          <bgColor rgb="FFFFFF00"/>
        </patternFill>
      </fill>
    </dxf>
    <dxf>
      <fill>
        <patternFill patternType="solid">
          <fgColor rgb="FFFFCC00"/>
          <bgColor rgb="FFFFCC00"/>
        </patternFill>
      </fill>
    </dxf>
    <dxf>
      <fill>
        <patternFill patternType="solid">
          <fgColor rgb="FF99CC00"/>
          <bgColor rgb="FF99CC00"/>
        </patternFill>
      </fill>
    </dxf>
    <dxf>
      <fill>
        <patternFill patternType="solid">
          <fgColor rgb="FF339966"/>
          <bgColor rgb="FF339966"/>
        </patternFill>
      </fill>
    </dxf>
    <dxf>
      <fill>
        <patternFill patternType="solid">
          <fgColor rgb="FFFF0000"/>
          <bgColor rgb="FFFF0000"/>
        </patternFill>
      </fill>
    </dxf>
    <dxf>
      <fill>
        <patternFill patternType="solid">
          <fgColor rgb="FFFFFF00"/>
          <bgColor rgb="FFFFFF00"/>
        </patternFill>
      </fill>
    </dxf>
    <dxf>
      <fill>
        <patternFill patternType="solid">
          <fgColor rgb="FFFFCC00"/>
          <bgColor rgb="FFFFCC00"/>
        </patternFill>
      </fill>
    </dxf>
    <dxf>
      <fill>
        <patternFill patternType="solid">
          <fgColor rgb="FF99CC00"/>
          <bgColor rgb="FF99CC00"/>
        </patternFill>
      </fill>
    </dxf>
    <dxf>
      <fill>
        <patternFill patternType="solid">
          <fgColor rgb="FF339966"/>
          <bgColor rgb="FF339966"/>
        </patternFill>
      </fill>
    </dxf>
    <dxf>
      <fill>
        <patternFill patternType="solid">
          <fgColor rgb="FFFF0000"/>
          <bgColor rgb="FFFF0000"/>
        </patternFill>
      </fill>
    </dxf>
    <dxf>
      <fill>
        <patternFill patternType="solid">
          <fgColor rgb="FFFFFF00"/>
          <bgColor rgb="FFFFFF00"/>
        </patternFill>
      </fill>
    </dxf>
    <dxf>
      <fill>
        <patternFill patternType="solid">
          <fgColor rgb="FFFFCC00"/>
          <bgColor rgb="FFFFCC00"/>
        </patternFill>
      </fill>
    </dxf>
    <dxf>
      <fill>
        <patternFill patternType="solid">
          <fgColor rgb="FF99CC00"/>
          <bgColor rgb="FF99CC00"/>
        </patternFill>
      </fill>
    </dxf>
    <dxf>
      <fill>
        <patternFill patternType="solid">
          <fgColor rgb="FF339966"/>
          <bgColor rgb="FF339966"/>
        </patternFill>
      </fill>
    </dxf>
    <dxf>
      <fill>
        <patternFill patternType="solid">
          <fgColor rgb="FFFF0000"/>
          <bgColor rgb="FFFF0000"/>
        </patternFill>
      </fill>
    </dxf>
    <dxf>
      <fill>
        <patternFill patternType="solid">
          <fgColor rgb="FFFFFF00"/>
          <bgColor rgb="FFFFFF00"/>
        </patternFill>
      </fill>
    </dxf>
    <dxf>
      <fill>
        <patternFill patternType="solid">
          <fgColor rgb="FFFFCC00"/>
          <bgColor rgb="FFFFCC00"/>
        </patternFill>
      </fill>
    </dxf>
    <dxf>
      <fill>
        <patternFill patternType="solid">
          <fgColor rgb="FF99CC00"/>
          <bgColor rgb="FF99CC00"/>
        </patternFill>
      </fill>
    </dxf>
    <dxf>
      <fill>
        <patternFill patternType="solid">
          <fgColor rgb="FF339966"/>
          <bgColor rgb="FF339966"/>
        </patternFill>
      </fill>
    </dxf>
    <dxf>
      <fill>
        <patternFill patternType="solid">
          <fgColor rgb="FFFF0000"/>
          <bgColor rgb="FFFF0000"/>
        </patternFill>
      </fill>
    </dxf>
    <dxf>
      <fill>
        <patternFill patternType="solid">
          <fgColor rgb="FFFFFF00"/>
          <bgColor rgb="FFFFFF00"/>
        </patternFill>
      </fill>
    </dxf>
    <dxf>
      <fill>
        <patternFill patternType="solid">
          <fgColor rgb="FFFFCC00"/>
          <bgColor rgb="FFFFCC00"/>
        </patternFill>
      </fill>
    </dxf>
    <dxf>
      <fill>
        <patternFill patternType="solid">
          <fgColor rgb="FF99CC00"/>
          <bgColor rgb="FF99CC00"/>
        </patternFill>
      </fill>
    </dxf>
    <dxf>
      <fill>
        <patternFill patternType="solid">
          <fgColor rgb="FF339966"/>
          <bgColor rgb="FF339966"/>
        </patternFill>
      </fill>
    </dxf>
    <dxf>
      <fill>
        <patternFill patternType="solid">
          <fgColor rgb="FFFF0000"/>
          <bgColor rgb="FFFF0000"/>
        </patternFill>
      </fill>
    </dxf>
    <dxf>
      <fill>
        <patternFill patternType="solid">
          <fgColor rgb="FFFFFF00"/>
          <bgColor rgb="FFFFFF00"/>
        </patternFill>
      </fill>
    </dxf>
    <dxf>
      <fill>
        <patternFill patternType="solid">
          <fgColor rgb="FFFFCC00"/>
          <bgColor rgb="FFFFCC00"/>
        </patternFill>
      </fill>
    </dxf>
    <dxf>
      <fill>
        <patternFill patternType="solid">
          <fgColor rgb="FF99CC00"/>
          <bgColor rgb="FF99CC00"/>
        </patternFill>
      </fill>
    </dxf>
    <dxf>
      <fill>
        <patternFill patternType="solid">
          <fgColor rgb="FF339966"/>
          <bgColor rgb="FF339966"/>
        </patternFill>
      </fill>
    </dxf>
    <dxf>
      <fill>
        <patternFill patternType="solid">
          <fgColor rgb="FFFF0000"/>
          <bgColor rgb="FFFF0000"/>
        </patternFill>
      </fill>
    </dxf>
    <dxf>
      <fill>
        <patternFill patternType="solid">
          <fgColor rgb="FFFFFF00"/>
          <bgColor rgb="FFFFFF00"/>
        </patternFill>
      </fill>
    </dxf>
    <dxf>
      <fill>
        <patternFill patternType="solid">
          <fgColor rgb="FFFFCC00"/>
          <bgColor rgb="FFFFCC00"/>
        </patternFill>
      </fill>
    </dxf>
    <dxf>
      <fill>
        <patternFill patternType="solid">
          <fgColor rgb="FF99CC00"/>
          <bgColor rgb="FF99CC00"/>
        </patternFill>
      </fill>
    </dxf>
    <dxf>
      <fill>
        <patternFill patternType="solid">
          <fgColor rgb="FF339966"/>
          <bgColor rgb="FF339966"/>
        </patternFill>
      </fill>
    </dxf>
    <dxf>
      <fill>
        <patternFill patternType="solid">
          <fgColor rgb="FFFF0000"/>
          <bgColor rgb="FFFF0000"/>
        </patternFill>
      </fill>
    </dxf>
    <dxf>
      <fill>
        <patternFill patternType="solid">
          <fgColor rgb="FFFFFF00"/>
          <bgColor rgb="FFFFFF00"/>
        </patternFill>
      </fill>
    </dxf>
    <dxf>
      <fill>
        <patternFill patternType="solid">
          <fgColor rgb="FFFFCC00"/>
          <bgColor rgb="FFFFCC00"/>
        </patternFill>
      </fill>
    </dxf>
    <dxf>
      <fill>
        <patternFill patternType="solid">
          <fgColor rgb="FF99CC00"/>
          <bgColor rgb="FF99CC00"/>
        </patternFill>
      </fill>
    </dxf>
    <dxf>
      <fill>
        <patternFill patternType="solid">
          <fgColor rgb="FF339966"/>
          <bgColor rgb="FF339966"/>
        </patternFill>
      </fill>
    </dxf>
    <dxf>
      <fill>
        <patternFill patternType="solid">
          <fgColor rgb="FFFF0000"/>
          <bgColor rgb="FFFF0000"/>
        </patternFill>
      </fill>
    </dxf>
    <dxf>
      <fill>
        <patternFill patternType="solid">
          <fgColor rgb="FFFFFF00"/>
          <bgColor rgb="FFFFFF00"/>
        </patternFill>
      </fill>
    </dxf>
    <dxf>
      <fill>
        <patternFill patternType="solid">
          <fgColor rgb="FFFFCC00"/>
          <bgColor rgb="FFFFCC00"/>
        </patternFill>
      </fill>
    </dxf>
    <dxf>
      <fill>
        <patternFill patternType="solid">
          <fgColor rgb="FF99CC00"/>
          <bgColor rgb="FF99CC00"/>
        </patternFill>
      </fill>
    </dxf>
    <dxf>
      <fill>
        <patternFill patternType="solid">
          <fgColor rgb="FF339966"/>
          <bgColor rgb="FF339966"/>
        </patternFill>
      </fill>
    </dxf>
    <dxf>
      <fill>
        <patternFill patternType="solid">
          <fgColor rgb="FFFF0000"/>
          <bgColor rgb="FFFF0000"/>
        </patternFill>
      </fill>
    </dxf>
    <dxf>
      <fill>
        <patternFill patternType="solid">
          <fgColor rgb="FFFFFF00"/>
          <bgColor rgb="FFFFFF00"/>
        </patternFill>
      </fill>
    </dxf>
    <dxf>
      <fill>
        <patternFill patternType="solid">
          <fgColor rgb="FFFFCC00"/>
          <bgColor rgb="FFFFCC00"/>
        </patternFill>
      </fill>
    </dxf>
    <dxf>
      <fill>
        <patternFill patternType="solid">
          <fgColor rgb="FF99CC00"/>
          <bgColor rgb="FF99CC00"/>
        </patternFill>
      </fill>
    </dxf>
    <dxf>
      <fill>
        <patternFill patternType="solid">
          <fgColor rgb="FF339966"/>
          <bgColor rgb="FF339966"/>
        </patternFill>
      </fill>
    </dxf>
    <dxf>
      <fill>
        <patternFill patternType="solid">
          <fgColor rgb="FFFF0000"/>
          <bgColor rgb="FFFF0000"/>
        </patternFill>
      </fill>
    </dxf>
    <dxf>
      <fill>
        <patternFill patternType="solid">
          <fgColor rgb="FFFFFF00"/>
          <bgColor rgb="FFFFFF00"/>
        </patternFill>
      </fill>
    </dxf>
    <dxf>
      <fill>
        <patternFill patternType="solid">
          <fgColor rgb="FFFFCC00"/>
          <bgColor rgb="FFFFCC00"/>
        </patternFill>
      </fill>
    </dxf>
    <dxf>
      <fill>
        <patternFill patternType="solid">
          <fgColor rgb="FF99CC00"/>
          <bgColor rgb="FF99CC00"/>
        </patternFill>
      </fill>
    </dxf>
    <dxf>
      <fill>
        <patternFill patternType="solid">
          <fgColor rgb="FF339966"/>
          <bgColor rgb="FF339966"/>
        </patternFill>
      </fill>
    </dxf>
    <dxf>
      <fill>
        <patternFill patternType="solid">
          <fgColor rgb="FFFF0000"/>
          <bgColor rgb="FFFF0000"/>
        </patternFill>
      </fill>
    </dxf>
    <dxf>
      <fill>
        <patternFill patternType="solid">
          <fgColor rgb="FFFFFF00"/>
          <bgColor rgb="FFFFFF00"/>
        </patternFill>
      </fill>
    </dxf>
    <dxf>
      <fill>
        <patternFill patternType="solid">
          <fgColor rgb="FFFFCC00"/>
          <bgColor rgb="FFFFCC00"/>
        </patternFill>
      </fill>
    </dxf>
    <dxf>
      <fill>
        <patternFill patternType="solid">
          <fgColor rgb="FF99CC00"/>
          <bgColor rgb="FF99CC00"/>
        </patternFill>
      </fill>
    </dxf>
    <dxf>
      <fill>
        <patternFill patternType="solid">
          <fgColor rgb="FF339966"/>
          <bgColor rgb="FF339966"/>
        </patternFill>
      </fill>
    </dxf>
    <dxf>
      <fill>
        <patternFill patternType="solid">
          <fgColor rgb="FFFF0000"/>
          <bgColor rgb="FFFF0000"/>
        </patternFill>
      </fill>
    </dxf>
    <dxf>
      <fill>
        <patternFill patternType="solid">
          <fgColor rgb="FFFFFF00"/>
          <bgColor rgb="FFFFFF00"/>
        </patternFill>
      </fill>
    </dxf>
    <dxf>
      <fill>
        <patternFill patternType="solid">
          <fgColor rgb="FFFFCC00"/>
          <bgColor rgb="FFFFCC00"/>
        </patternFill>
      </fill>
    </dxf>
    <dxf>
      <fill>
        <patternFill patternType="solid">
          <fgColor rgb="FF99CC00"/>
          <bgColor rgb="FF99CC00"/>
        </patternFill>
      </fill>
    </dxf>
    <dxf>
      <fill>
        <patternFill patternType="solid">
          <fgColor rgb="FF339966"/>
          <bgColor rgb="FF339966"/>
        </patternFill>
      </fill>
    </dxf>
    <dxf>
      <fill>
        <patternFill patternType="solid">
          <fgColor rgb="FFFF0000"/>
          <bgColor rgb="FFFF0000"/>
        </patternFill>
      </fill>
    </dxf>
    <dxf>
      <fill>
        <patternFill patternType="solid">
          <fgColor rgb="FFFFFF00"/>
          <bgColor rgb="FFFFFF00"/>
        </patternFill>
      </fill>
    </dxf>
    <dxf>
      <fill>
        <patternFill patternType="solid">
          <fgColor rgb="FFFFCC00"/>
          <bgColor rgb="FFFFCC00"/>
        </patternFill>
      </fill>
    </dxf>
    <dxf>
      <fill>
        <patternFill patternType="solid">
          <fgColor rgb="FF99CC00"/>
          <bgColor rgb="FF99CC00"/>
        </patternFill>
      </fill>
    </dxf>
    <dxf>
      <fill>
        <patternFill patternType="solid">
          <fgColor rgb="FF339966"/>
          <bgColor rgb="FF339966"/>
        </patternFill>
      </fill>
    </dxf>
    <dxf>
      <fill>
        <patternFill patternType="solid">
          <fgColor rgb="FFFF0000"/>
          <bgColor rgb="FFFF0000"/>
        </patternFill>
      </fill>
    </dxf>
    <dxf>
      <fill>
        <patternFill patternType="solid">
          <fgColor rgb="FFFFFF00"/>
          <bgColor rgb="FFFFFF00"/>
        </patternFill>
      </fill>
    </dxf>
    <dxf>
      <fill>
        <patternFill patternType="solid">
          <fgColor rgb="FFFFCC00"/>
          <bgColor rgb="FFFFCC00"/>
        </patternFill>
      </fill>
    </dxf>
    <dxf>
      <fill>
        <patternFill patternType="solid">
          <fgColor rgb="FF99CC00"/>
          <bgColor rgb="FF99CC00"/>
        </patternFill>
      </fill>
    </dxf>
    <dxf>
      <fill>
        <patternFill patternType="solid">
          <fgColor rgb="FF339966"/>
          <bgColor rgb="FF339966"/>
        </patternFill>
      </fill>
    </dxf>
    <dxf>
      <fill>
        <patternFill patternType="solid">
          <fgColor rgb="FFFF0000"/>
          <bgColor rgb="FFFF0000"/>
        </patternFill>
      </fill>
    </dxf>
    <dxf>
      <fill>
        <patternFill patternType="solid">
          <fgColor rgb="FFFFFF00"/>
          <bgColor rgb="FFFFFF00"/>
        </patternFill>
      </fill>
    </dxf>
    <dxf>
      <fill>
        <patternFill patternType="solid">
          <fgColor rgb="FFFFCC00"/>
          <bgColor rgb="FFFFCC00"/>
        </patternFill>
      </fill>
    </dxf>
    <dxf>
      <fill>
        <patternFill patternType="solid">
          <fgColor rgb="FF99CC00"/>
          <bgColor rgb="FF99CC00"/>
        </patternFill>
      </fill>
    </dxf>
    <dxf>
      <fill>
        <patternFill patternType="solid">
          <fgColor rgb="FF339966"/>
          <bgColor rgb="FF339966"/>
        </patternFill>
      </fill>
    </dxf>
    <dxf>
      <fill>
        <patternFill patternType="solid">
          <fgColor rgb="FFFF0000"/>
          <bgColor rgb="FFFF0000"/>
        </patternFill>
      </fill>
    </dxf>
    <dxf>
      <fill>
        <patternFill patternType="solid">
          <fgColor rgb="FFFFFF00"/>
          <bgColor rgb="FFFFFF00"/>
        </patternFill>
      </fill>
    </dxf>
    <dxf>
      <fill>
        <patternFill patternType="solid">
          <fgColor rgb="FFFFCC00"/>
          <bgColor rgb="FFFFCC00"/>
        </patternFill>
      </fill>
    </dxf>
    <dxf>
      <fill>
        <patternFill patternType="solid">
          <fgColor rgb="FF99CC00"/>
          <bgColor rgb="FF99CC00"/>
        </patternFill>
      </fill>
    </dxf>
    <dxf>
      <fill>
        <patternFill patternType="solid">
          <fgColor rgb="FF339966"/>
          <bgColor rgb="FF339966"/>
        </patternFill>
      </fill>
    </dxf>
    <dxf>
      <fill>
        <patternFill patternType="solid">
          <fgColor rgb="FFFF0000"/>
          <bgColor rgb="FFFF0000"/>
        </patternFill>
      </fill>
    </dxf>
    <dxf>
      <fill>
        <patternFill patternType="solid">
          <fgColor rgb="FFFFFF00"/>
          <bgColor rgb="FFFFFF00"/>
        </patternFill>
      </fill>
    </dxf>
    <dxf>
      <fill>
        <patternFill patternType="solid">
          <fgColor rgb="FFFFCC00"/>
          <bgColor rgb="FFFFCC00"/>
        </patternFill>
      </fill>
    </dxf>
    <dxf>
      <fill>
        <patternFill patternType="solid">
          <fgColor rgb="FF99CC00"/>
          <bgColor rgb="FF99CC00"/>
        </patternFill>
      </fill>
    </dxf>
    <dxf>
      <fill>
        <patternFill patternType="solid">
          <fgColor rgb="FF339966"/>
          <bgColor rgb="FF339966"/>
        </patternFill>
      </fill>
    </dxf>
    <dxf>
      <fill>
        <patternFill patternType="solid">
          <fgColor rgb="FFFF0000"/>
          <bgColor rgb="FFFF0000"/>
        </patternFill>
      </fill>
    </dxf>
    <dxf>
      <fill>
        <patternFill patternType="solid">
          <fgColor rgb="FFFFFF00"/>
          <bgColor rgb="FFFFFF00"/>
        </patternFill>
      </fill>
    </dxf>
    <dxf>
      <fill>
        <patternFill patternType="solid">
          <fgColor rgb="FFFFCC00"/>
          <bgColor rgb="FFFFCC00"/>
        </patternFill>
      </fill>
    </dxf>
    <dxf>
      <fill>
        <patternFill patternType="solid">
          <fgColor rgb="FF99CC00"/>
          <bgColor rgb="FF99CC00"/>
        </patternFill>
      </fill>
    </dxf>
    <dxf>
      <fill>
        <patternFill patternType="solid">
          <fgColor rgb="FF339966"/>
          <bgColor rgb="FF339966"/>
        </patternFill>
      </fill>
    </dxf>
    <dxf>
      <fill>
        <patternFill patternType="solid">
          <fgColor rgb="FFFF0000"/>
          <bgColor rgb="FFFF0000"/>
        </patternFill>
      </fill>
    </dxf>
    <dxf>
      <fill>
        <patternFill patternType="solid">
          <fgColor rgb="FFFFFF00"/>
          <bgColor rgb="FFFFFF00"/>
        </patternFill>
      </fill>
    </dxf>
    <dxf>
      <fill>
        <patternFill patternType="solid">
          <fgColor rgb="FFFFCC00"/>
          <bgColor rgb="FFFFCC00"/>
        </patternFill>
      </fill>
    </dxf>
    <dxf>
      <fill>
        <patternFill patternType="solid">
          <fgColor rgb="FF99CC00"/>
          <bgColor rgb="FF99CC00"/>
        </patternFill>
      </fill>
    </dxf>
    <dxf>
      <fill>
        <patternFill patternType="solid">
          <fgColor rgb="FF339966"/>
          <bgColor rgb="FF339966"/>
        </patternFill>
      </fill>
    </dxf>
    <dxf>
      <fill>
        <patternFill patternType="solid">
          <fgColor rgb="FFFF0000"/>
          <bgColor rgb="FFFF0000"/>
        </patternFill>
      </fill>
    </dxf>
    <dxf>
      <fill>
        <patternFill patternType="solid">
          <fgColor rgb="FFFFFF00"/>
          <bgColor rgb="FFFFFF00"/>
        </patternFill>
      </fill>
    </dxf>
    <dxf>
      <fill>
        <patternFill patternType="solid">
          <fgColor rgb="FFFFCC00"/>
          <bgColor rgb="FFFFCC00"/>
        </patternFill>
      </fill>
    </dxf>
    <dxf>
      <fill>
        <patternFill patternType="solid">
          <fgColor rgb="FF99CC00"/>
          <bgColor rgb="FF99CC00"/>
        </patternFill>
      </fill>
    </dxf>
    <dxf>
      <fill>
        <patternFill patternType="solid">
          <fgColor rgb="FF339966"/>
          <bgColor rgb="FF339966"/>
        </patternFill>
      </fill>
    </dxf>
    <dxf>
      <fill>
        <patternFill patternType="solid">
          <fgColor rgb="FFFF0000"/>
          <bgColor rgb="FFFF0000"/>
        </patternFill>
      </fill>
    </dxf>
    <dxf>
      <fill>
        <patternFill patternType="solid">
          <fgColor rgb="FFFFFF00"/>
          <bgColor rgb="FFFFFF00"/>
        </patternFill>
      </fill>
    </dxf>
    <dxf>
      <fill>
        <patternFill patternType="solid">
          <fgColor rgb="FFFFCC00"/>
          <bgColor rgb="FFFFCC00"/>
        </patternFill>
      </fill>
    </dxf>
    <dxf>
      <fill>
        <patternFill patternType="solid">
          <fgColor rgb="FF99CC00"/>
          <bgColor rgb="FF99CC00"/>
        </patternFill>
      </fill>
    </dxf>
    <dxf>
      <fill>
        <patternFill patternType="solid">
          <fgColor rgb="FF339966"/>
          <bgColor rgb="FF339966"/>
        </patternFill>
      </fill>
    </dxf>
    <dxf>
      <fill>
        <patternFill patternType="solid">
          <fgColor rgb="FFFF0000"/>
          <bgColor rgb="FFFF0000"/>
        </patternFill>
      </fill>
    </dxf>
    <dxf>
      <fill>
        <patternFill patternType="solid">
          <fgColor rgb="FFFFFF00"/>
          <bgColor rgb="FFFFFF00"/>
        </patternFill>
      </fill>
    </dxf>
    <dxf>
      <fill>
        <patternFill patternType="solid">
          <fgColor rgb="FFFFCC00"/>
          <bgColor rgb="FFFFCC00"/>
        </patternFill>
      </fill>
    </dxf>
    <dxf>
      <fill>
        <patternFill patternType="solid">
          <fgColor rgb="FF99CC00"/>
          <bgColor rgb="FF99CC00"/>
        </patternFill>
      </fill>
    </dxf>
    <dxf>
      <fill>
        <patternFill patternType="solid">
          <fgColor rgb="FF339966"/>
          <bgColor rgb="FF339966"/>
        </patternFill>
      </fill>
    </dxf>
    <dxf>
      <fill>
        <patternFill patternType="solid">
          <fgColor rgb="FFFF0000"/>
          <bgColor rgb="FFFF0000"/>
        </patternFill>
      </fill>
    </dxf>
    <dxf>
      <fill>
        <patternFill patternType="solid">
          <fgColor rgb="FFFFFF00"/>
          <bgColor rgb="FFFFFF00"/>
        </patternFill>
      </fill>
    </dxf>
    <dxf>
      <fill>
        <patternFill patternType="solid">
          <fgColor rgb="FFFFCC00"/>
          <bgColor rgb="FFFFCC00"/>
        </patternFill>
      </fill>
    </dxf>
    <dxf>
      <fill>
        <patternFill patternType="solid">
          <fgColor rgb="FF99CC00"/>
          <bgColor rgb="FF99CC00"/>
        </patternFill>
      </fill>
    </dxf>
    <dxf>
      <fill>
        <patternFill patternType="solid">
          <fgColor rgb="FF339966"/>
          <bgColor rgb="FF339966"/>
        </patternFill>
      </fill>
    </dxf>
    <dxf>
      <fill>
        <patternFill patternType="solid">
          <fgColor rgb="FFFF0000"/>
          <bgColor rgb="FFFF0000"/>
        </patternFill>
      </fill>
    </dxf>
    <dxf>
      <fill>
        <patternFill patternType="solid">
          <fgColor rgb="FFFFFF00"/>
          <bgColor rgb="FFFFFF00"/>
        </patternFill>
      </fill>
    </dxf>
    <dxf>
      <fill>
        <patternFill patternType="solid">
          <fgColor rgb="FFFFCC00"/>
          <bgColor rgb="FFFFCC00"/>
        </patternFill>
      </fill>
    </dxf>
    <dxf>
      <fill>
        <patternFill patternType="solid">
          <fgColor rgb="FF99CC00"/>
          <bgColor rgb="FF99CC00"/>
        </patternFill>
      </fill>
    </dxf>
    <dxf>
      <fill>
        <patternFill patternType="solid">
          <fgColor rgb="FF339966"/>
          <bgColor rgb="FF339966"/>
        </patternFill>
      </fill>
    </dxf>
    <dxf>
      <fill>
        <patternFill patternType="solid">
          <fgColor rgb="FFFF0000"/>
          <bgColor rgb="FFFF0000"/>
        </patternFill>
      </fill>
    </dxf>
    <dxf>
      <fill>
        <patternFill patternType="solid">
          <fgColor rgb="FFFFFF00"/>
          <bgColor rgb="FFFFFF00"/>
        </patternFill>
      </fill>
    </dxf>
    <dxf>
      <fill>
        <patternFill patternType="solid">
          <fgColor rgb="FFFFCC00"/>
          <bgColor rgb="FFFFCC00"/>
        </patternFill>
      </fill>
    </dxf>
    <dxf>
      <fill>
        <patternFill patternType="solid">
          <fgColor rgb="FF99CC00"/>
          <bgColor rgb="FF99CC00"/>
        </patternFill>
      </fill>
    </dxf>
    <dxf>
      <fill>
        <patternFill patternType="solid">
          <fgColor rgb="FF339966"/>
          <bgColor rgb="FF339966"/>
        </patternFill>
      </fill>
    </dxf>
    <dxf>
      <fill>
        <patternFill patternType="solid">
          <fgColor rgb="FFFF0000"/>
          <bgColor rgb="FFFF0000"/>
        </patternFill>
      </fill>
    </dxf>
    <dxf>
      <fill>
        <patternFill patternType="solid">
          <fgColor rgb="FFFFFF00"/>
          <bgColor rgb="FFFFFF00"/>
        </patternFill>
      </fill>
    </dxf>
    <dxf>
      <fill>
        <patternFill patternType="solid">
          <fgColor rgb="FFFFCC00"/>
          <bgColor rgb="FFFFCC00"/>
        </patternFill>
      </fill>
    </dxf>
    <dxf>
      <fill>
        <patternFill patternType="solid">
          <fgColor rgb="FF99CC00"/>
          <bgColor rgb="FF99CC00"/>
        </patternFill>
      </fill>
    </dxf>
    <dxf>
      <fill>
        <patternFill patternType="solid">
          <fgColor rgb="FF339966"/>
          <bgColor rgb="FF339966"/>
        </patternFill>
      </fill>
    </dxf>
    <dxf>
      <fill>
        <patternFill patternType="solid">
          <fgColor rgb="FFFF0000"/>
          <bgColor rgb="FFFF0000"/>
        </patternFill>
      </fill>
    </dxf>
    <dxf>
      <fill>
        <patternFill patternType="solid">
          <fgColor rgb="FFFFFF00"/>
          <bgColor rgb="FFFFFF00"/>
        </patternFill>
      </fill>
    </dxf>
    <dxf>
      <fill>
        <patternFill patternType="solid">
          <fgColor rgb="FFFFCC00"/>
          <bgColor rgb="FFFFCC00"/>
        </patternFill>
      </fill>
    </dxf>
    <dxf>
      <fill>
        <patternFill patternType="solid">
          <fgColor rgb="FF99CC00"/>
          <bgColor rgb="FF99CC00"/>
        </patternFill>
      </fill>
    </dxf>
    <dxf>
      <fill>
        <patternFill patternType="solid">
          <fgColor rgb="FF339966"/>
          <bgColor rgb="FF339966"/>
        </patternFill>
      </fill>
    </dxf>
    <dxf>
      <fill>
        <patternFill patternType="solid">
          <fgColor rgb="FFFF0000"/>
          <bgColor rgb="FFFF0000"/>
        </patternFill>
      </fill>
    </dxf>
    <dxf>
      <fill>
        <patternFill patternType="solid">
          <fgColor rgb="FFFFFF00"/>
          <bgColor rgb="FFFFFF00"/>
        </patternFill>
      </fill>
    </dxf>
    <dxf>
      <fill>
        <patternFill patternType="solid">
          <fgColor rgb="FFFFCC00"/>
          <bgColor rgb="FFFFCC00"/>
        </patternFill>
      </fill>
    </dxf>
    <dxf>
      <fill>
        <patternFill patternType="solid">
          <fgColor rgb="FF99CC00"/>
          <bgColor rgb="FF99CC00"/>
        </patternFill>
      </fill>
    </dxf>
    <dxf>
      <fill>
        <patternFill patternType="solid">
          <fgColor rgb="FF339966"/>
          <bgColor rgb="FF339966"/>
        </patternFill>
      </fill>
    </dxf>
    <dxf>
      <fill>
        <patternFill patternType="solid">
          <fgColor rgb="FFFF0000"/>
          <bgColor rgb="FFFF0000"/>
        </patternFill>
      </fill>
    </dxf>
    <dxf>
      <fill>
        <patternFill patternType="solid">
          <fgColor rgb="FFFFFF00"/>
          <bgColor rgb="FFFFFF00"/>
        </patternFill>
      </fill>
    </dxf>
    <dxf>
      <fill>
        <patternFill patternType="solid">
          <fgColor rgb="FFFFCC00"/>
          <bgColor rgb="FFFFCC00"/>
        </patternFill>
      </fill>
    </dxf>
    <dxf>
      <fill>
        <patternFill patternType="solid">
          <fgColor rgb="FF99CC00"/>
          <bgColor rgb="FF99CC00"/>
        </patternFill>
      </fill>
    </dxf>
    <dxf>
      <fill>
        <patternFill patternType="solid">
          <fgColor rgb="FF339966"/>
          <bgColor rgb="FF339966"/>
        </patternFill>
      </fill>
    </dxf>
    <dxf>
      <fill>
        <patternFill patternType="solid">
          <fgColor rgb="FFFF0000"/>
          <bgColor rgb="FFFF0000"/>
        </patternFill>
      </fill>
    </dxf>
    <dxf>
      <fill>
        <patternFill patternType="solid">
          <fgColor rgb="FFFFFF00"/>
          <bgColor rgb="FFFFFF00"/>
        </patternFill>
      </fill>
    </dxf>
    <dxf>
      <fill>
        <patternFill patternType="solid">
          <fgColor rgb="FFFFCC00"/>
          <bgColor rgb="FFFFCC00"/>
        </patternFill>
      </fill>
    </dxf>
    <dxf>
      <fill>
        <patternFill patternType="solid">
          <fgColor rgb="FF99CC00"/>
          <bgColor rgb="FF99CC00"/>
        </patternFill>
      </fill>
    </dxf>
    <dxf>
      <fill>
        <patternFill patternType="solid">
          <fgColor rgb="FF339966"/>
          <bgColor rgb="FF339966"/>
        </patternFill>
      </fill>
    </dxf>
    <dxf>
      <fill>
        <patternFill patternType="solid">
          <fgColor rgb="FFFF0000"/>
          <bgColor rgb="FFFF0000"/>
        </patternFill>
      </fill>
    </dxf>
    <dxf>
      <fill>
        <patternFill patternType="solid">
          <fgColor rgb="FFFFFF00"/>
          <bgColor rgb="FFFFFF00"/>
        </patternFill>
      </fill>
    </dxf>
    <dxf>
      <fill>
        <patternFill patternType="solid">
          <fgColor rgb="FFFFCC00"/>
          <bgColor rgb="FFFFCC00"/>
        </patternFill>
      </fill>
    </dxf>
    <dxf>
      <fill>
        <patternFill patternType="solid">
          <fgColor rgb="FF99CC00"/>
          <bgColor rgb="FF99CC00"/>
        </patternFill>
      </fill>
    </dxf>
    <dxf>
      <fill>
        <patternFill patternType="solid">
          <fgColor rgb="FF339966"/>
          <bgColor rgb="FF339966"/>
        </patternFill>
      </fill>
    </dxf>
    <dxf>
      <fill>
        <patternFill patternType="solid">
          <fgColor rgb="FFFF0000"/>
          <bgColor rgb="FFFF0000"/>
        </patternFill>
      </fill>
    </dxf>
    <dxf>
      <fill>
        <patternFill patternType="solid">
          <fgColor rgb="FFFFFF00"/>
          <bgColor rgb="FFFFFF00"/>
        </patternFill>
      </fill>
    </dxf>
    <dxf>
      <fill>
        <patternFill patternType="solid">
          <fgColor rgb="FFFFCC00"/>
          <bgColor rgb="FFFFCC00"/>
        </patternFill>
      </fill>
    </dxf>
    <dxf>
      <fill>
        <patternFill patternType="solid">
          <fgColor rgb="FF99CC00"/>
          <bgColor rgb="FF99CC00"/>
        </patternFill>
      </fill>
    </dxf>
    <dxf>
      <fill>
        <patternFill patternType="solid">
          <fgColor rgb="FF339966"/>
          <bgColor rgb="FF339966"/>
        </patternFill>
      </fill>
    </dxf>
    <dxf>
      <fill>
        <patternFill patternType="solid">
          <fgColor rgb="FFFF0000"/>
          <bgColor rgb="FFFF0000"/>
        </patternFill>
      </fill>
    </dxf>
    <dxf>
      <fill>
        <patternFill patternType="solid">
          <fgColor rgb="FFFFFF00"/>
          <bgColor rgb="FFFFFF00"/>
        </patternFill>
      </fill>
    </dxf>
    <dxf>
      <fill>
        <patternFill patternType="solid">
          <fgColor rgb="FFFFCC00"/>
          <bgColor rgb="FFFFCC00"/>
        </patternFill>
      </fill>
    </dxf>
    <dxf>
      <fill>
        <patternFill patternType="solid">
          <fgColor rgb="FF99CC00"/>
          <bgColor rgb="FF99CC00"/>
        </patternFill>
      </fill>
    </dxf>
    <dxf>
      <fill>
        <patternFill patternType="solid">
          <fgColor rgb="FF339966"/>
          <bgColor rgb="FF339966"/>
        </patternFill>
      </fill>
    </dxf>
    <dxf>
      <fill>
        <patternFill patternType="solid">
          <fgColor rgb="FFFF0000"/>
          <bgColor rgb="FFFF0000"/>
        </patternFill>
      </fill>
    </dxf>
    <dxf>
      <fill>
        <patternFill patternType="solid">
          <fgColor rgb="FFFFFF00"/>
          <bgColor rgb="FFFFFF00"/>
        </patternFill>
      </fill>
    </dxf>
    <dxf>
      <fill>
        <patternFill patternType="solid">
          <fgColor rgb="FFFFCC00"/>
          <bgColor rgb="FFFFCC00"/>
        </patternFill>
      </fill>
    </dxf>
    <dxf>
      <fill>
        <patternFill patternType="solid">
          <fgColor rgb="FF99CC00"/>
          <bgColor rgb="FF99CC00"/>
        </patternFill>
      </fill>
    </dxf>
    <dxf>
      <fill>
        <patternFill patternType="solid">
          <fgColor rgb="FF339966"/>
          <bgColor rgb="FF339966"/>
        </patternFill>
      </fill>
    </dxf>
    <dxf>
      <fill>
        <patternFill patternType="solid">
          <fgColor rgb="FFFF0000"/>
          <bgColor rgb="FFFF0000"/>
        </patternFill>
      </fill>
    </dxf>
    <dxf>
      <fill>
        <patternFill patternType="solid">
          <fgColor rgb="FFFFFF00"/>
          <bgColor rgb="FFFFFF00"/>
        </patternFill>
      </fill>
    </dxf>
    <dxf>
      <fill>
        <patternFill patternType="solid">
          <fgColor rgb="FFFFCC00"/>
          <bgColor rgb="FFFFCC00"/>
        </patternFill>
      </fill>
    </dxf>
    <dxf>
      <fill>
        <patternFill patternType="solid">
          <fgColor rgb="FF99CC00"/>
          <bgColor rgb="FF99CC00"/>
        </patternFill>
      </fill>
    </dxf>
    <dxf>
      <fill>
        <patternFill patternType="solid">
          <fgColor rgb="FF339966"/>
          <bgColor rgb="FF339966"/>
        </patternFill>
      </fill>
    </dxf>
    <dxf>
      <fill>
        <patternFill patternType="solid">
          <fgColor rgb="FFFF0000"/>
          <bgColor rgb="FFFF0000"/>
        </patternFill>
      </fill>
    </dxf>
    <dxf>
      <fill>
        <patternFill patternType="solid">
          <fgColor rgb="FFFFFF00"/>
          <bgColor rgb="FFFFFF00"/>
        </patternFill>
      </fill>
    </dxf>
    <dxf>
      <fill>
        <patternFill patternType="solid">
          <fgColor rgb="FFFFCC00"/>
          <bgColor rgb="FFFFCC00"/>
        </patternFill>
      </fill>
    </dxf>
    <dxf>
      <fill>
        <patternFill patternType="solid">
          <fgColor rgb="FF99CC00"/>
          <bgColor rgb="FF99CC00"/>
        </patternFill>
      </fill>
    </dxf>
    <dxf>
      <fill>
        <patternFill patternType="solid">
          <fgColor rgb="FF339966"/>
          <bgColor rgb="FF339966"/>
        </patternFill>
      </fill>
    </dxf>
    <dxf>
      <fill>
        <patternFill patternType="solid">
          <fgColor rgb="FFFF0000"/>
          <bgColor rgb="FFFF0000"/>
        </patternFill>
      </fill>
    </dxf>
    <dxf>
      <fill>
        <patternFill patternType="solid">
          <fgColor rgb="FFFFFF00"/>
          <bgColor rgb="FFFFFF00"/>
        </patternFill>
      </fill>
    </dxf>
    <dxf>
      <fill>
        <patternFill patternType="solid">
          <fgColor rgb="FFFFCC00"/>
          <bgColor rgb="FFFFCC00"/>
        </patternFill>
      </fill>
    </dxf>
    <dxf>
      <fill>
        <patternFill patternType="solid">
          <fgColor rgb="FF99CC00"/>
          <bgColor rgb="FF99CC00"/>
        </patternFill>
      </fill>
    </dxf>
    <dxf>
      <fill>
        <patternFill patternType="solid">
          <fgColor rgb="FF339966"/>
          <bgColor rgb="FF339966"/>
        </patternFill>
      </fill>
    </dxf>
    <dxf>
      <fill>
        <patternFill patternType="solid">
          <fgColor rgb="FFFF0000"/>
          <bgColor rgb="FFFF0000"/>
        </patternFill>
      </fill>
    </dxf>
    <dxf>
      <fill>
        <patternFill patternType="solid">
          <fgColor rgb="FFFFFF00"/>
          <bgColor rgb="FFFFFF00"/>
        </patternFill>
      </fill>
    </dxf>
    <dxf>
      <fill>
        <patternFill patternType="solid">
          <fgColor rgb="FFFFCC00"/>
          <bgColor rgb="FFFFCC00"/>
        </patternFill>
      </fill>
    </dxf>
    <dxf>
      <fill>
        <patternFill patternType="solid">
          <fgColor rgb="FF99CC00"/>
          <bgColor rgb="FF99CC00"/>
        </patternFill>
      </fill>
    </dxf>
    <dxf>
      <fill>
        <patternFill patternType="solid">
          <fgColor rgb="FF339966"/>
          <bgColor rgb="FF339966"/>
        </patternFill>
      </fill>
    </dxf>
    <dxf>
      <fill>
        <patternFill patternType="solid">
          <fgColor rgb="FFFF0000"/>
          <bgColor rgb="FFFF0000"/>
        </patternFill>
      </fill>
    </dxf>
    <dxf>
      <fill>
        <patternFill patternType="solid">
          <fgColor rgb="FFFFFF00"/>
          <bgColor rgb="FFFFFF00"/>
        </patternFill>
      </fill>
    </dxf>
    <dxf>
      <fill>
        <patternFill patternType="solid">
          <fgColor rgb="FFFFCC00"/>
          <bgColor rgb="FFFFCC00"/>
        </patternFill>
      </fill>
    </dxf>
    <dxf>
      <fill>
        <patternFill patternType="solid">
          <fgColor rgb="FF99CC00"/>
          <bgColor rgb="FF99CC00"/>
        </patternFill>
      </fill>
    </dxf>
    <dxf>
      <fill>
        <patternFill patternType="solid">
          <fgColor rgb="FF339966"/>
          <bgColor rgb="FF339966"/>
        </patternFill>
      </fill>
    </dxf>
    <dxf>
      <fill>
        <patternFill patternType="solid">
          <fgColor rgb="FFFF0000"/>
          <bgColor rgb="FFFF0000"/>
        </patternFill>
      </fill>
    </dxf>
    <dxf>
      <fill>
        <patternFill patternType="solid">
          <fgColor rgb="FFFFFF00"/>
          <bgColor rgb="FFFFFF00"/>
        </patternFill>
      </fill>
    </dxf>
    <dxf>
      <fill>
        <patternFill patternType="solid">
          <fgColor rgb="FFFFCC00"/>
          <bgColor rgb="FFFFCC00"/>
        </patternFill>
      </fill>
    </dxf>
    <dxf>
      <fill>
        <patternFill patternType="solid">
          <fgColor rgb="FF99CC00"/>
          <bgColor rgb="FF99CC00"/>
        </patternFill>
      </fill>
    </dxf>
    <dxf>
      <fill>
        <patternFill patternType="solid">
          <fgColor rgb="FF339966"/>
          <bgColor rgb="FF339966"/>
        </patternFill>
      </fill>
    </dxf>
    <dxf>
      <fill>
        <patternFill patternType="solid">
          <fgColor rgb="FFFF0000"/>
          <bgColor rgb="FFFF0000"/>
        </patternFill>
      </fill>
    </dxf>
    <dxf>
      <fill>
        <patternFill patternType="solid">
          <fgColor rgb="FFFFFF00"/>
          <bgColor rgb="FFFFFF00"/>
        </patternFill>
      </fill>
    </dxf>
    <dxf>
      <fill>
        <patternFill patternType="solid">
          <fgColor rgb="FFFFCC00"/>
          <bgColor rgb="FFFFCC00"/>
        </patternFill>
      </fill>
    </dxf>
    <dxf>
      <fill>
        <patternFill patternType="solid">
          <fgColor rgb="FF99CC00"/>
          <bgColor rgb="FF99CC00"/>
        </patternFill>
      </fill>
    </dxf>
    <dxf>
      <fill>
        <patternFill patternType="solid">
          <fgColor rgb="FF99CC00"/>
          <bgColor rgb="FF99CC00"/>
        </patternFill>
      </fill>
    </dxf>
    <dxf>
      <fill>
        <patternFill patternType="solid">
          <fgColor rgb="FF339966"/>
          <bgColor rgb="FF339966"/>
        </patternFill>
      </fill>
    </dxf>
    <dxf>
      <fill>
        <patternFill patternType="solid">
          <fgColor rgb="FFFF0000"/>
          <bgColor rgb="FFFF0000"/>
        </patternFill>
      </fill>
    </dxf>
    <dxf>
      <fill>
        <patternFill patternType="solid">
          <fgColor rgb="FFFFFF00"/>
          <bgColor rgb="FFFFFF00"/>
        </patternFill>
      </fill>
    </dxf>
    <dxf>
      <fill>
        <patternFill patternType="solid">
          <fgColor rgb="FFFFCC00"/>
          <bgColor rgb="FFFFCC00"/>
        </patternFill>
      </fill>
    </dxf>
    <dxf>
      <fill>
        <patternFill>
          <bgColor rgb="FF339966"/>
        </patternFill>
      </fill>
    </dxf>
    <dxf>
      <fill>
        <patternFill>
          <bgColor rgb="FFFF0000"/>
        </patternFill>
      </fill>
    </dxf>
    <dxf>
      <fill>
        <patternFill>
          <bgColor rgb="FFFFFF00"/>
        </patternFill>
      </fill>
    </dxf>
    <dxf>
      <fill>
        <patternFill>
          <bgColor rgb="FFFFCC00"/>
        </patternFill>
      </fill>
    </dxf>
    <dxf>
      <fill>
        <patternFill>
          <bgColor rgb="FF99CC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2:AU258"/>
  <sheetViews>
    <sheetView showGridLines="0" tabSelected="1" topLeftCell="A13" zoomScale="85" zoomScaleNormal="85" workbookViewId="0">
      <pane xSplit="4" ySplit="2" topLeftCell="E155" activePane="bottomRight" state="frozen"/>
      <selection activeCell="A13" sqref="A13"/>
      <selection pane="topRight" activeCell="E13" sqref="E13"/>
      <selection pane="bottomLeft" activeCell="A15" sqref="A15"/>
      <selection pane="bottomRight" activeCell="I158" sqref="I158"/>
    </sheetView>
  </sheetViews>
  <sheetFormatPr defaultColWidth="14.44140625" defaultRowHeight="14.4" x14ac:dyDescent="0.3"/>
  <cols>
    <col min="1" max="1" width="5.77734375" customWidth="1"/>
    <col min="2" max="2" width="4.44140625" style="100" customWidth="1"/>
    <col min="3" max="4" width="40.77734375" customWidth="1"/>
    <col min="5" max="5" width="23.33203125" customWidth="1"/>
    <col min="6" max="6" width="25.77734375" customWidth="1"/>
    <col min="7" max="7" width="15.77734375" customWidth="1"/>
    <col min="8" max="8" width="12.33203125" customWidth="1"/>
    <col min="9" max="10" width="41" customWidth="1"/>
    <col min="11" max="13" width="42" customWidth="1"/>
    <col min="14" max="14" width="31.21875" customWidth="1"/>
    <col min="15" max="16" width="25.21875" customWidth="1"/>
    <col min="17" max="17" width="14.33203125" customWidth="1"/>
    <col min="18" max="18" width="17" customWidth="1"/>
    <col min="19" max="19" width="10" customWidth="1"/>
    <col min="20" max="20" width="12.44140625" customWidth="1"/>
    <col min="21" max="22" width="49.5546875" customWidth="1"/>
    <col min="23" max="23" width="68.6640625" customWidth="1"/>
    <col min="24" max="24" width="56.33203125" customWidth="1"/>
    <col min="25" max="26" width="26.88671875" customWidth="1"/>
    <col min="27" max="27" width="89.6640625" customWidth="1"/>
    <col min="28" max="28" width="26.88671875" customWidth="1"/>
    <col min="29" max="29" width="13.6640625" style="100" bestFit="1" customWidth="1"/>
    <col min="30" max="30" width="13.77734375" style="100" bestFit="1" customWidth="1"/>
    <col min="31" max="31" width="43" customWidth="1"/>
    <col min="32" max="32" width="13.77734375" style="100" hidden="1" customWidth="1"/>
    <col min="33" max="33" width="43" hidden="1" customWidth="1"/>
    <col min="34" max="34" width="13.77734375" style="100" hidden="1" customWidth="1"/>
    <col min="35" max="35" width="43" hidden="1" customWidth="1"/>
    <col min="36" max="36" width="13.77734375" style="100" hidden="1" customWidth="1"/>
    <col min="37" max="37" width="43" hidden="1" customWidth="1"/>
    <col min="38" max="38" width="10.77734375" style="100" customWidth="1"/>
    <col min="39" max="39" width="13.77734375" style="100" customWidth="1"/>
    <col min="40" max="40" width="10.77734375" style="100" customWidth="1"/>
    <col min="41" max="41" width="14.5546875" customWidth="1"/>
    <col min="42" max="42" width="21.88671875" customWidth="1"/>
    <col min="43" max="43" width="32.88671875" customWidth="1"/>
    <col min="44" max="66" width="10.77734375" customWidth="1"/>
  </cols>
  <sheetData>
    <row r="2" spans="1:47" ht="18" x14ac:dyDescent="0.3">
      <c r="A2" s="3"/>
      <c r="B2" s="2"/>
      <c r="C2" s="4" t="s">
        <v>0</v>
      </c>
      <c r="D2" s="5" t="s">
        <v>1</v>
      </c>
      <c r="E2" s="6"/>
      <c r="G2" s="2"/>
      <c r="H2" s="2"/>
      <c r="I2" s="3"/>
      <c r="J2" s="3"/>
      <c r="K2" s="3"/>
      <c r="L2" s="3"/>
      <c r="M2" s="3"/>
      <c r="N2" s="3"/>
      <c r="O2" s="2"/>
      <c r="P2" s="2"/>
      <c r="Q2" s="2"/>
      <c r="R2" s="2"/>
      <c r="S2" s="2"/>
      <c r="T2" s="3"/>
      <c r="U2" s="3"/>
      <c r="V2" s="3"/>
      <c r="W2" s="3"/>
      <c r="X2" s="3"/>
      <c r="Y2" s="3"/>
      <c r="Z2" s="3"/>
      <c r="AA2" s="3"/>
      <c r="AB2" s="3"/>
      <c r="AC2" s="2"/>
      <c r="AD2" s="2"/>
      <c r="AE2" s="3"/>
      <c r="AF2" s="2"/>
      <c r="AG2" s="3"/>
      <c r="AH2" s="2"/>
      <c r="AI2" s="3"/>
      <c r="AJ2" s="2"/>
      <c r="AK2" s="3"/>
      <c r="AL2" s="2"/>
      <c r="AM2" s="2"/>
      <c r="AN2" s="2"/>
      <c r="AO2" s="3"/>
      <c r="AP2" s="3"/>
      <c r="AQ2" s="3"/>
      <c r="AR2" s="3"/>
      <c r="AS2" s="3"/>
      <c r="AT2" s="3"/>
      <c r="AU2" s="3"/>
    </row>
    <row r="3" spans="1:47" ht="18" x14ac:dyDescent="0.3">
      <c r="A3" s="3"/>
      <c r="B3" s="2"/>
      <c r="C3" s="4" t="s">
        <v>2</v>
      </c>
      <c r="D3" s="5" t="s">
        <v>3</v>
      </c>
      <c r="E3" s="6"/>
      <c r="G3" s="2"/>
      <c r="H3" s="2"/>
      <c r="I3" s="3"/>
      <c r="J3" s="3"/>
      <c r="K3" s="3"/>
      <c r="L3" s="3"/>
      <c r="M3" s="3"/>
      <c r="N3" s="3"/>
      <c r="O3" s="2"/>
      <c r="P3" s="2"/>
      <c r="Q3" s="2"/>
      <c r="R3" s="2"/>
      <c r="S3" s="2"/>
      <c r="T3" s="3"/>
      <c r="U3" s="3"/>
      <c r="V3" s="3"/>
      <c r="W3" s="3"/>
      <c r="X3" s="3"/>
      <c r="Y3" s="3"/>
      <c r="Z3" s="3"/>
      <c r="AA3" s="3"/>
      <c r="AB3" s="3"/>
      <c r="AC3" s="2"/>
      <c r="AD3" s="2"/>
      <c r="AE3" s="3"/>
      <c r="AF3" s="2"/>
      <c r="AG3" s="3"/>
      <c r="AH3" s="2"/>
      <c r="AI3" s="3"/>
      <c r="AJ3" s="2"/>
      <c r="AK3" s="3"/>
      <c r="AL3" s="2"/>
      <c r="AM3" s="2"/>
      <c r="AN3" s="2"/>
      <c r="AO3" s="3"/>
      <c r="AP3" s="3"/>
      <c r="AQ3" s="3"/>
      <c r="AR3" s="3"/>
      <c r="AS3" s="3"/>
      <c r="AT3" s="3"/>
      <c r="AU3" s="3"/>
    </row>
    <row r="4" spans="1:47" ht="18" x14ac:dyDescent="0.3">
      <c r="A4" s="3"/>
      <c r="B4" s="2"/>
      <c r="C4" s="4"/>
      <c r="D4" s="5" t="s">
        <v>4</v>
      </c>
      <c r="E4" s="6"/>
      <c r="G4" s="2"/>
      <c r="H4" s="2"/>
      <c r="I4" s="3"/>
      <c r="J4" s="3"/>
      <c r="K4" s="3"/>
      <c r="L4" s="3"/>
      <c r="M4" s="3"/>
      <c r="N4" s="3"/>
      <c r="O4" s="2"/>
      <c r="P4" s="2"/>
      <c r="Q4" s="2"/>
      <c r="R4" s="2"/>
      <c r="S4" s="2"/>
      <c r="T4" s="3"/>
      <c r="U4" s="3"/>
      <c r="V4" s="3"/>
      <c r="W4" s="3"/>
      <c r="X4" s="3"/>
      <c r="Y4" s="3"/>
      <c r="Z4" s="3"/>
      <c r="AA4" s="3"/>
      <c r="AB4" s="3"/>
      <c r="AC4" s="2"/>
      <c r="AD4" s="2"/>
      <c r="AE4" s="3"/>
      <c r="AF4" s="2"/>
      <c r="AG4" s="3"/>
      <c r="AH4" s="2"/>
      <c r="AI4" s="3"/>
      <c r="AJ4" s="2"/>
      <c r="AK4" s="3"/>
      <c r="AL4" s="2"/>
      <c r="AM4" s="2"/>
      <c r="AN4" s="2"/>
      <c r="AO4" s="3"/>
      <c r="AP4" s="3"/>
      <c r="AQ4" s="3"/>
      <c r="AR4" s="3"/>
      <c r="AS4" s="3"/>
      <c r="AT4" s="3"/>
      <c r="AU4" s="3"/>
    </row>
    <row r="5" spans="1:47" ht="18" x14ac:dyDescent="0.3">
      <c r="A5" s="3"/>
      <c r="B5" s="2"/>
      <c r="C5" s="4"/>
      <c r="D5" s="5" t="s">
        <v>5</v>
      </c>
      <c r="E5" s="6"/>
      <c r="G5" s="2"/>
      <c r="H5" s="2"/>
      <c r="I5" s="3"/>
      <c r="J5" s="3"/>
      <c r="K5" s="3"/>
      <c r="L5" s="3"/>
      <c r="M5" s="3"/>
      <c r="N5" s="3"/>
      <c r="O5" s="2"/>
      <c r="P5" s="2"/>
      <c r="Q5" s="2"/>
      <c r="R5" s="2"/>
      <c r="S5" s="2"/>
      <c r="T5" s="3"/>
      <c r="U5" s="3"/>
      <c r="V5" s="3"/>
      <c r="W5" s="3"/>
      <c r="X5" s="3"/>
      <c r="Y5" s="3"/>
      <c r="Z5" s="3"/>
      <c r="AA5" s="3"/>
      <c r="AB5" s="3"/>
      <c r="AC5" s="2"/>
      <c r="AD5" s="2"/>
      <c r="AE5" s="3"/>
      <c r="AF5" s="2"/>
      <c r="AG5" s="3"/>
      <c r="AH5" s="2"/>
      <c r="AI5" s="3"/>
      <c r="AJ5" s="2"/>
      <c r="AK5" s="3"/>
      <c r="AL5" s="2"/>
      <c r="AM5" s="2"/>
      <c r="AN5" s="2"/>
      <c r="AR5" s="3"/>
      <c r="AS5" s="3"/>
      <c r="AT5" s="3"/>
      <c r="AU5" s="3"/>
    </row>
    <row r="6" spans="1:47" ht="18" x14ac:dyDescent="0.3">
      <c r="A6" s="3"/>
      <c r="B6" s="2"/>
      <c r="C6" s="4"/>
      <c r="D6" s="5" t="s">
        <v>6</v>
      </c>
      <c r="E6" s="6"/>
      <c r="G6" s="2"/>
      <c r="H6" s="2"/>
      <c r="I6" s="3"/>
      <c r="J6" s="3"/>
      <c r="K6" s="3"/>
      <c r="L6" s="3"/>
      <c r="M6" s="3"/>
      <c r="N6" s="3"/>
      <c r="O6" s="2"/>
      <c r="P6" s="2"/>
      <c r="Q6" s="2"/>
      <c r="R6" s="2"/>
      <c r="S6" s="2"/>
      <c r="T6" s="3"/>
      <c r="U6" s="3"/>
      <c r="V6" s="3"/>
      <c r="W6" s="3"/>
      <c r="X6" s="3"/>
      <c r="Y6" s="3"/>
      <c r="Z6" s="3"/>
      <c r="AA6" s="3"/>
      <c r="AB6" s="3"/>
      <c r="AC6" s="2"/>
      <c r="AD6" s="2"/>
      <c r="AE6" s="3"/>
      <c r="AF6" s="2"/>
      <c r="AG6" s="3"/>
      <c r="AH6" s="2"/>
      <c r="AI6" s="3"/>
      <c r="AJ6" s="2"/>
      <c r="AK6" s="3"/>
      <c r="AL6" s="2"/>
      <c r="AM6" s="2"/>
      <c r="AN6" s="2"/>
      <c r="AO6" s="3"/>
      <c r="AP6" s="3"/>
      <c r="AQ6" s="3"/>
      <c r="AR6" s="3"/>
      <c r="AS6" s="3"/>
      <c r="AT6" s="3"/>
      <c r="AU6" s="3"/>
    </row>
    <row r="7" spans="1:47" ht="18" customHeight="1" x14ac:dyDescent="0.3">
      <c r="A7" s="3"/>
      <c r="B7" s="2"/>
      <c r="C7" s="7" t="s">
        <v>7</v>
      </c>
      <c r="D7" s="7" t="s">
        <v>364</v>
      </c>
      <c r="E7" s="7"/>
      <c r="G7" s="7"/>
      <c r="H7" s="7"/>
      <c r="I7" s="4"/>
      <c r="J7" s="3"/>
      <c r="K7" s="3"/>
      <c r="L7" s="3"/>
      <c r="M7" s="3"/>
      <c r="N7" s="3"/>
      <c r="O7" s="2"/>
      <c r="P7" s="2"/>
      <c r="Q7" s="2"/>
      <c r="R7" s="2"/>
      <c r="S7" s="2"/>
      <c r="T7" s="3"/>
      <c r="U7" s="3"/>
      <c r="V7" s="3"/>
      <c r="W7" s="3"/>
      <c r="X7" s="3"/>
      <c r="Y7" s="3"/>
      <c r="Z7" s="3"/>
      <c r="AA7" s="3"/>
      <c r="AB7" s="3"/>
      <c r="AC7" s="2"/>
      <c r="AD7" s="2"/>
      <c r="AE7" s="3"/>
      <c r="AF7" s="2"/>
      <c r="AG7" s="3"/>
      <c r="AH7" s="2"/>
      <c r="AI7" s="3"/>
      <c r="AJ7" s="2"/>
      <c r="AK7" s="3"/>
      <c r="AL7" s="2"/>
      <c r="AM7" s="2"/>
      <c r="AN7" s="2"/>
      <c r="AO7" s="3"/>
      <c r="AP7" s="3"/>
      <c r="AQ7" s="3"/>
      <c r="AR7" s="3"/>
      <c r="AS7" s="3"/>
      <c r="AT7" s="3"/>
      <c r="AU7" s="3"/>
    </row>
    <row r="8" spans="1:47" ht="18" x14ac:dyDescent="0.3">
      <c r="A8" s="1"/>
      <c r="B8" s="2"/>
      <c r="C8" s="5" t="s">
        <v>8</v>
      </c>
      <c r="D8" s="5" t="s">
        <v>251</v>
      </c>
      <c r="E8" s="2"/>
      <c r="G8" s="2"/>
      <c r="H8" s="2"/>
      <c r="I8" s="1"/>
      <c r="J8" s="1"/>
      <c r="K8" s="1"/>
      <c r="L8" s="1"/>
      <c r="M8" s="1"/>
      <c r="N8" s="1"/>
      <c r="O8" s="2"/>
      <c r="P8" s="2"/>
      <c r="Q8" s="2"/>
      <c r="R8" s="2"/>
      <c r="S8" s="2"/>
      <c r="T8" s="1"/>
      <c r="U8" s="1"/>
      <c r="V8" s="1"/>
      <c r="W8" s="1"/>
      <c r="X8" s="1"/>
      <c r="Y8" s="1"/>
      <c r="Z8" s="1"/>
      <c r="AA8" s="1"/>
      <c r="AB8" s="1"/>
      <c r="AC8" s="2"/>
      <c r="AD8" s="2"/>
      <c r="AE8" s="1"/>
      <c r="AF8" s="2"/>
      <c r="AG8" s="1"/>
      <c r="AH8" s="2"/>
      <c r="AI8" s="1"/>
      <c r="AJ8" s="2"/>
      <c r="AK8" s="1"/>
      <c r="AL8" s="2"/>
      <c r="AM8" s="2"/>
      <c r="AN8" s="2"/>
      <c r="AO8" s="1"/>
      <c r="AP8" s="1"/>
      <c r="AQ8" s="1"/>
      <c r="AR8" s="1"/>
      <c r="AS8" s="1"/>
      <c r="AT8" s="1"/>
      <c r="AU8" s="1"/>
    </row>
    <row r="9" spans="1:47" ht="18.600000000000001" thickBot="1" x14ac:dyDescent="0.35">
      <c r="A9" s="98"/>
      <c r="B9" s="99"/>
      <c r="C9" s="98"/>
      <c r="D9" s="99"/>
      <c r="E9" s="99"/>
      <c r="F9" s="99"/>
      <c r="G9" s="99"/>
      <c r="H9" s="99"/>
      <c r="I9" s="98"/>
      <c r="J9" s="98"/>
      <c r="K9" s="98"/>
      <c r="L9" s="98"/>
      <c r="M9" s="98"/>
      <c r="N9" s="98"/>
      <c r="O9" s="99"/>
      <c r="P9" s="99"/>
      <c r="Q9" s="99"/>
      <c r="R9" s="99"/>
      <c r="S9" s="99"/>
      <c r="T9" s="98"/>
      <c r="U9" s="98"/>
      <c r="V9" s="98"/>
      <c r="W9" s="98"/>
      <c r="X9" s="98"/>
      <c r="Y9" s="98"/>
      <c r="Z9" s="98"/>
      <c r="AA9" s="98"/>
      <c r="AB9" s="98"/>
      <c r="AC9" s="99"/>
      <c r="AD9" s="99"/>
      <c r="AE9" s="98"/>
      <c r="AF9" s="99"/>
      <c r="AG9" s="98"/>
      <c r="AH9" s="99"/>
      <c r="AI9" s="98"/>
      <c r="AJ9" s="99"/>
      <c r="AK9" s="98"/>
      <c r="AL9" s="99"/>
      <c r="AM9" s="99"/>
      <c r="AN9" s="99"/>
      <c r="AO9" s="98"/>
      <c r="AP9" s="98"/>
      <c r="AQ9" s="98"/>
      <c r="AR9" s="1"/>
      <c r="AS9" s="1"/>
      <c r="AT9" s="1"/>
      <c r="AU9" s="1"/>
    </row>
    <row r="10" spans="1:47" ht="18.600000000000001" thickBot="1" x14ac:dyDescent="0.35">
      <c r="A10" s="199" t="s">
        <v>9</v>
      </c>
      <c r="B10" s="200"/>
      <c r="C10" s="200"/>
      <c r="D10" s="200"/>
      <c r="E10" s="200"/>
      <c r="F10" s="200"/>
      <c r="G10" s="200"/>
      <c r="H10" s="200"/>
      <c r="I10" s="201" t="s">
        <v>10</v>
      </c>
      <c r="J10" s="200"/>
      <c r="K10" s="200"/>
      <c r="L10" s="200"/>
      <c r="M10" s="200"/>
      <c r="N10" s="200"/>
      <c r="O10" s="200"/>
      <c r="P10" s="200"/>
      <c r="Q10" s="200"/>
      <c r="R10" s="200"/>
      <c r="S10" s="200"/>
      <c r="T10" s="202"/>
      <c r="U10" s="129"/>
      <c r="V10" s="123"/>
      <c r="W10" s="123"/>
      <c r="X10" s="123"/>
      <c r="Y10" s="123"/>
      <c r="Z10" s="123"/>
      <c r="AA10" s="203" t="s">
        <v>11</v>
      </c>
      <c r="AB10" s="204"/>
      <c r="AC10" s="204"/>
      <c r="AD10" s="200"/>
      <c r="AE10" s="200"/>
      <c r="AF10" s="200"/>
      <c r="AG10" s="200"/>
      <c r="AH10" s="200"/>
      <c r="AI10" s="200"/>
      <c r="AJ10" s="200"/>
      <c r="AK10" s="200"/>
      <c r="AL10" s="205"/>
      <c r="AM10" s="205"/>
      <c r="AN10" s="205"/>
      <c r="AO10" s="200"/>
      <c r="AP10" s="200"/>
      <c r="AQ10" s="202"/>
      <c r="AR10" s="1"/>
      <c r="AS10" s="1"/>
      <c r="AT10" s="1"/>
      <c r="AU10" s="1"/>
    </row>
    <row r="11" spans="1:47" ht="18" customHeight="1" x14ac:dyDescent="0.3">
      <c r="A11" s="206" t="s">
        <v>12</v>
      </c>
      <c r="B11" s="207"/>
      <c r="C11" s="210" t="s">
        <v>13</v>
      </c>
      <c r="D11" s="222" t="s">
        <v>16</v>
      </c>
      <c r="E11" s="221" t="s">
        <v>17</v>
      </c>
      <c r="F11" s="212" t="s">
        <v>14</v>
      </c>
      <c r="G11" s="210" t="s">
        <v>15</v>
      </c>
      <c r="H11" s="186" t="s">
        <v>24</v>
      </c>
      <c r="I11" s="213" t="s">
        <v>18</v>
      </c>
      <c r="J11" s="214"/>
      <c r="K11" s="215" t="s">
        <v>19</v>
      </c>
      <c r="L11" s="215" t="s">
        <v>20</v>
      </c>
      <c r="M11" s="215" t="s">
        <v>21</v>
      </c>
      <c r="N11" s="181" t="s">
        <v>22</v>
      </c>
      <c r="O11" s="182" t="s">
        <v>23</v>
      </c>
      <c r="P11" s="183"/>
      <c r="Q11" s="215" t="s">
        <v>25</v>
      </c>
      <c r="R11" s="215" t="s">
        <v>26</v>
      </c>
      <c r="S11" s="215" t="s">
        <v>27</v>
      </c>
      <c r="T11" s="219" t="s">
        <v>28</v>
      </c>
      <c r="U11" s="217" t="s">
        <v>29</v>
      </c>
      <c r="V11" s="179" t="s">
        <v>30</v>
      </c>
      <c r="W11" s="179" t="s">
        <v>387</v>
      </c>
      <c r="X11" s="179" t="s">
        <v>388</v>
      </c>
      <c r="Y11" s="179" t="s">
        <v>389</v>
      </c>
      <c r="Z11" s="179" t="s">
        <v>389</v>
      </c>
      <c r="AA11" s="190" t="s">
        <v>31</v>
      </c>
      <c r="AB11" s="191"/>
      <c r="AC11" s="191"/>
      <c r="AD11" s="192" t="s">
        <v>1352</v>
      </c>
      <c r="AE11" s="193"/>
      <c r="AF11" s="192" t="s">
        <v>1353</v>
      </c>
      <c r="AG11" s="193"/>
      <c r="AH11" s="192" t="s">
        <v>1359</v>
      </c>
      <c r="AI11" s="193"/>
      <c r="AJ11" s="192" t="s">
        <v>1359</v>
      </c>
      <c r="AK11" s="193"/>
      <c r="AL11" s="188" t="s">
        <v>32</v>
      </c>
      <c r="AM11" s="189"/>
      <c r="AN11" s="189"/>
      <c r="AO11" s="186" t="s">
        <v>28</v>
      </c>
      <c r="AP11" s="195" t="s">
        <v>33</v>
      </c>
      <c r="AQ11" s="197" t="s">
        <v>34</v>
      </c>
      <c r="AR11" s="1"/>
    </row>
    <row r="12" spans="1:47" ht="72.599999999999994" thickBot="1" x14ac:dyDescent="0.35">
      <c r="A12" s="208"/>
      <c r="B12" s="209"/>
      <c r="C12" s="211"/>
      <c r="D12" s="196"/>
      <c r="E12" s="198"/>
      <c r="F12" s="209"/>
      <c r="G12" s="211"/>
      <c r="H12" s="187"/>
      <c r="I12" s="132" t="s">
        <v>36</v>
      </c>
      <c r="J12" s="101" t="s">
        <v>37</v>
      </c>
      <c r="K12" s="216"/>
      <c r="L12" s="216"/>
      <c r="M12" s="216"/>
      <c r="N12" s="180"/>
      <c r="O12" s="132" t="s">
        <v>38</v>
      </c>
      <c r="P12" s="133" t="s">
        <v>39</v>
      </c>
      <c r="Q12" s="216"/>
      <c r="R12" s="216"/>
      <c r="S12" s="216"/>
      <c r="T12" s="220"/>
      <c r="U12" s="218"/>
      <c r="V12" s="180"/>
      <c r="W12" s="180"/>
      <c r="X12" s="180"/>
      <c r="Y12" s="180"/>
      <c r="Z12" s="180"/>
      <c r="AA12" s="134" t="s">
        <v>40</v>
      </c>
      <c r="AB12" s="102" t="s">
        <v>41</v>
      </c>
      <c r="AC12" s="154" t="s">
        <v>42</v>
      </c>
      <c r="AD12" s="159" t="s">
        <v>1350</v>
      </c>
      <c r="AE12" s="160" t="s">
        <v>44</v>
      </c>
      <c r="AF12" s="134" t="s">
        <v>1354</v>
      </c>
      <c r="AG12" s="153" t="s">
        <v>44</v>
      </c>
      <c r="AH12" s="134" t="s">
        <v>1351</v>
      </c>
      <c r="AI12" s="153" t="s">
        <v>44</v>
      </c>
      <c r="AJ12" s="134" t="s">
        <v>1362</v>
      </c>
      <c r="AK12" s="153" t="s">
        <v>44</v>
      </c>
      <c r="AL12" s="134" t="s">
        <v>45</v>
      </c>
      <c r="AM12" s="102" t="s">
        <v>46</v>
      </c>
      <c r="AN12" s="154" t="s">
        <v>47</v>
      </c>
      <c r="AO12" s="194"/>
      <c r="AP12" s="196"/>
      <c r="AQ12" s="198"/>
      <c r="AR12" s="1"/>
      <c r="AS12" s="8" t="s">
        <v>250</v>
      </c>
      <c r="AT12" s="9" t="s">
        <v>35</v>
      </c>
      <c r="AU12" s="9" t="s">
        <v>249</v>
      </c>
    </row>
    <row r="13" spans="1:47" ht="18.600000000000001" thickBot="1" x14ac:dyDescent="0.6">
      <c r="A13" s="135"/>
      <c r="B13" s="146"/>
      <c r="C13" s="142" t="s">
        <v>13</v>
      </c>
      <c r="D13" s="175" t="s">
        <v>193</v>
      </c>
      <c r="E13" s="144" t="s">
        <v>194</v>
      </c>
      <c r="F13" s="143" t="s">
        <v>14</v>
      </c>
      <c r="G13" s="142" t="s">
        <v>390</v>
      </c>
      <c r="H13" s="172" t="s">
        <v>391</v>
      </c>
      <c r="I13" s="136" t="s">
        <v>1279</v>
      </c>
      <c r="J13" s="137" t="s">
        <v>1280</v>
      </c>
      <c r="K13" s="141" t="s">
        <v>1281</v>
      </c>
      <c r="L13" s="141" t="s">
        <v>1282</v>
      </c>
      <c r="M13" s="141" t="s">
        <v>21</v>
      </c>
      <c r="N13" s="142" t="s">
        <v>360</v>
      </c>
      <c r="O13" s="136" t="s">
        <v>38</v>
      </c>
      <c r="P13" s="138" t="s">
        <v>39</v>
      </c>
      <c r="Q13" s="141" t="s">
        <v>45</v>
      </c>
      <c r="R13" s="141" t="s">
        <v>46</v>
      </c>
      <c r="S13" s="141" t="s">
        <v>59</v>
      </c>
      <c r="T13" s="144" t="s">
        <v>392</v>
      </c>
      <c r="U13" s="143" t="s">
        <v>393</v>
      </c>
      <c r="V13" s="142" t="s">
        <v>394</v>
      </c>
      <c r="W13" s="142" t="s">
        <v>395</v>
      </c>
      <c r="X13" s="142" t="s">
        <v>1290</v>
      </c>
      <c r="Y13" s="142" t="s">
        <v>749</v>
      </c>
      <c r="Z13" s="142" t="s">
        <v>748</v>
      </c>
      <c r="AA13" s="139" t="s">
        <v>40</v>
      </c>
      <c r="AB13" s="140" t="s">
        <v>41</v>
      </c>
      <c r="AC13" s="155" t="s">
        <v>396</v>
      </c>
      <c r="AD13" s="139" t="s">
        <v>1355</v>
      </c>
      <c r="AE13" s="161" t="s">
        <v>1357</v>
      </c>
      <c r="AF13" s="139" t="s">
        <v>1356</v>
      </c>
      <c r="AG13" s="161" t="s">
        <v>1358</v>
      </c>
      <c r="AH13" s="139" t="s">
        <v>1360</v>
      </c>
      <c r="AI13" s="161" t="s">
        <v>1361</v>
      </c>
      <c r="AJ13" s="139" t="s">
        <v>1363</v>
      </c>
      <c r="AK13" s="161" t="s">
        <v>1364</v>
      </c>
      <c r="AL13" s="139" t="s">
        <v>45</v>
      </c>
      <c r="AM13" s="140" t="s">
        <v>46</v>
      </c>
      <c r="AN13" s="155" t="s">
        <v>59</v>
      </c>
      <c r="AO13" s="172" t="s">
        <v>392</v>
      </c>
      <c r="AP13" s="143" t="s">
        <v>33</v>
      </c>
      <c r="AQ13" s="144" t="s">
        <v>34</v>
      </c>
      <c r="AR13" s="1"/>
      <c r="AS13" s="1"/>
      <c r="AT13" s="1"/>
      <c r="AU13" s="1"/>
    </row>
    <row r="14" spans="1:47" ht="18" x14ac:dyDescent="0.3">
      <c r="A14" s="106">
        <v>1</v>
      </c>
      <c r="B14" s="107">
        <f t="shared" ref="B14" si="0">A14+1</f>
        <v>2</v>
      </c>
      <c r="C14" s="108">
        <f t="shared" ref="C14:X14" si="1">B14+1</f>
        <v>3</v>
      </c>
      <c r="D14" s="106">
        <f>C14+1</f>
        <v>4</v>
      </c>
      <c r="E14" s="110">
        <f t="shared" ref="E14" si="2">D14+1</f>
        <v>5</v>
      </c>
      <c r="F14" s="109">
        <f>E14+1</f>
        <v>6</v>
      </c>
      <c r="G14" s="108">
        <f>F14+1</f>
        <v>7</v>
      </c>
      <c r="H14" s="162">
        <f t="shared" ref="H14" si="3">G14+1</f>
        <v>8</v>
      </c>
      <c r="I14" s="106">
        <f>H14+1</f>
        <v>9</v>
      </c>
      <c r="J14" s="107">
        <f t="shared" si="1"/>
        <v>10</v>
      </c>
      <c r="K14" s="107">
        <f t="shared" si="1"/>
        <v>11</v>
      </c>
      <c r="L14" s="107">
        <f t="shared" si="1"/>
        <v>12</v>
      </c>
      <c r="M14" s="107">
        <f t="shared" si="1"/>
        <v>13</v>
      </c>
      <c r="N14" s="108">
        <f t="shared" si="1"/>
        <v>14</v>
      </c>
      <c r="O14" s="106">
        <f t="shared" si="1"/>
        <v>15</v>
      </c>
      <c r="P14" s="110">
        <f t="shared" si="1"/>
        <v>16</v>
      </c>
      <c r="Q14" s="107">
        <f t="shared" si="1"/>
        <v>17</v>
      </c>
      <c r="R14" s="107">
        <f t="shared" si="1"/>
        <v>18</v>
      </c>
      <c r="S14" s="107">
        <f t="shared" si="1"/>
        <v>19</v>
      </c>
      <c r="T14" s="110">
        <f t="shared" si="1"/>
        <v>20</v>
      </c>
      <c r="U14" s="110">
        <f t="shared" si="1"/>
        <v>21</v>
      </c>
      <c r="V14" s="110">
        <f t="shared" si="1"/>
        <v>22</v>
      </c>
      <c r="W14" s="110">
        <f t="shared" si="1"/>
        <v>23</v>
      </c>
      <c r="X14" s="110">
        <f t="shared" si="1"/>
        <v>24</v>
      </c>
      <c r="Y14" s="110">
        <f>W14+1</f>
        <v>24</v>
      </c>
      <c r="Z14" s="110">
        <f>X14+1</f>
        <v>25</v>
      </c>
      <c r="AA14" s="110">
        <f t="shared" ref="AA14:AQ14" si="4">Z14+1</f>
        <v>26</v>
      </c>
      <c r="AB14" s="110">
        <f t="shared" si="4"/>
        <v>27</v>
      </c>
      <c r="AC14" s="108">
        <f t="shared" si="4"/>
        <v>28</v>
      </c>
      <c r="AD14" s="162">
        <f t="shared" si="4"/>
        <v>29</v>
      </c>
      <c r="AE14" s="110">
        <f t="shared" si="4"/>
        <v>30</v>
      </c>
      <c r="AF14" s="162">
        <f t="shared" ref="AF14:AG14" si="5">AE14+1</f>
        <v>31</v>
      </c>
      <c r="AG14" s="110">
        <f t="shared" si="5"/>
        <v>32</v>
      </c>
      <c r="AH14" s="162">
        <f t="shared" ref="AH14:AI14" si="6">AG14+1</f>
        <v>33</v>
      </c>
      <c r="AI14" s="110">
        <f t="shared" si="6"/>
        <v>34</v>
      </c>
      <c r="AJ14" s="162">
        <f t="shared" ref="AJ14:AK14" si="7">AI14+1</f>
        <v>35</v>
      </c>
      <c r="AK14" s="110">
        <f t="shared" si="7"/>
        <v>36</v>
      </c>
      <c r="AL14" s="162">
        <f>AK14+1</f>
        <v>37</v>
      </c>
      <c r="AM14" s="110">
        <f t="shared" si="4"/>
        <v>38</v>
      </c>
      <c r="AN14" s="108">
        <f t="shared" si="4"/>
        <v>39</v>
      </c>
      <c r="AO14" s="162">
        <f t="shared" si="4"/>
        <v>40</v>
      </c>
      <c r="AP14" s="158">
        <f t="shared" si="4"/>
        <v>41</v>
      </c>
      <c r="AQ14" s="110">
        <f t="shared" si="4"/>
        <v>42</v>
      </c>
      <c r="AR14" s="1"/>
      <c r="AS14" s="1"/>
      <c r="AT14" s="1"/>
      <c r="AU14" s="1"/>
    </row>
    <row r="15" spans="1:47" ht="306" hidden="1" x14ac:dyDescent="0.3">
      <c r="A15" s="114" t="s">
        <v>48</v>
      </c>
      <c r="B15" s="112">
        <f>ROW()-ROW($B$14)</f>
        <v>1</v>
      </c>
      <c r="C15" s="124" t="s">
        <v>1627</v>
      </c>
      <c r="D15" s="169" t="s">
        <v>865</v>
      </c>
      <c r="E15" s="176" t="s">
        <v>256</v>
      </c>
      <c r="F15" s="118" t="s">
        <v>368</v>
      </c>
      <c r="G15" s="117" t="s">
        <v>377</v>
      </c>
      <c r="H15" s="173" t="s">
        <v>50</v>
      </c>
      <c r="I15" s="127" t="s">
        <v>1111</v>
      </c>
      <c r="J15" s="113" t="s">
        <v>1100</v>
      </c>
      <c r="K15" s="113" t="s">
        <v>1101</v>
      </c>
      <c r="L15" s="113" t="s">
        <v>1102</v>
      </c>
      <c r="M15" s="113" t="s">
        <v>1103</v>
      </c>
      <c r="N15" s="117" t="s">
        <v>385</v>
      </c>
      <c r="O15" s="120" t="s">
        <v>485</v>
      </c>
      <c r="P15" s="119" t="s">
        <v>1104</v>
      </c>
      <c r="Q15" s="112">
        <v>4</v>
      </c>
      <c r="R15" s="112">
        <v>3</v>
      </c>
      <c r="S15" s="147">
        <f t="shared" ref="S15:S72" si="8">Q15*R15</f>
        <v>12</v>
      </c>
      <c r="T15" s="149" t="str">
        <f>_xlfn.IFNA(VLOOKUP(S15,Parameter!$D$53:$E$77,2),"")</f>
        <v>SEDANG</v>
      </c>
      <c r="U15" s="130" t="s">
        <v>1105</v>
      </c>
      <c r="V15" s="124" t="s">
        <v>1106</v>
      </c>
      <c r="W15" s="124" t="s">
        <v>1107</v>
      </c>
      <c r="X15" s="124" t="s">
        <v>1108</v>
      </c>
      <c r="Y15" s="124" t="s">
        <v>254</v>
      </c>
      <c r="Z15" s="124"/>
      <c r="AA15" s="126" t="s">
        <v>1110</v>
      </c>
      <c r="AB15" s="111" t="s">
        <v>386</v>
      </c>
      <c r="AC15" s="156">
        <v>46387</v>
      </c>
      <c r="AD15" s="163">
        <v>46102</v>
      </c>
      <c r="AE15" s="115" t="s">
        <v>1109</v>
      </c>
      <c r="AF15" s="163"/>
      <c r="AG15" s="115"/>
      <c r="AH15" s="163"/>
      <c r="AI15" s="115"/>
      <c r="AJ15" s="163"/>
      <c r="AK15" s="115"/>
      <c r="AL15" s="169">
        <f t="shared" ref="AL15:AL40" si="9">Q15</f>
        <v>4</v>
      </c>
      <c r="AM15" s="112">
        <f t="shared" ref="AM15:AM40" si="10">R15</f>
        <v>3</v>
      </c>
      <c r="AN15" s="171">
        <f t="shared" ref="AN15:AN72" si="11">AL15*AM15</f>
        <v>12</v>
      </c>
      <c r="AO15" s="150" t="str">
        <f>_xlfn.IFNA(VLOOKUP(AN15,Parameter!$D$53:$E$77,2),"")</f>
        <v>SEDANG</v>
      </c>
      <c r="AP15" s="167" t="s">
        <v>379</v>
      </c>
      <c r="AQ15" s="116"/>
      <c r="AR15" s="1"/>
      <c r="AS15" s="1"/>
      <c r="AT15" s="1"/>
      <c r="AU15" s="1"/>
    </row>
    <row r="16" spans="1:47" ht="306" hidden="1" x14ac:dyDescent="0.3">
      <c r="A16" s="114" t="s">
        <v>48</v>
      </c>
      <c r="B16" s="112">
        <f t="shared" ref="B16:B205" si="12">ROW()-ROW($B$14)</f>
        <v>2</v>
      </c>
      <c r="C16" s="124" t="s">
        <v>1628</v>
      </c>
      <c r="D16" s="169" t="s">
        <v>865</v>
      </c>
      <c r="E16" s="176" t="s">
        <v>256</v>
      </c>
      <c r="F16" s="118" t="s">
        <v>368</v>
      </c>
      <c r="G16" s="117" t="s">
        <v>377</v>
      </c>
      <c r="H16" s="173" t="s">
        <v>50</v>
      </c>
      <c r="I16" s="127" t="s">
        <v>1336</v>
      </c>
      <c r="J16" s="113" t="s">
        <v>1337</v>
      </c>
      <c r="K16" s="113" t="s">
        <v>1338</v>
      </c>
      <c r="L16" s="113" t="s">
        <v>1339</v>
      </c>
      <c r="M16" s="113" t="s">
        <v>1340</v>
      </c>
      <c r="N16" s="117" t="s">
        <v>361</v>
      </c>
      <c r="O16" s="120" t="s">
        <v>1341</v>
      </c>
      <c r="P16" s="119" t="s">
        <v>1342</v>
      </c>
      <c r="Q16" s="112">
        <v>3</v>
      </c>
      <c r="R16" s="112">
        <v>3</v>
      </c>
      <c r="S16" s="147">
        <f t="shared" si="8"/>
        <v>9</v>
      </c>
      <c r="T16" s="150" t="str">
        <f>_xlfn.IFNA(VLOOKUP(S16,Parameter!$D$53:$E$77,2),"")</f>
        <v>SEDANG-RENDAH</v>
      </c>
      <c r="U16" s="130" t="s">
        <v>1343</v>
      </c>
      <c r="V16" s="124" t="s">
        <v>1344</v>
      </c>
      <c r="W16" s="124" t="s">
        <v>1345</v>
      </c>
      <c r="X16" s="124" t="s">
        <v>1346</v>
      </c>
      <c r="Y16" s="124" t="s">
        <v>254</v>
      </c>
      <c r="Z16" s="124"/>
      <c r="AA16" s="126" t="s">
        <v>1349</v>
      </c>
      <c r="AB16" s="111" t="s">
        <v>1348</v>
      </c>
      <c r="AC16" s="156">
        <v>46387</v>
      </c>
      <c r="AD16" s="163">
        <v>46102</v>
      </c>
      <c r="AE16" s="115" t="s">
        <v>1347</v>
      </c>
      <c r="AF16" s="163"/>
      <c r="AG16" s="115"/>
      <c r="AH16" s="163"/>
      <c r="AI16" s="115"/>
      <c r="AJ16" s="163"/>
      <c r="AK16" s="115"/>
      <c r="AL16" s="169">
        <f t="shared" si="9"/>
        <v>3</v>
      </c>
      <c r="AM16" s="112">
        <f t="shared" si="10"/>
        <v>3</v>
      </c>
      <c r="AN16" s="171">
        <f t="shared" si="11"/>
        <v>9</v>
      </c>
      <c r="AO16" s="150" t="str">
        <f>_xlfn.IFNA(VLOOKUP(AN16,Parameter!$D$53:$E$77,2),"")</f>
        <v>SEDANG-RENDAH</v>
      </c>
      <c r="AP16" s="167" t="s">
        <v>379</v>
      </c>
      <c r="AQ16" s="116"/>
      <c r="AR16" s="1"/>
      <c r="AS16" s="1"/>
      <c r="AT16" s="1"/>
      <c r="AU16" s="1"/>
    </row>
    <row r="17" spans="1:43" ht="288" hidden="1" x14ac:dyDescent="0.3">
      <c r="A17" s="114" t="s">
        <v>48</v>
      </c>
      <c r="B17" s="112">
        <f t="shared" si="12"/>
        <v>3</v>
      </c>
      <c r="C17" s="124" t="s">
        <v>1629</v>
      </c>
      <c r="D17" s="169" t="s">
        <v>865</v>
      </c>
      <c r="E17" s="176" t="s">
        <v>256</v>
      </c>
      <c r="F17" s="118" t="s">
        <v>367</v>
      </c>
      <c r="G17" s="117" t="s">
        <v>377</v>
      </c>
      <c r="H17" s="173" t="s">
        <v>50</v>
      </c>
      <c r="I17" s="127" t="s">
        <v>1365</v>
      </c>
      <c r="J17" s="113" t="s">
        <v>1366</v>
      </c>
      <c r="K17" s="113" t="s">
        <v>1367</v>
      </c>
      <c r="L17" s="113" t="s">
        <v>1368</v>
      </c>
      <c r="M17" s="113" t="s">
        <v>1369</v>
      </c>
      <c r="N17" s="117" t="s">
        <v>384</v>
      </c>
      <c r="O17" s="120" t="s">
        <v>788</v>
      </c>
      <c r="P17" s="119" t="s">
        <v>1370</v>
      </c>
      <c r="Q17" s="112">
        <v>3</v>
      </c>
      <c r="R17" s="112">
        <v>3</v>
      </c>
      <c r="S17" s="147">
        <f t="shared" si="8"/>
        <v>9</v>
      </c>
      <c r="T17" s="150" t="str">
        <f>_xlfn.IFNA(VLOOKUP(S17,Parameter!$D$53:$E$77,2),"")</f>
        <v>SEDANG-RENDAH</v>
      </c>
      <c r="U17" s="130" t="s">
        <v>1371</v>
      </c>
      <c r="V17" s="124" t="s">
        <v>1372</v>
      </c>
      <c r="W17" s="124" t="s">
        <v>1373</v>
      </c>
      <c r="X17" s="124" t="s">
        <v>1374</v>
      </c>
      <c r="Y17" s="124" t="s">
        <v>254</v>
      </c>
      <c r="Z17" s="124"/>
      <c r="AA17" s="126" t="s">
        <v>1377</v>
      </c>
      <c r="AB17" s="111" t="s">
        <v>1376</v>
      </c>
      <c r="AC17" s="156">
        <v>46387</v>
      </c>
      <c r="AD17" s="163">
        <v>46102</v>
      </c>
      <c r="AE17" s="115" t="s">
        <v>1375</v>
      </c>
      <c r="AF17" s="163"/>
      <c r="AG17" s="115"/>
      <c r="AH17" s="163"/>
      <c r="AI17" s="115"/>
      <c r="AJ17" s="163"/>
      <c r="AK17" s="115"/>
      <c r="AL17" s="169">
        <f t="shared" si="9"/>
        <v>3</v>
      </c>
      <c r="AM17" s="112">
        <f t="shared" si="10"/>
        <v>3</v>
      </c>
      <c r="AN17" s="171">
        <f t="shared" si="11"/>
        <v>9</v>
      </c>
      <c r="AO17" s="150" t="str">
        <f>_xlfn.IFNA(VLOOKUP(AN17,Parameter!$D$53:$E$77,2),"")</f>
        <v>SEDANG-RENDAH</v>
      </c>
      <c r="AP17" s="167" t="s">
        <v>379</v>
      </c>
      <c r="AQ17" s="116"/>
    </row>
    <row r="18" spans="1:43" ht="342" hidden="1" x14ac:dyDescent="0.3">
      <c r="A18" s="114" t="s">
        <v>48</v>
      </c>
      <c r="B18" s="112">
        <f t="shared" si="12"/>
        <v>4</v>
      </c>
      <c r="C18" s="124" t="s">
        <v>1630</v>
      </c>
      <c r="D18" s="169" t="s">
        <v>865</v>
      </c>
      <c r="E18" s="176" t="s">
        <v>256</v>
      </c>
      <c r="F18" s="118" t="s">
        <v>368</v>
      </c>
      <c r="G18" s="117" t="s">
        <v>377</v>
      </c>
      <c r="H18" s="173" t="s">
        <v>50</v>
      </c>
      <c r="I18" s="127" t="s">
        <v>1574</v>
      </c>
      <c r="J18" s="113" t="s">
        <v>1575</v>
      </c>
      <c r="K18" s="113" t="s">
        <v>1576</v>
      </c>
      <c r="L18" s="113" t="s">
        <v>1577</v>
      </c>
      <c r="M18" s="113" t="s">
        <v>1578</v>
      </c>
      <c r="N18" s="117" t="s">
        <v>382</v>
      </c>
      <c r="O18" s="120" t="s">
        <v>693</v>
      </c>
      <c r="P18" s="119" t="s">
        <v>1579</v>
      </c>
      <c r="Q18" s="112">
        <v>4</v>
      </c>
      <c r="R18" s="112">
        <v>3</v>
      </c>
      <c r="S18" s="147">
        <f t="shared" si="8"/>
        <v>12</v>
      </c>
      <c r="T18" s="150" t="str">
        <f>_xlfn.IFNA(VLOOKUP(S18,Parameter!$D$53:$E$77,2),"")</f>
        <v>SEDANG</v>
      </c>
      <c r="U18" s="130" t="s">
        <v>1580</v>
      </c>
      <c r="V18" s="124" t="s">
        <v>1581</v>
      </c>
      <c r="W18" s="124" t="s">
        <v>1582</v>
      </c>
      <c r="X18" s="124" t="s">
        <v>1583</v>
      </c>
      <c r="Y18" s="124" t="s">
        <v>254</v>
      </c>
      <c r="Z18" s="124" t="s">
        <v>290</v>
      </c>
      <c r="AA18" s="126" t="s">
        <v>1586</v>
      </c>
      <c r="AB18" s="111" t="s">
        <v>1585</v>
      </c>
      <c r="AC18" s="156">
        <v>46387</v>
      </c>
      <c r="AD18" s="163">
        <v>46102</v>
      </c>
      <c r="AE18" s="115" t="s">
        <v>1584</v>
      </c>
      <c r="AF18" s="163"/>
      <c r="AG18" s="115"/>
      <c r="AH18" s="163"/>
      <c r="AI18" s="115"/>
      <c r="AJ18" s="163"/>
      <c r="AK18" s="115"/>
      <c r="AL18" s="169">
        <f t="shared" si="9"/>
        <v>4</v>
      </c>
      <c r="AM18" s="112">
        <f t="shared" si="10"/>
        <v>3</v>
      </c>
      <c r="AN18" s="171">
        <f t="shared" si="11"/>
        <v>12</v>
      </c>
      <c r="AO18" s="150" t="str">
        <f>_xlfn.IFNA(VLOOKUP(AN18,Parameter!$D$53:$E$77,2),"")</f>
        <v>SEDANG</v>
      </c>
      <c r="AP18" s="167" t="s">
        <v>379</v>
      </c>
      <c r="AQ18" s="116"/>
    </row>
    <row r="19" spans="1:43" ht="324" hidden="1" x14ac:dyDescent="0.3">
      <c r="A19" s="114" t="s">
        <v>48</v>
      </c>
      <c r="B19" s="112">
        <f t="shared" si="12"/>
        <v>5</v>
      </c>
      <c r="C19" s="124" t="s">
        <v>1631</v>
      </c>
      <c r="D19" s="169" t="s">
        <v>994</v>
      </c>
      <c r="E19" s="176" t="s">
        <v>256</v>
      </c>
      <c r="F19" s="118" t="s">
        <v>368</v>
      </c>
      <c r="G19" s="117" t="s">
        <v>377</v>
      </c>
      <c r="H19" s="173" t="s">
        <v>50</v>
      </c>
      <c r="I19" s="127" t="s">
        <v>1587</v>
      </c>
      <c r="J19" s="113" t="s">
        <v>1588</v>
      </c>
      <c r="K19" s="113" t="s">
        <v>1589</v>
      </c>
      <c r="L19" s="113" t="s">
        <v>1590</v>
      </c>
      <c r="M19" s="113" t="s">
        <v>1591</v>
      </c>
      <c r="N19" s="117" t="s">
        <v>382</v>
      </c>
      <c r="O19" s="120" t="s">
        <v>738</v>
      </c>
      <c r="P19" s="119" t="s">
        <v>1592</v>
      </c>
      <c r="Q19" s="112">
        <v>4</v>
      </c>
      <c r="R19" s="112">
        <v>5</v>
      </c>
      <c r="S19" s="147">
        <f t="shared" si="8"/>
        <v>20</v>
      </c>
      <c r="T19" s="150" t="str">
        <f>_xlfn.IFNA(VLOOKUP(S19,Parameter!$D$53:$E$77,2),"")</f>
        <v>TINGGI</v>
      </c>
      <c r="U19" s="130" t="s">
        <v>1593</v>
      </c>
      <c r="V19" s="124" t="s">
        <v>1594</v>
      </c>
      <c r="W19" s="124" t="s">
        <v>1595</v>
      </c>
      <c r="X19" s="124" t="s">
        <v>1596</v>
      </c>
      <c r="Y19" s="124" t="s">
        <v>321</v>
      </c>
      <c r="Z19" s="124"/>
      <c r="AA19" s="126" t="s">
        <v>1599</v>
      </c>
      <c r="AB19" s="111" t="s">
        <v>1598</v>
      </c>
      <c r="AC19" s="156">
        <v>46387</v>
      </c>
      <c r="AD19" s="163">
        <v>46102</v>
      </c>
      <c r="AE19" s="115" t="s">
        <v>1597</v>
      </c>
      <c r="AF19" s="163"/>
      <c r="AG19" s="115"/>
      <c r="AH19" s="163"/>
      <c r="AI19" s="115"/>
      <c r="AJ19" s="163"/>
      <c r="AK19" s="115"/>
      <c r="AL19" s="169">
        <f t="shared" si="9"/>
        <v>4</v>
      </c>
      <c r="AM19" s="112">
        <f t="shared" si="10"/>
        <v>5</v>
      </c>
      <c r="AN19" s="171">
        <f t="shared" si="11"/>
        <v>20</v>
      </c>
      <c r="AO19" s="150" t="str">
        <f>_xlfn.IFNA(VLOOKUP(AN19,Parameter!$D$53:$E$77,2),"")</f>
        <v>TINGGI</v>
      </c>
      <c r="AP19" s="167" t="s">
        <v>379</v>
      </c>
      <c r="AQ19" s="116"/>
    </row>
    <row r="20" spans="1:43" ht="396" hidden="1" x14ac:dyDescent="0.3">
      <c r="A20" s="114" t="s">
        <v>48</v>
      </c>
      <c r="B20" s="112">
        <f t="shared" si="12"/>
        <v>6</v>
      </c>
      <c r="C20" s="124" t="s">
        <v>1632</v>
      </c>
      <c r="D20" s="169" t="s">
        <v>994</v>
      </c>
      <c r="E20" s="176" t="s">
        <v>52</v>
      </c>
      <c r="F20" s="118" t="s">
        <v>367</v>
      </c>
      <c r="G20" s="117" t="s">
        <v>49</v>
      </c>
      <c r="H20" s="173" t="s">
        <v>50</v>
      </c>
      <c r="I20" s="127" t="s">
        <v>1600</v>
      </c>
      <c r="J20" s="113" t="s">
        <v>1601</v>
      </c>
      <c r="K20" s="113" t="s">
        <v>1602</v>
      </c>
      <c r="L20" s="113" t="s">
        <v>1603</v>
      </c>
      <c r="M20" s="113" t="s">
        <v>1604</v>
      </c>
      <c r="N20" s="117" t="s">
        <v>385</v>
      </c>
      <c r="O20" s="120" t="s">
        <v>1605</v>
      </c>
      <c r="P20" s="119" t="s">
        <v>1606</v>
      </c>
      <c r="Q20" s="112">
        <v>4</v>
      </c>
      <c r="R20" s="112">
        <v>4</v>
      </c>
      <c r="S20" s="147">
        <f t="shared" si="8"/>
        <v>16</v>
      </c>
      <c r="T20" s="150" t="str">
        <f>_xlfn.IFNA(VLOOKUP(S20,Parameter!$D$53:$E$77,2),"")</f>
        <v>SEDANG-TINGGI</v>
      </c>
      <c r="U20" s="130" t="s">
        <v>1607</v>
      </c>
      <c r="V20" s="124" t="s">
        <v>1608</v>
      </c>
      <c r="W20" s="124" t="s">
        <v>1609</v>
      </c>
      <c r="X20" s="124" t="s">
        <v>1610</v>
      </c>
      <c r="Y20" s="124" t="s">
        <v>327</v>
      </c>
      <c r="Z20" s="124" t="s">
        <v>321</v>
      </c>
      <c r="AA20" s="126" t="s">
        <v>1613</v>
      </c>
      <c r="AB20" s="111" t="s">
        <v>1612</v>
      </c>
      <c r="AC20" s="156">
        <v>46387</v>
      </c>
      <c r="AD20" s="163">
        <v>46102</v>
      </c>
      <c r="AE20" s="115" t="s">
        <v>1611</v>
      </c>
      <c r="AF20" s="163"/>
      <c r="AG20" s="115"/>
      <c r="AH20" s="163"/>
      <c r="AI20" s="115"/>
      <c r="AJ20" s="163"/>
      <c r="AK20" s="115"/>
      <c r="AL20" s="169">
        <f t="shared" si="9"/>
        <v>4</v>
      </c>
      <c r="AM20" s="112">
        <f t="shared" si="10"/>
        <v>4</v>
      </c>
      <c r="AN20" s="171">
        <f t="shared" si="11"/>
        <v>16</v>
      </c>
      <c r="AO20" s="150" t="str">
        <f>_xlfn.IFNA(VLOOKUP(AN20,Parameter!$D$53:$E$77,2),"")</f>
        <v>SEDANG-TINGGI</v>
      </c>
      <c r="AP20" s="167" t="s">
        <v>379</v>
      </c>
      <c r="AQ20" s="116"/>
    </row>
    <row r="21" spans="1:43" ht="396" hidden="1" x14ac:dyDescent="0.3">
      <c r="A21" s="114" t="s">
        <v>48</v>
      </c>
      <c r="B21" s="112">
        <f t="shared" si="12"/>
        <v>7</v>
      </c>
      <c r="C21" s="124" t="s">
        <v>1633</v>
      </c>
      <c r="D21" s="169" t="s">
        <v>365</v>
      </c>
      <c r="E21" s="176" t="s">
        <v>256</v>
      </c>
      <c r="F21" s="118" t="s">
        <v>367</v>
      </c>
      <c r="G21" s="117" t="s">
        <v>377</v>
      </c>
      <c r="H21" s="173" t="s">
        <v>190</v>
      </c>
      <c r="I21" s="127" t="s">
        <v>1249</v>
      </c>
      <c r="J21" s="113" t="s">
        <v>1250</v>
      </c>
      <c r="K21" s="113" t="s">
        <v>1251</v>
      </c>
      <c r="L21" s="113" t="s">
        <v>1252</v>
      </c>
      <c r="M21" s="113" t="s">
        <v>1253</v>
      </c>
      <c r="N21" s="117" t="s">
        <v>385</v>
      </c>
      <c r="O21" s="120" t="s">
        <v>1254</v>
      </c>
      <c r="P21" s="119" t="s">
        <v>1255</v>
      </c>
      <c r="Q21" s="112">
        <v>4</v>
      </c>
      <c r="R21" s="112">
        <v>3</v>
      </c>
      <c r="S21" s="147">
        <f t="shared" si="8"/>
        <v>12</v>
      </c>
      <c r="T21" s="150" t="str">
        <f>_xlfn.IFNA(VLOOKUP(S21,Parameter!$D$53:$E$77,2),"")</f>
        <v>SEDANG</v>
      </c>
      <c r="U21" s="130" t="s">
        <v>1256</v>
      </c>
      <c r="V21" s="124" t="s">
        <v>1257</v>
      </c>
      <c r="W21" s="124" t="s">
        <v>1258</v>
      </c>
      <c r="X21" s="124" t="s">
        <v>1259</v>
      </c>
      <c r="Y21" s="124" t="s">
        <v>327</v>
      </c>
      <c r="Z21" s="124"/>
      <c r="AA21" s="126" t="s">
        <v>1613</v>
      </c>
      <c r="AB21" s="145" t="s">
        <v>1261</v>
      </c>
      <c r="AC21" s="156">
        <v>46386</v>
      </c>
      <c r="AD21" s="163">
        <v>46102</v>
      </c>
      <c r="AE21" s="115" t="s">
        <v>1260</v>
      </c>
      <c r="AF21" s="163"/>
      <c r="AG21" s="115"/>
      <c r="AH21" s="163"/>
      <c r="AI21" s="115"/>
      <c r="AJ21" s="163"/>
      <c r="AK21" s="115"/>
      <c r="AL21" s="169">
        <f t="shared" si="9"/>
        <v>4</v>
      </c>
      <c r="AM21" s="112">
        <f t="shared" si="10"/>
        <v>3</v>
      </c>
      <c r="AN21" s="171">
        <f t="shared" si="11"/>
        <v>12</v>
      </c>
      <c r="AO21" s="150" t="str">
        <f>_xlfn.IFNA(VLOOKUP(AN21,Parameter!$D$53:$E$77,2),"")</f>
        <v>SEDANG</v>
      </c>
      <c r="AP21" s="167" t="s">
        <v>379</v>
      </c>
      <c r="AQ21" s="116"/>
    </row>
    <row r="22" spans="1:43" ht="342" hidden="1" x14ac:dyDescent="0.3">
      <c r="A22" s="114" t="s">
        <v>48</v>
      </c>
      <c r="B22" s="112">
        <f t="shared" si="12"/>
        <v>8</v>
      </c>
      <c r="C22" s="124" t="s">
        <v>1614</v>
      </c>
      <c r="D22" s="169" t="s">
        <v>365</v>
      </c>
      <c r="E22" s="176" t="s">
        <v>256</v>
      </c>
      <c r="F22" s="118" t="s">
        <v>368</v>
      </c>
      <c r="G22" s="117" t="s">
        <v>49</v>
      </c>
      <c r="H22" s="173" t="s">
        <v>50</v>
      </c>
      <c r="I22" s="127" t="s">
        <v>1615</v>
      </c>
      <c r="J22" s="113" t="s">
        <v>1616</v>
      </c>
      <c r="K22" s="113" t="s">
        <v>1617</v>
      </c>
      <c r="L22" s="113" t="s">
        <v>1618</v>
      </c>
      <c r="M22" s="113" t="s">
        <v>1619</v>
      </c>
      <c r="N22" s="117" t="s">
        <v>382</v>
      </c>
      <c r="O22" s="120" t="s">
        <v>485</v>
      </c>
      <c r="P22" s="119" t="s">
        <v>1620</v>
      </c>
      <c r="Q22" s="112">
        <v>4</v>
      </c>
      <c r="R22" s="112">
        <v>4</v>
      </c>
      <c r="S22" s="147">
        <f t="shared" si="8"/>
        <v>16</v>
      </c>
      <c r="T22" s="150" t="str">
        <f>_xlfn.IFNA(VLOOKUP(S22,Parameter!$D$53:$E$77,2),"")</f>
        <v>SEDANG-TINGGI</v>
      </c>
      <c r="U22" s="130" t="s">
        <v>1621</v>
      </c>
      <c r="V22" s="124" t="s">
        <v>1622</v>
      </c>
      <c r="W22" s="124" t="s">
        <v>1623</v>
      </c>
      <c r="X22" s="124" t="s">
        <v>1624</v>
      </c>
      <c r="Y22" s="124" t="s">
        <v>297</v>
      </c>
      <c r="Z22" s="124" t="s">
        <v>747</v>
      </c>
      <c r="AA22" s="126" t="s">
        <v>1626</v>
      </c>
      <c r="AB22" s="111" t="s">
        <v>1430</v>
      </c>
      <c r="AC22" s="156">
        <v>46387</v>
      </c>
      <c r="AD22" s="163">
        <v>46102</v>
      </c>
      <c r="AE22" s="115" t="s">
        <v>1625</v>
      </c>
      <c r="AF22" s="163"/>
      <c r="AG22" s="115"/>
      <c r="AH22" s="163"/>
      <c r="AI22" s="115"/>
      <c r="AJ22" s="163"/>
      <c r="AK22" s="115"/>
      <c r="AL22" s="169">
        <f t="shared" si="9"/>
        <v>4</v>
      </c>
      <c r="AM22" s="112">
        <f t="shared" si="10"/>
        <v>4</v>
      </c>
      <c r="AN22" s="171">
        <f t="shared" si="11"/>
        <v>16</v>
      </c>
      <c r="AO22" s="150" t="str">
        <f>_xlfn.IFNA(VLOOKUP(AN22,Parameter!$D$53:$E$77,2),"")</f>
        <v>SEDANG-TINGGI</v>
      </c>
      <c r="AP22" s="167" t="s">
        <v>379</v>
      </c>
      <c r="AQ22" s="116"/>
    </row>
    <row r="23" spans="1:43" ht="306" hidden="1" x14ac:dyDescent="0.3">
      <c r="A23" s="114" t="s">
        <v>48</v>
      </c>
      <c r="B23" s="112">
        <f t="shared" si="12"/>
        <v>9</v>
      </c>
      <c r="C23" s="124" t="s">
        <v>1634</v>
      </c>
      <c r="D23" s="169" t="s">
        <v>365</v>
      </c>
      <c r="E23" s="176" t="s">
        <v>256</v>
      </c>
      <c r="F23" s="118" t="s">
        <v>368</v>
      </c>
      <c r="G23" s="117" t="s">
        <v>49</v>
      </c>
      <c r="H23" s="173" t="s">
        <v>50</v>
      </c>
      <c r="I23" s="127" t="s">
        <v>1308</v>
      </c>
      <c r="J23" s="113" t="s">
        <v>1309</v>
      </c>
      <c r="K23" s="113" t="s">
        <v>1310</v>
      </c>
      <c r="L23" s="113" t="s">
        <v>1311</v>
      </c>
      <c r="M23" s="113" t="s">
        <v>1312</v>
      </c>
      <c r="N23" s="117" t="s">
        <v>382</v>
      </c>
      <c r="O23" s="120" t="s">
        <v>485</v>
      </c>
      <c r="P23" s="119" t="s">
        <v>1313</v>
      </c>
      <c r="Q23" s="112">
        <v>4</v>
      </c>
      <c r="R23" s="112">
        <v>4</v>
      </c>
      <c r="S23" s="147">
        <f t="shared" si="8"/>
        <v>16</v>
      </c>
      <c r="T23" s="150" t="str">
        <f>_xlfn.IFNA(VLOOKUP(S23,Parameter!$D$53:$E$77,2),"")</f>
        <v>SEDANG-TINGGI</v>
      </c>
      <c r="U23" s="130" t="s">
        <v>1314</v>
      </c>
      <c r="V23" s="124" t="s">
        <v>1315</v>
      </c>
      <c r="W23" s="124" t="s">
        <v>1316</v>
      </c>
      <c r="X23" s="124" t="s">
        <v>1317</v>
      </c>
      <c r="Y23" s="124" t="s">
        <v>290</v>
      </c>
      <c r="Z23" s="124"/>
      <c r="AA23" s="126" t="s">
        <v>1320</v>
      </c>
      <c r="AB23" s="111" t="s">
        <v>1319</v>
      </c>
      <c r="AC23" s="156">
        <v>46387</v>
      </c>
      <c r="AD23" s="163">
        <v>46102</v>
      </c>
      <c r="AE23" s="115" t="s">
        <v>1318</v>
      </c>
      <c r="AF23" s="163"/>
      <c r="AG23" s="115"/>
      <c r="AH23" s="163"/>
      <c r="AI23" s="115"/>
      <c r="AJ23" s="163"/>
      <c r="AK23" s="115"/>
      <c r="AL23" s="169">
        <f t="shared" si="9"/>
        <v>4</v>
      </c>
      <c r="AM23" s="112">
        <f t="shared" si="10"/>
        <v>4</v>
      </c>
      <c r="AN23" s="171">
        <f t="shared" si="11"/>
        <v>16</v>
      </c>
      <c r="AO23" s="150" t="str">
        <f>_xlfn.IFNA(VLOOKUP(AN23,Parameter!$D$53:$E$77,2),"")</f>
        <v>SEDANG-TINGGI</v>
      </c>
      <c r="AP23" s="167" t="s">
        <v>379</v>
      </c>
      <c r="AQ23" s="116"/>
    </row>
    <row r="24" spans="1:43" ht="180" x14ac:dyDescent="0.3">
      <c r="A24" s="114" t="s">
        <v>48</v>
      </c>
      <c r="B24" s="112">
        <f t="shared" si="12"/>
        <v>10</v>
      </c>
      <c r="C24" s="124" t="s">
        <v>1112</v>
      </c>
      <c r="D24" s="169" t="s">
        <v>365</v>
      </c>
      <c r="E24" s="176" t="s">
        <v>256</v>
      </c>
      <c r="F24" s="118" t="s">
        <v>367</v>
      </c>
      <c r="G24" s="117" t="s">
        <v>377</v>
      </c>
      <c r="H24" s="173" t="s">
        <v>50</v>
      </c>
      <c r="I24" s="127"/>
      <c r="J24" s="113"/>
      <c r="K24" s="113"/>
      <c r="L24" s="113"/>
      <c r="M24" s="113"/>
      <c r="N24" s="117" t="s">
        <v>385</v>
      </c>
      <c r="O24" s="120"/>
      <c r="P24" s="119"/>
      <c r="Q24" s="112">
        <v>1</v>
      </c>
      <c r="R24" s="112">
        <v>1</v>
      </c>
      <c r="S24" s="147">
        <f t="shared" si="8"/>
        <v>1</v>
      </c>
      <c r="T24" s="150" t="str">
        <f>_xlfn.IFNA(VLOOKUP(S24,Parameter!$D$53:$E$77,2),"")</f>
        <v>RENDAH</v>
      </c>
      <c r="U24" s="130"/>
      <c r="V24" s="124" t="s">
        <v>386</v>
      </c>
      <c r="W24" s="124" t="s">
        <v>386</v>
      </c>
      <c r="X24" s="124" t="s">
        <v>386</v>
      </c>
      <c r="Y24" s="124" t="s">
        <v>747</v>
      </c>
      <c r="Z24" s="124" t="s">
        <v>297</v>
      </c>
      <c r="AA24" s="126" t="s">
        <v>386</v>
      </c>
      <c r="AB24" s="111" t="s">
        <v>386</v>
      </c>
      <c r="AC24" s="156">
        <v>46387</v>
      </c>
      <c r="AD24" s="163">
        <v>46102</v>
      </c>
      <c r="AE24" s="115" t="s">
        <v>386</v>
      </c>
      <c r="AF24" s="163"/>
      <c r="AG24" s="115"/>
      <c r="AH24" s="163"/>
      <c r="AI24" s="115"/>
      <c r="AJ24" s="163"/>
      <c r="AK24" s="115"/>
      <c r="AL24" s="169">
        <f t="shared" si="9"/>
        <v>1</v>
      </c>
      <c r="AM24" s="112">
        <f t="shared" si="10"/>
        <v>1</v>
      </c>
      <c r="AN24" s="171">
        <f t="shared" si="11"/>
        <v>1</v>
      </c>
      <c r="AO24" s="150" t="str">
        <f>_xlfn.IFNA(VLOOKUP(AN24,Parameter!$D$53:$E$77,2),"")</f>
        <v>RENDAH</v>
      </c>
      <c r="AP24" s="167" t="s">
        <v>379</v>
      </c>
      <c r="AQ24" s="116"/>
    </row>
    <row r="25" spans="1:43" ht="324" hidden="1" x14ac:dyDescent="0.3">
      <c r="A25" s="114" t="s">
        <v>48</v>
      </c>
      <c r="B25" s="112">
        <f t="shared" si="12"/>
        <v>11</v>
      </c>
      <c r="C25" s="124" t="s">
        <v>1635</v>
      </c>
      <c r="D25" s="169" t="s">
        <v>365</v>
      </c>
      <c r="E25" s="176" t="s">
        <v>256</v>
      </c>
      <c r="F25" s="118" t="s">
        <v>368</v>
      </c>
      <c r="G25" s="117" t="s">
        <v>377</v>
      </c>
      <c r="H25" s="173" t="s">
        <v>50</v>
      </c>
      <c r="I25" s="127" t="s">
        <v>1636</v>
      </c>
      <c r="J25" s="113" t="s">
        <v>1637</v>
      </c>
      <c r="K25" s="113" t="s">
        <v>1638</v>
      </c>
      <c r="L25" s="113" t="s">
        <v>1639</v>
      </c>
      <c r="M25" s="113" t="s">
        <v>1640</v>
      </c>
      <c r="N25" s="117" t="s">
        <v>382</v>
      </c>
      <c r="O25" s="120" t="s">
        <v>1641</v>
      </c>
      <c r="P25" s="119" t="s">
        <v>1642</v>
      </c>
      <c r="Q25" s="112">
        <v>4</v>
      </c>
      <c r="R25" s="112">
        <v>3</v>
      </c>
      <c r="S25" s="147">
        <f t="shared" si="8"/>
        <v>12</v>
      </c>
      <c r="T25" s="150" t="str">
        <f>_xlfn.IFNA(VLOOKUP(S25,Parameter!$D$53:$E$77,2),"")</f>
        <v>SEDANG</v>
      </c>
      <c r="U25" s="130" t="s">
        <v>1643</v>
      </c>
      <c r="V25" s="124" t="s">
        <v>1644</v>
      </c>
      <c r="W25" s="124" t="s">
        <v>1645</v>
      </c>
      <c r="X25" s="124" t="s">
        <v>1646</v>
      </c>
      <c r="Y25" s="124" t="s">
        <v>747</v>
      </c>
      <c r="Z25" s="124"/>
      <c r="AA25" s="126" t="s">
        <v>1649</v>
      </c>
      <c r="AB25" s="111" t="s">
        <v>1648</v>
      </c>
      <c r="AC25" s="156">
        <v>46387</v>
      </c>
      <c r="AD25" s="163">
        <v>46102</v>
      </c>
      <c r="AE25" s="115" t="s">
        <v>1647</v>
      </c>
      <c r="AF25" s="163"/>
      <c r="AG25" s="115"/>
      <c r="AH25" s="163"/>
      <c r="AI25" s="115"/>
      <c r="AJ25" s="163"/>
      <c r="AK25" s="115"/>
      <c r="AL25" s="169">
        <f t="shared" si="9"/>
        <v>4</v>
      </c>
      <c r="AM25" s="112">
        <f t="shared" si="10"/>
        <v>3</v>
      </c>
      <c r="AN25" s="171">
        <f t="shared" si="11"/>
        <v>12</v>
      </c>
      <c r="AO25" s="150" t="str">
        <f>_xlfn.IFNA(VLOOKUP(AN25,Parameter!$D$53:$E$77,2),"")</f>
        <v>SEDANG</v>
      </c>
      <c r="AP25" s="167" t="s">
        <v>379</v>
      </c>
      <c r="AQ25" s="116"/>
    </row>
    <row r="26" spans="1:43" ht="162" x14ac:dyDescent="0.3">
      <c r="A26" s="114" t="s">
        <v>48</v>
      </c>
      <c r="B26" s="112">
        <f t="shared" si="12"/>
        <v>12</v>
      </c>
      <c r="C26" s="124" t="s">
        <v>1113</v>
      </c>
      <c r="D26" s="169" t="s">
        <v>365</v>
      </c>
      <c r="E26" s="176" t="s">
        <v>256</v>
      </c>
      <c r="F26" s="118" t="s">
        <v>367</v>
      </c>
      <c r="G26" s="117" t="s">
        <v>377</v>
      </c>
      <c r="H26" s="173" t="s">
        <v>50</v>
      </c>
      <c r="I26" s="127"/>
      <c r="J26" s="113"/>
      <c r="K26" s="113"/>
      <c r="L26" s="113"/>
      <c r="M26" s="113"/>
      <c r="N26" s="117" t="s">
        <v>385</v>
      </c>
      <c r="O26" s="120"/>
      <c r="P26" s="119"/>
      <c r="Q26" s="112">
        <v>1</v>
      </c>
      <c r="R26" s="112">
        <v>1</v>
      </c>
      <c r="S26" s="147">
        <f t="shared" si="8"/>
        <v>1</v>
      </c>
      <c r="T26" s="150" t="str">
        <f>_xlfn.IFNA(VLOOKUP(S26,Parameter!$D$53:$E$77,2),"")</f>
        <v>RENDAH</v>
      </c>
      <c r="U26" s="130"/>
      <c r="V26" s="124" t="s">
        <v>386</v>
      </c>
      <c r="W26" s="124" t="s">
        <v>386</v>
      </c>
      <c r="X26" s="124" t="s">
        <v>386</v>
      </c>
      <c r="Y26" s="124" t="s">
        <v>747</v>
      </c>
      <c r="Z26" s="124"/>
      <c r="AA26" s="126" t="s">
        <v>386</v>
      </c>
      <c r="AB26" s="111" t="s">
        <v>386</v>
      </c>
      <c r="AC26" s="156">
        <v>46387</v>
      </c>
      <c r="AD26" s="163">
        <v>46102</v>
      </c>
      <c r="AE26" s="115" t="s">
        <v>386</v>
      </c>
      <c r="AF26" s="163"/>
      <c r="AG26" s="115"/>
      <c r="AH26" s="163"/>
      <c r="AI26" s="115"/>
      <c r="AJ26" s="163"/>
      <c r="AK26" s="115"/>
      <c r="AL26" s="169">
        <f t="shared" si="9"/>
        <v>1</v>
      </c>
      <c r="AM26" s="112">
        <f t="shared" si="10"/>
        <v>1</v>
      </c>
      <c r="AN26" s="171">
        <f t="shared" si="11"/>
        <v>1</v>
      </c>
      <c r="AO26" s="150" t="str">
        <f>_xlfn.IFNA(VLOOKUP(AN26,Parameter!$D$53:$E$77,2),"")</f>
        <v>RENDAH</v>
      </c>
      <c r="AP26" s="167" t="s">
        <v>379</v>
      </c>
      <c r="AQ26" s="116"/>
    </row>
    <row r="27" spans="1:43" ht="144" x14ac:dyDescent="0.3">
      <c r="A27" s="114" t="s">
        <v>48</v>
      </c>
      <c r="B27" s="112">
        <f t="shared" si="12"/>
        <v>13</v>
      </c>
      <c r="C27" s="124" t="s">
        <v>1114</v>
      </c>
      <c r="D27" s="169" t="s">
        <v>992</v>
      </c>
      <c r="E27" s="176" t="s">
        <v>256</v>
      </c>
      <c r="F27" s="118" t="s">
        <v>367</v>
      </c>
      <c r="G27" s="117" t="s">
        <v>377</v>
      </c>
      <c r="H27" s="173" t="s">
        <v>50</v>
      </c>
      <c r="I27" s="127"/>
      <c r="J27" s="113"/>
      <c r="K27" s="113"/>
      <c r="L27" s="113"/>
      <c r="M27" s="113"/>
      <c r="N27" s="117" t="s">
        <v>385</v>
      </c>
      <c r="O27" s="120"/>
      <c r="P27" s="119"/>
      <c r="Q27" s="112">
        <v>1</v>
      </c>
      <c r="R27" s="112">
        <v>1</v>
      </c>
      <c r="S27" s="147">
        <f t="shared" si="8"/>
        <v>1</v>
      </c>
      <c r="T27" s="150" t="str">
        <f>_xlfn.IFNA(VLOOKUP(S27,Parameter!$D$53:$E$77,2),"")</f>
        <v>RENDAH</v>
      </c>
      <c r="U27" s="130"/>
      <c r="V27" s="124" t="s">
        <v>386</v>
      </c>
      <c r="W27" s="124" t="s">
        <v>386</v>
      </c>
      <c r="X27" s="124" t="s">
        <v>386</v>
      </c>
      <c r="Y27" s="124" t="s">
        <v>254</v>
      </c>
      <c r="Z27" s="124" t="s">
        <v>747</v>
      </c>
      <c r="AA27" s="126" t="s">
        <v>386</v>
      </c>
      <c r="AB27" s="111" t="s">
        <v>386</v>
      </c>
      <c r="AC27" s="156">
        <v>46387</v>
      </c>
      <c r="AD27" s="163">
        <v>46102</v>
      </c>
      <c r="AE27" s="115" t="s">
        <v>386</v>
      </c>
      <c r="AF27" s="163"/>
      <c r="AG27" s="115"/>
      <c r="AH27" s="163"/>
      <c r="AI27" s="115"/>
      <c r="AJ27" s="163"/>
      <c r="AK27" s="115"/>
      <c r="AL27" s="169">
        <f t="shared" si="9"/>
        <v>1</v>
      </c>
      <c r="AM27" s="112">
        <f t="shared" si="10"/>
        <v>1</v>
      </c>
      <c r="AN27" s="171">
        <f t="shared" si="11"/>
        <v>1</v>
      </c>
      <c r="AO27" s="150" t="str">
        <f>_xlfn.IFNA(VLOOKUP(AN27,Parameter!$D$53:$E$77,2),"")</f>
        <v>RENDAH</v>
      </c>
      <c r="AP27" s="167" t="s">
        <v>379</v>
      </c>
      <c r="AQ27" s="116"/>
    </row>
    <row r="28" spans="1:43" ht="162" x14ac:dyDescent="0.3">
      <c r="A28" s="114" t="s">
        <v>48</v>
      </c>
      <c r="B28" s="112">
        <f t="shared" si="12"/>
        <v>14</v>
      </c>
      <c r="C28" s="124" t="s">
        <v>1115</v>
      </c>
      <c r="D28" s="169" t="s">
        <v>319</v>
      </c>
      <c r="E28" s="176" t="s">
        <v>256</v>
      </c>
      <c r="F28" s="118" t="s">
        <v>368</v>
      </c>
      <c r="G28" s="117" t="s">
        <v>49</v>
      </c>
      <c r="H28" s="173" t="s">
        <v>50</v>
      </c>
      <c r="I28" s="127"/>
      <c r="J28" s="113"/>
      <c r="K28" s="113"/>
      <c r="L28" s="113"/>
      <c r="M28" s="113"/>
      <c r="N28" s="117"/>
      <c r="O28" s="120"/>
      <c r="P28" s="119"/>
      <c r="Q28" s="112">
        <v>1</v>
      </c>
      <c r="R28" s="112">
        <v>1</v>
      </c>
      <c r="S28" s="147">
        <f t="shared" si="8"/>
        <v>1</v>
      </c>
      <c r="T28" s="150" t="str">
        <f>_xlfn.IFNA(VLOOKUP(S28,Parameter!$D$53:$E$77,2),"")</f>
        <v>RENDAH</v>
      </c>
      <c r="U28" s="130"/>
      <c r="V28" s="124"/>
      <c r="W28" s="124"/>
      <c r="X28" s="124"/>
      <c r="Y28" s="124"/>
      <c r="Z28" s="124"/>
      <c r="AA28" s="126"/>
      <c r="AB28" s="145"/>
      <c r="AC28" s="156">
        <v>46387</v>
      </c>
      <c r="AD28" s="163">
        <v>46102</v>
      </c>
      <c r="AE28" s="115"/>
      <c r="AF28" s="163"/>
      <c r="AG28" s="115"/>
      <c r="AH28" s="163"/>
      <c r="AI28" s="115"/>
      <c r="AJ28" s="163"/>
      <c r="AK28" s="115"/>
      <c r="AL28" s="169">
        <f t="shared" si="9"/>
        <v>1</v>
      </c>
      <c r="AM28" s="112">
        <f t="shared" si="10"/>
        <v>1</v>
      </c>
      <c r="AN28" s="171">
        <f t="shared" si="11"/>
        <v>1</v>
      </c>
      <c r="AO28" s="150" t="str">
        <f>_xlfn.IFNA(VLOOKUP(AN28,Parameter!$D$53:$E$77,2),"")</f>
        <v>RENDAH</v>
      </c>
      <c r="AP28" s="167" t="s">
        <v>379</v>
      </c>
      <c r="AQ28" s="116"/>
    </row>
    <row r="29" spans="1:43" ht="324" hidden="1" x14ac:dyDescent="0.3">
      <c r="A29" s="114" t="s">
        <v>48</v>
      </c>
      <c r="B29" s="112">
        <f t="shared" si="12"/>
        <v>15</v>
      </c>
      <c r="C29" s="124" t="s">
        <v>1650</v>
      </c>
      <c r="D29" s="169" t="s">
        <v>993</v>
      </c>
      <c r="E29" s="176" t="s">
        <v>52</v>
      </c>
      <c r="F29" s="118" t="s">
        <v>368</v>
      </c>
      <c r="G29" s="117" t="s">
        <v>49</v>
      </c>
      <c r="H29" s="173" t="s">
        <v>50</v>
      </c>
      <c r="I29" s="127" t="s">
        <v>1651</v>
      </c>
      <c r="J29" s="113" t="s">
        <v>1652</v>
      </c>
      <c r="K29" s="113" t="s">
        <v>1653</v>
      </c>
      <c r="L29" s="113" t="s">
        <v>1654</v>
      </c>
      <c r="M29" s="113" t="s">
        <v>1655</v>
      </c>
      <c r="N29" s="117" t="s">
        <v>382</v>
      </c>
      <c r="O29" s="120" t="s">
        <v>843</v>
      </c>
      <c r="P29" s="119" t="s">
        <v>1656</v>
      </c>
      <c r="Q29" s="112">
        <v>4</v>
      </c>
      <c r="R29" s="112">
        <v>4</v>
      </c>
      <c r="S29" s="147">
        <f t="shared" si="8"/>
        <v>16</v>
      </c>
      <c r="T29" s="150" t="str">
        <f>_xlfn.IFNA(VLOOKUP(S29,Parameter!$D$53:$E$77,2),"")</f>
        <v>SEDANG-TINGGI</v>
      </c>
      <c r="U29" s="130" t="s">
        <v>1657</v>
      </c>
      <c r="V29" s="124" t="s">
        <v>1658</v>
      </c>
      <c r="W29" s="124" t="s">
        <v>1659</v>
      </c>
      <c r="X29" s="124" t="s">
        <v>1660</v>
      </c>
      <c r="Y29" s="124" t="s">
        <v>337</v>
      </c>
      <c r="Z29" s="124"/>
      <c r="AA29" s="126" t="s">
        <v>1663</v>
      </c>
      <c r="AB29" s="111" t="s">
        <v>1662</v>
      </c>
      <c r="AC29" s="156">
        <v>46387</v>
      </c>
      <c r="AD29" s="163">
        <v>46102</v>
      </c>
      <c r="AE29" s="115" t="s">
        <v>1661</v>
      </c>
      <c r="AF29" s="163"/>
      <c r="AG29" s="115"/>
      <c r="AH29" s="163"/>
      <c r="AI29" s="115"/>
      <c r="AJ29" s="163"/>
      <c r="AK29" s="115"/>
      <c r="AL29" s="169">
        <f t="shared" si="9"/>
        <v>4</v>
      </c>
      <c r="AM29" s="112">
        <f t="shared" si="10"/>
        <v>4</v>
      </c>
      <c r="AN29" s="171">
        <f t="shared" si="11"/>
        <v>16</v>
      </c>
      <c r="AO29" s="150" t="str">
        <f>_xlfn.IFNA(VLOOKUP(AN29,Parameter!$D$53:$E$77,2),"")</f>
        <v>SEDANG-TINGGI</v>
      </c>
      <c r="AP29" s="167" t="s">
        <v>379</v>
      </c>
      <c r="AQ29" s="116"/>
    </row>
    <row r="30" spans="1:43" ht="144" x14ac:dyDescent="0.3">
      <c r="A30" s="114" t="s">
        <v>48</v>
      </c>
      <c r="B30" s="112">
        <f t="shared" si="12"/>
        <v>16</v>
      </c>
      <c r="C30" s="124" t="s">
        <v>1116</v>
      </c>
      <c r="D30" s="169" t="s">
        <v>993</v>
      </c>
      <c r="E30" s="176" t="s">
        <v>256</v>
      </c>
      <c r="F30" s="118" t="s">
        <v>367</v>
      </c>
      <c r="G30" s="117" t="s">
        <v>377</v>
      </c>
      <c r="H30" s="173" t="s">
        <v>50</v>
      </c>
      <c r="I30" s="127"/>
      <c r="J30" s="113"/>
      <c r="K30" s="113"/>
      <c r="L30" s="113"/>
      <c r="M30" s="113"/>
      <c r="N30" s="117" t="s">
        <v>385</v>
      </c>
      <c r="O30" s="120"/>
      <c r="P30" s="119"/>
      <c r="Q30" s="112">
        <v>1</v>
      </c>
      <c r="R30" s="112">
        <v>1</v>
      </c>
      <c r="S30" s="147">
        <f t="shared" si="8"/>
        <v>1</v>
      </c>
      <c r="T30" s="150" t="str">
        <f>_xlfn.IFNA(VLOOKUP(S30,Parameter!$D$53:$E$77,2),"")</f>
        <v>RENDAH</v>
      </c>
      <c r="U30" s="130"/>
      <c r="V30" s="124" t="s">
        <v>386</v>
      </c>
      <c r="W30" s="124" t="s">
        <v>386</v>
      </c>
      <c r="X30" s="124" t="s">
        <v>386</v>
      </c>
      <c r="Y30" s="124" t="s">
        <v>747</v>
      </c>
      <c r="Z30" s="124"/>
      <c r="AA30" s="126" t="s">
        <v>386</v>
      </c>
      <c r="AB30" s="111" t="s">
        <v>386</v>
      </c>
      <c r="AC30" s="156">
        <v>46387</v>
      </c>
      <c r="AD30" s="163">
        <v>46102</v>
      </c>
      <c r="AE30" s="115" t="s">
        <v>386</v>
      </c>
      <c r="AF30" s="163"/>
      <c r="AG30" s="115"/>
      <c r="AH30" s="163"/>
      <c r="AI30" s="115"/>
      <c r="AJ30" s="163"/>
      <c r="AK30" s="115"/>
      <c r="AL30" s="169">
        <f t="shared" si="9"/>
        <v>1</v>
      </c>
      <c r="AM30" s="112">
        <f t="shared" si="10"/>
        <v>1</v>
      </c>
      <c r="AN30" s="171">
        <f t="shared" si="11"/>
        <v>1</v>
      </c>
      <c r="AO30" s="150" t="str">
        <f>_xlfn.IFNA(VLOOKUP(AN30,Parameter!$D$53:$E$77,2),"")</f>
        <v>RENDAH</v>
      </c>
      <c r="AP30" s="167" t="s">
        <v>379</v>
      </c>
      <c r="AQ30" s="116"/>
    </row>
    <row r="31" spans="1:43" ht="162" x14ac:dyDescent="0.3">
      <c r="A31" s="114" t="s">
        <v>48</v>
      </c>
      <c r="B31" s="112">
        <f t="shared" si="12"/>
        <v>17</v>
      </c>
      <c r="C31" s="124" t="s">
        <v>1117</v>
      </c>
      <c r="D31" s="169" t="s">
        <v>991</v>
      </c>
      <c r="E31" s="176" t="s">
        <v>256</v>
      </c>
      <c r="F31" s="118" t="s">
        <v>367</v>
      </c>
      <c r="G31" s="117" t="s">
        <v>377</v>
      </c>
      <c r="H31" s="173" t="s">
        <v>50</v>
      </c>
      <c r="I31" s="127"/>
      <c r="J31" s="113"/>
      <c r="K31" s="113"/>
      <c r="L31" s="113"/>
      <c r="M31" s="113"/>
      <c r="N31" s="117" t="s">
        <v>385</v>
      </c>
      <c r="O31" s="120"/>
      <c r="P31" s="119"/>
      <c r="Q31" s="112">
        <v>1</v>
      </c>
      <c r="R31" s="112">
        <v>1</v>
      </c>
      <c r="S31" s="147">
        <f t="shared" si="8"/>
        <v>1</v>
      </c>
      <c r="T31" s="150" t="str">
        <f>_xlfn.IFNA(VLOOKUP(S31,Parameter!$D$53:$E$77,2),"")</f>
        <v>RENDAH</v>
      </c>
      <c r="U31" s="130"/>
      <c r="V31" s="124" t="s">
        <v>386</v>
      </c>
      <c r="W31" s="124" t="s">
        <v>386</v>
      </c>
      <c r="X31" s="124" t="s">
        <v>386</v>
      </c>
      <c r="Y31" s="124" t="s">
        <v>254</v>
      </c>
      <c r="Z31" s="124" t="s">
        <v>290</v>
      </c>
      <c r="AA31" s="126" t="s">
        <v>386</v>
      </c>
      <c r="AB31" s="111" t="s">
        <v>386</v>
      </c>
      <c r="AC31" s="156">
        <v>46387</v>
      </c>
      <c r="AD31" s="163">
        <v>46102</v>
      </c>
      <c r="AE31" s="115" t="s">
        <v>386</v>
      </c>
      <c r="AF31" s="163"/>
      <c r="AG31" s="115"/>
      <c r="AH31" s="163"/>
      <c r="AI31" s="115"/>
      <c r="AJ31" s="163"/>
      <c r="AK31" s="115"/>
      <c r="AL31" s="169">
        <f t="shared" si="9"/>
        <v>1</v>
      </c>
      <c r="AM31" s="112">
        <f t="shared" si="10"/>
        <v>1</v>
      </c>
      <c r="AN31" s="171">
        <f t="shared" si="11"/>
        <v>1</v>
      </c>
      <c r="AO31" s="150" t="str">
        <f>_xlfn.IFNA(VLOOKUP(AN31,Parameter!$D$53:$E$77,2),"")</f>
        <v>RENDAH</v>
      </c>
      <c r="AP31" s="167" t="s">
        <v>379</v>
      </c>
      <c r="AQ31" s="116"/>
    </row>
    <row r="32" spans="1:43" ht="144" x14ac:dyDescent="0.3">
      <c r="A32" s="114" t="s">
        <v>48</v>
      </c>
      <c r="B32" s="112">
        <f t="shared" si="12"/>
        <v>18</v>
      </c>
      <c r="C32" s="124" t="s">
        <v>1118</v>
      </c>
      <c r="D32" s="169" t="s">
        <v>991</v>
      </c>
      <c r="E32" s="176" t="s">
        <v>256</v>
      </c>
      <c r="F32" s="118" t="s">
        <v>367</v>
      </c>
      <c r="G32" s="117" t="s">
        <v>377</v>
      </c>
      <c r="H32" s="173" t="s">
        <v>50</v>
      </c>
      <c r="I32" s="127"/>
      <c r="J32" s="113"/>
      <c r="K32" s="113"/>
      <c r="L32" s="113"/>
      <c r="M32" s="113"/>
      <c r="N32" s="117" t="s">
        <v>385</v>
      </c>
      <c r="O32" s="120"/>
      <c r="P32" s="119"/>
      <c r="Q32" s="112">
        <v>1</v>
      </c>
      <c r="R32" s="112">
        <v>1</v>
      </c>
      <c r="S32" s="147">
        <f t="shared" si="8"/>
        <v>1</v>
      </c>
      <c r="T32" s="150" t="str">
        <f>_xlfn.IFNA(VLOOKUP(S32,Parameter!$D$53:$E$77,2),"")</f>
        <v>RENDAH</v>
      </c>
      <c r="U32" s="130"/>
      <c r="V32" s="124" t="s">
        <v>386</v>
      </c>
      <c r="W32" s="124" t="s">
        <v>386</v>
      </c>
      <c r="X32" s="124" t="s">
        <v>386</v>
      </c>
      <c r="Y32" s="124" t="s">
        <v>254</v>
      </c>
      <c r="Z32" s="124" t="s">
        <v>290</v>
      </c>
      <c r="AA32" s="126" t="s">
        <v>386</v>
      </c>
      <c r="AB32" s="111" t="s">
        <v>386</v>
      </c>
      <c r="AC32" s="156">
        <v>46387</v>
      </c>
      <c r="AD32" s="163">
        <v>46102</v>
      </c>
      <c r="AE32" s="115" t="s">
        <v>386</v>
      </c>
      <c r="AF32" s="163"/>
      <c r="AG32" s="115"/>
      <c r="AH32" s="163"/>
      <c r="AI32" s="115"/>
      <c r="AJ32" s="163"/>
      <c r="AK32" s="115"/>
      <c r="AL32" s="169">
        <f t="shared" si="9"/>
        <v>1</v>
      </c>
      <c r="AM32" s="112">
        <f t="shared" si="10"/>
        <v>1</v>
      </c>
      <c r="AN32" s="171">
        <f t="shared" si="11"/>
        <v>1</v>
      </c>
      <c r="AO32" s="150" t="str">
        <f>_xlfn.IFNA(VLOOKUP(AN32,Parameter!$D$53:$E$77,2),"")</f>
        <v>RENDAH</v>
      </c>
      <c r="AP32" s="167" t="s">
        <v>379</v>
      </c>
      <c r="AQ32" s="116"/>
    </row>
    <row r="33" spans="1:43" ht="162" x14ac:dyDescent="0.3">
      <c r="A33" s="114" t="s">
        <v>48</v>
      </c>
      <c r="B33" s="112">
        <f t="shared" si="12"/>
        <v>19</v>
      </c>
      <c r="C33" s="124" t="s">
        <v>1119</v>
      </c>
      <c r="D33" s="169" t="s">
        <v>991</v>
      </c>
      <c r="E33" s="176" t="s">
        <v>256</v>
      </c>
      <c r="F33" s="118" t="s">
        <v>367</v>
      </c>
      <c r="G33" s="117" t="s">
        <v>377</v>
      </c>
      <c r="H33" s="173" t="s">
        <v>50</v>
      </c>
      <c r="I33" s="127"/>
      <c r="J33" s="113"/>
      <c r="K33" s="113"/>
      <c r="L33" s="113"/>
      <c r="M33" s="113"/>
      <c r="N33" s="117" t="s">
        <v>385</v>
      </c>
      <c r="O33" s="120"/>
      <c r="P33" s="119"/>
      <c r="Q33" s="112">
        <v>1</v>
      </c>
      <c r="R33" s="112">
        <v>1</v>
      </c>
      <c r="S33" s="147">
        <f t="shared" si="8"/>
        <v>1</v>
      </c>
      <c r="T33" s="150" t="str">
        <f>_xlfn.IFNA(VLOOKUP(S33,Parameter!$D$53:$E$77,2),"")</f>
        <v>RENDAH</v>
      </c>
      <c r="U33" s="130"/>
      <c r="V33" s="124" t="s">
        <v>386</v>
      </c>
      <c r="W33" s="124" t="s">
        <v>386</v>
      </c>
      <c r="X33" s="124" t="s">
        <v>386</v>
      </c>
      <c r="Y33" s="124" t="s">
        <v>254</v>
      </c>
      <c r="Z33" s="124" t="s">
        <v>290</v>
      </c>
      <c r="AA33" s="126" t="s">
        <v>386</v>
      </c>
      <c r="AB33" s="111" t="s">
        <v>386</v>
      </c>
      <c r="AC33" s="156">
        <v>46387</v>
      </c>
      <c r="AD33" s="163">
        <v>46102</v>
      </c>
      <c r="AE33" s="115" t="s">
        <v>386</v>
      </c>
      <c r="AF33" s="163"/>
      <c r="AG33" s="115"/>
      <c r="AH33" s="163"/>
      <c r="AI33" s="115"/>
      <c r="AJ33" s="163"/>
      <c r="AK33" s="115"/>
      <c r="AL33" s="169">
        <f t="shared" si="9"/>
        <v>1</v>
      </c>
      <c r="AM33" s="112">
        <f t="shared" si="10"/>
        <v>1</v>
      </c>
      <c r="AN33" s="171">
        <f t="shared" si="11"/>
        <v>1</v>
      </c>
      <c r="AO33" s="150" t="str">
        <f>_xlfn.IFNA(VLOOKUP(AN33,Parameter!$D$53:$E$77,2),"")</f>
        <v>RENDAH</v>
      </c>
      <c r="AP33" s="167" t="s">
        <v>379</v>
      </c>
      <c r="AQ33" s="116"/>
    </row>
    <row r="34" spans="1:43" ht="144" x14ac:dyDescent="0.3">
      <c r="A34" s="114" t="s">
        <v>48</v>
      </c>
      <c r="B34" s="112">
        <f t="shared" si="12"/>
        <v>20</v>
      </c>
      <c r="C34" s="124" t="s">
        <v>1120</v>
      </c>
      <c r="D34" s="169" t="s">
        <v>991</v>
      </c>
      <c r="E34" s="176" t="s">
        <v>256</v>
      </c>
      <c r="F34" s="118" t="s">
        <v>367</v>
      </c>
      <c r="G34" s="117" t="s">
        <v>377</v>
      </c>
      <c r="H34" s="173" t="s">
        <v>50</v>
      </c>
      <c r="I34" s="127"/>
      <c r="J34" s="113"/>
      <c r="K34" s="113"/>
      <c r="L34" s="113"/>
      <c r="M34" s="113"/>
      <c r="N34" s="117" t="s">
        <v>385</v>
      </c>
      <c r="O34" s="120"/>
      <c r="P34" s="119"/>
      <c r="Q34" s="112">
        <v>1</v>
      </c>
      <c r="R34" s="112">
        <v>1</v>
      </c>
      <c r="S34" s="147">
        <f t="shared" si="8"/>
        <v>1</v>
      </c>
      <c r="T34" s="150" t="str">
        <f>_xlfn.IFNA(VLOOKUP(S34,Parameter!$D$53:$E$77,2),"")</f>
        <v>RENDAH</v>
      </c>
      <c r="U34" s="130"/>
      <c r="V34" s="124" t="s">
        <v>386</v>
      </c>
      <c r="W34" s="124" t="s">
        <v>386</v>
      </c>
      <c r="X34" s="124" t="s">
        <v>386</v>
      </c>
      <c r="Y34" s="124" t="s">
        <v>254</v>
      </c>
      <c r="Z34" s="124" t="s">
        <v>290</v>
      </c>
      <c r="AA34" s="126" t="s">
        <v>386</v>
      </c>
      <c r="AB34" s="111" t="s">
        <v>386</v>
      </c>
      <c r="AC34" s="156">
        <v>46387</v>
      </c>
      <c r="AD34" s="163">
        <v>46102</v>
      </c>
      <c r="AE34" s="115" t="s">
        <v>386</v>
      </c>
      <c r="AF34" s="163"/>
      <c r="AG34" s="115"/>
      <c r="AH34" s="163"/>
      <c r="AI34" s="115"/>
      <c r="AJ34" s="163"/>
      <c r="AK34" s="115"/>
      <c r="AL34" s="169">
        <f t="shared" si="9"/>
        <v>1</v>
      </c>
      <c r="AM34" s="112">
        <f t="shared" si="10"/>
        <v>1</v>
      </c>
      <c r="AN34" s="171">
        <f t="shared" si="11"/>
        <v>1</v>
      </c>
      <c r="AO34" s="150" t="str">
        <f>_xlfn.IFNA(VLOOKUP(AN34,Parameter!$D$53:$E$77,2),"")</f>
        <v>RENDAH</v>
      </c>
      <c r="AP34" s="167" t="s">
        <v>379</v>
      </c>
      <c r="AQ34" s="116"/>
    </row>
    <row r="35" spans="1:43" ht="126" x14ac:dyDescent="0.3">
      <c r="A35" s="114" t="s">
        <v>48</v>
      </c>
      <c r="B35" s="112">
        <f t="shared" si="12"/>
        <v>21</v>
      </c>
      <c r="C35" s="124" t="s">
        <v>1121</v>
      </c>
      <c r="D35" s="169" t="s">
        <v>991</v>
      </c>
      <c r="E35" s="176" t="s">
        <v>256</v>
      </c>
      <c r="F35" s="118" t="s">
        <v>367</v>
      </c>
      <c r="G35" s="117" t="s">
        <v>377</v>
      </c>
      <c r="H35" s="173" t="s">
        <v>50</v>
      </c>
      <c r="I35" s="127"/>
      <c r="J35" s="113"/>
      <c r="K35" s="113"/>
      <c r="L35" s="113"/>
      <c r="M35" s="113"/>
      <c r="N35" s="117" t="s">
        <v>385</v>
      </c>
      <c r="O35" s="120"/>
      <c r="P35" s="119"/>
      <c r="Q35" s="112">
        <v>1</v>
      </c>
      <c r="R35" s="112">
        <v>1</v>
      </c>
      <c r="S35" s="147">
        <f t="shared" si="8"/>
        <v>1</v>
      </c>
      <c r="T35" s="150" t="str">
        <f>_xlfn.IFNA(VLOOKUP(S35,Parameter!$D$53:$E$77,2),"")</f>
        <v>RENDAH</v>
      </c>
      <c r="U35" s="130"/>
      <c r="V35" s="124" t="s">
        <v>386</v>
      </c>
      <c r="W35" s="124" t="s">
        <v>386</v>
      </c>
      <c r="X35" s="124" t="s">
        <v>386</v>
      </c>
      <c r="Y35" s="124" t="s">
        <v>254</v>
      </c>
      <c r="Z35" s="124" t="s">
        <v>290</v>
      </c>
      <c r="AA35" s="126" t="s">
        <v>386</v>
      </c>
      <c r="AB35" s="111" t="s">
        <v>386</v>
      </c>
      <c r="AC35" s="156">
        <v>46387</v>
      </c>
      <c r="AD35" s="163">
        <v>46102</v>
      </c>
      <c r="AE35" s="115" t="s">
        <v>386</v>
      </c>
      <c r="AF35" s="163"/>
      <c r="AG35" s="115"/>
      <c r="AH35" s="163"/>
      <c r="AI35" s="115"/>
      <c r="AJ35" s="163"/>
      <c r="AK35" s="115"/>
      <c r="AL35" s="169">
        <f t="shared" si="9"/>
        <v>1</v>
      </c>
      <c r="AM35" s="112">
        <f t="shared" si="10"/>
        <v>1</v>
      </c>
      <c r="AN35" s="171">
        <f t="shared" si="11"/>
        <v>1</v>
      </c>
      <c r="AO35" s="150" t="str">
        <f>_xlfn.IFNA(VLOOKUP(AN35,Parameter!$D$53:$E$77,2),"")</f>
        <v>RENDAH</v>
      </c>
      <c r="AP35" s="167" t="s">
        <v>379</v>
      </c>
      <c r="AQ35" s="116"/>
    </row>
    <row r="36" spans="1:43" ht="144" x14ac:dyDescent="0.3">
      <c r="A36" s="114" t="s">
        <v>48</v>
      </c>
      <c r="B36" s="112">
        <f t="shared" si="12"/>
        <v>22</v>
      </c>
      <c r="C36" s="124" t="s">
        <v>1122</v>
      </c>
      <c r="D36" s="169" t="s">
        <v>991</v>
      </c>
      <c r="E36" s="176" t="s">
        <v>256</v>
      </c>
      <c r="F36" s="118" t="s">
        <v>367</v>
      </c>
      <c r="G36" s="117" t="s">
        <v>377</v>
      </c>
      <c r="H36" s="173" t="s">
        <v>50</v>
      </c>
      <c r="I36" s="127"/>
      <c r="J36" s="113"/>
      <c r="K36" s="113"/>
      <c r="L36" s="113"/>
      <c r="M36" s="113"/>
      <c r="N36" s="117" t="s">
        <v>385</v>
      </c>
      <c r="O36" s="120"/>
      <c r="P36" s="119"/>
      <c r="Q36" s="112">
        <v>1</v>
      </c>
      <c r="R36" s="112">
        <v>1</v>
      </c>
      <c r="S36" s="147">
        <f t="shared" si="8"/>
        <v>1</v>
      </c>
      <c r="T36" s="150" t="str">
        <f>_xlfn.IFNA(VLOOKUP(S36,Parameter!$D$53:$E$77,2),"")</f>
        <v>RENDAH</v>
      </c>
      <c r="U36" s="130"/>
      <c r="V36" s="124" t="s">
        <v>386</v>
      </c>
      <c r="W36" s="124" t="s">
        <v>386</v>
      </c>
      <c r="X36" s="124" t="s">
        <v>386</v>
      </c>
      <c r="Y36" s="124" t="s">
        <v>254</v>
      </c>
      <c r="Z36" s="124" t="s">
        <v>747</v>
      </c>
      <c r="AA36" s="126" t="s">
        <v>386</v>
      </c>
      <c r="AB36" s="111" t="s">
        <v>386</v>
      </c>
      <c r="AC36" s="156">
        <v>46387</v>
      </c>
      <c r="AD36" s="163">
        <v>46102</v>
      </c>
      <c r="AE36" s="115" t="s">
        <v>386</v>
      </c>
      <c r="AF36" s="163"/>
      <c r="AG36" s="115"/>
      <c r="AH36" s="163"/>
      <c r="AI36" s="115"/>
      <c r="AJ36" s="163"/>
      <c r="AK36" s="115"/>
      <c r="AL36" s="169">
        <f t="shared" si="9"/>
        <v>1</v>
      </c>
      <c r="AM36" s="112">
        <f t="shared" si="10"/>
        <v>1</v>
      </c>
      <c r="AN36" s="171">
        <f t="shared" si="11"/>
        <v>1</v>
      </c>
      <c r="AO36" s="150" t="str">
        <f>_xlfn.IFNA(VLOOKUP(AN36,Parameter!$D$53:$E$77,2),"")</f>
        <v>RENDAH</v>
      </c>
      <c r="AP36" s="167" t="s">
        <v>379</v>
      </c>
      <c r="AQ36" s="116"/>
    </row>
    <row r="37" spans="1:43" ht="162" x14ac:dyDescent="0.3">
      <c r="A37" s="114" t="s">
        <v>48</v>
      </c>
      <c r="B37" s="112">
        <f t="shared" si="12"/>
        <v>23</v>
      </c>
      <c r="C37" s="124" t="s">
        <v>1123</v>
      </c>
      <c r="D37" s="169" t="s">
        <v>991</v>
      </c>
      <c r="E37" s="176" t="s">
        <v>256</v>
      </c>
      <c r="F37" s="118" t="s">
        <v>367</v>
      </c>
      <c r="G37" s="117" t="s">
        <v>377</v>
      </c>
      <c r="H37" s="173" t="s">
        <v>50</v>
      </c>
      <c r="I37" s="127"/>
      <c r="J37" s="113"/>
      <c r="K37" s="113"/>
      <c r="L37" s="113"/>
      <c r="M37" s="113"/>
      <c r="N37" s="117" t="s">
        <v>385</v>
      </c>
      <c r="O37" s="120"/>
      <c r="P37" s="119"/>
      <c r="Q37" s="112">
        <v>1</v>
      </c>
      <c r="R37" s="112">
        <v>1</v>
      </c>
      <c r="S37" s="147">
        <f t="shared" si="8"/>
        <v>1</v>
      </c>
      <c r="T37" s="150" t="str">
        <f>_xlfn.IFNA(VLOOKUP(S37,Parameter!$D$53:$E$77,2),"")</f>
        <v>RENDAH</v>
      </c>
      <c r="U37" s="130"/>
      <c r="V37" s="124" t="s">
        <v>386</v>
      </c>
      <c r="W37" s="124" t="s">
        <v>386</v>
      </c>
      <c r="X37" s="124" t="s">
        <v>386</v>
      </c>
      <c r="Y37" s="124" t="s">
        <v>254</v>
      </c>
      <c r="Z37" s="124"/>
      <c r="AA37" s="126" t="s">
        <v>386</v>
      </c>
      <c r="AB37" s="111" t="s">
        <v>386</v>
      </c>
      <c r="AC37" s="156">
        <v>46387</v>
      </c>
      <c r="AD37" s="163">
        <v>46102</v>
      </c>
      <c r="AE37" s="115" t="s">
        <v>386</v>
      </c>
      <c r="AF37" s="163"/>
      <c r="AG37" s="115"/>
      <c r="AH37" s="163"/>
      <c r="AI37" s="115"/>
      <c r="AJ37" s="163"/>
      <c r="AK37" s="115"/>
      <c r="AL37" s="169">
        <f t="shared" si="9"/>
        <v>1</v>
      </c>
      <c r="AM37" s="112">
        <f t="shared" si="10"/>
        <v>1</v>
      </c>
      <c r="AN37" s="171">
        <f t="shared" si="11"/>
        <v>1</v>
      </c>
      <c r="AO37" s="150" t="str">
        <f>_xlfn.IFNA(VLOOKUP(AN37,Parameter!$D$53:$E$77,2),"")</f>
        <v>RENDAH</v>
      </c>
      <c r="AP37" s="167" t="s">
        <v>379</v>
      </c>
      <c r="AQ37" s="116"/>
    </row>
    <row r="38" spans="1:43" ht="144" x14ac:dyDescent="0.3">
      <c r="A38" s="114" t="s">
        <v>48</v>
      </c>
      <c r="B38" s="112">
        <f t="shared" si="12"/>
        <v>24</v>
      </c>
      <c r="C38" s="124" t="s">
        <v>1124</v>
      </c>
      <c r="D38" s="169" t="s">
        <v>991</v>
      </c>
      <c r="E38" s="176" t="s">
        <v>256</v>
      </c>
      <c r="F38" s="118" t="s">
        <v>367</v>
      </c>
      <c r="G38" s="117" t="s">
        <v>377</v>
      </c>
      <c r="H38" s="173" t="s">
        <v>50</v>
      </c>
      <c r="I38" s="127"/>
      <c r="J38" s="113"/>
      <c r="K38" s="113"/>
      <c r="L38" s="113"/>
      <c r="M38" s="113"/>
      <c r="N38" s="117" t="s">
        <v>385</v>
      </c>
      <c r="O38" s="120"/>
      <c r="P38" s="119"/>
      <c r="Q38" s="112">
        <v>1</v>
      </c>
      <c r="R38" s="112">
        <v>1</v>
      </c>
      <c r="S38" s="147">
        <f t="shared" si="8"/>
        <v>1</v>
      </c>
      <c r="T38" s="150" t="str">
        <f>_xlfn.IFNA(VLOOKUP(S38,Parameter!$D$53:$E$77,2),"")</f>
        <v>RENDAH</v>
      </c>
      <c r="U38" s="130"/>
      <c r="V38" s="124" t="s">
        <v>386</v>
      </c>
      <c r="W38" s="124" t="s">
        <v>386</v>
      </c>
      <c r="X38" s="124" t="s">
        <v>386</v>
      </c>
      <c r="Y38" s="124" t="s">
        <v>254</v>
      </c>
      <c r="Z38" s="124"/>
      <c r="AA38" s="126" t="s">
        <v>386</v>
      </c>
      <c r="AB38" s="111" t="s">
        <v>386</v>
      </c>
      <c r="AC38" s="156">
        <v>46387</v>
      </c>
      <c r="AD38" s="163">
        <v>46102</v>
      </c>
      <c r="AE38" s="115" t="s">
        <v>386</v>
      </c>
      <c r="AF38" s="163"/>
      <c r="AG38" s="115"/>
      <c r="AH38" s="163"/>
      <c r="AI38" s="115"/>
      <c r="AJ38" s="163"/>
      <c r="AK38" s="115"/>
      <c r="AL38" s="169">
        <f t="shared" si="9"/>
        <v>1</v>
      </c>
      <c r="AM38" s="112">
        <f t="shared" si="10"/>
        <v>1</v>
      </c>
      <c r="AN38" s="171">
        <f t="shared" si="11"/>
        <v>1</v>
      </c>
      <c r="AO38" s="150" t="str">
        <f>_xlfn.IFNA(VLOOKUP(AN38,Parameter!$D$53:$E$77,2),"")</f>
        <v>RENDAH</v>
      </c>
      <c r="AP38" s="167" t="s">
        <v>379</v>
      </c>
      <c r="AQ38" s="116"/>
    </row>
    <row r="39" spans="1:43" ht="126" x14ac:dyDescent="0.3">
      <c r="A39" s="114" t="s">
        <v>48</v>
      </c>
      <c r="B39" s="112">
        <f t="shared" si="12"/>
        <v>25</v>
      </c>
      <c r="C39" s="124" t="s">
        <v>1125</v>
      </c>
      <c r="D39" s="169" t="s">
        <v>991</v>
      </c>
      <c r="E39" s="176" t="s">
        <v>256</v>
      </c>
      <c r="F39" s="118" t="s">
        <v>367</v>
      </c>
      <c r="G39" s="117" t="s">
        <v>377</v>
      </c>
      <c r="H39" s="173" t="s">
        <v>50</v>
      </c>
      <c r="I39" s="127"/>
      <c r="J39" s="113"/>
      <c r="K39" s="113"/>
      <c r="L39" s="113"/>
      <c r="M39" s="113"/>
      <c r="N39" s="117" t="s">
        <v>385</v>
      </c>
      <c r="O39" s="120"/>
      <c r="P39" s="119"/>
      <c r="Q39" s="112">
        <v>1</v>
      </c>
      <c r="R39" s="112">
        <v>1</v>
      </c>
      <c r="S39" s="147">
        <f t="shared" si="8"/>
        <v>1</v>
      </c>
      <c r="T39" s="150" t="str">
        <f>_xlfn.IFNA(VLOOKUP(S39,Parameter!$D$53:$E$77,2),"")</f>
        <v>RENDAH</v>
      </c>
      <c r="U39" s="130"/>
      <c r="V39" s="124" t="s">
        <v>386</v>
      </c>
      <c r="W39" s="124" t="s">
        <v>386</v>
      </c>
      <c r="X39" s="124" t="s">
        <v>386</v>
      </c>
      <c r="Y39" s="124" t="s">
        <v>254</v>
      </c>
      <c r="Z39" s="124"/>
      <c r="AA39" s="126" t="s">
        <v>386</v>
      </c>
      <c r="AB39" s="111" t="s">
        <v>386</v>
      </c>
      <c r="AC39" s="156">
        <v>46387</v>
      </c>
      <c r="AD39" s="163">
        <v>46102</v>
      </c>
      <c r="AE39" s="115" t="s">
        <v>386</v>
      </c>
      <c r="AF39" s="163"/>
      <c r="AG39" s="115"/>
      <c r="AH39" s="163"/>
      <c r="AI39" s="115"/>
      <c r="AJ39" s="163"/>
      <c r="AK39" s="115"/>
      <c r="AL39" s="169">
        <f t="shared" si="9"/>
        <v>1</v>
      </c>
      <c r="AM39" s="112">
        <f t="shared" si="10"/>
        <v>1</v>
      </c>
      <c r="AN39" s="171">
        <f t="shared" si="11"/>
        <v>1</v>
      </c>
      <c r="AO39" s="150" t="str">
        <f>_xlfn.IFNA(VLOOKUP(AN39,Parameter!$D$53:$E$77,2),"")</f>
        <v>RENDAH</v>
      </c>
      <c r="AP39" s="167" t="s">
        <v>379</v>
      </c>
      <c r="AQ39" s="116"/>
    </row>
    <row r="40" spans="1:43" ht="126" x14ac:dyDescent="0.3">
      <c r="A40" s="114" t="s">
        <v>48</v>
      </c>
      <c r="B40" s="112">
        <f t="shared" si="12"/>
        <v>26</v>
      </c>
      <c r="C40" s="124" t="s">
        <v>1126</v>
      </c>
      <c r="D40" s="169" t="s">
        <v>991</v>
      </c>
      <c r="E40" s="176" t="s">
        <v>256</v>
      </c>
      <c r="F40" s="118" t="s">
        <v>367</v>
      </c>
      <c r="G40" s="117" t="s">
        <v>377</v>
      </c>
      <c r="H40" s="173" t="s">
        <v>50</v>
      </c>
      <c r="I40" s="127"/>
      <c r="J40" s="113"/>
      <c r="K40" s="113"/>
      <c r="L40" s="113"/>
      <c r="M40" s="113"/>
      <c r="N40" s="117" t="s">
        <v>385</v>
      </c>
      <c r="O40" s="120"/>
      <c r="P40" s="119"/>
      <c r="Q40" s="112">
        <v>1</v>
      </c>
      <c r="R40" s="112">
        <v>1</v>
      </c>
      <c r="S40" s="147">
        <f t="shared" si="8"/>
        <v>1</v>
      </c>
      <c r="T40" s="150" t="str">
        <f>_xlfn.IFNA(VLOOKUP(S40,Parameter!$D$53:$E$77,2),"")</f>
        <v>RENDAH</v>
      </c>
      <c r="U40" s="130"/>
      <c r="V40" s="124" t="s">
        <v>386</v>
      </c>
      <c r="W40" s="124" t="s">
        <v>386</v>
      </c>
      <c r="X40" s="124" t="s">
        <v>386</v>
      </c>
      <c r="Y40" s="124" t="s">
        <v>254</v>
      </c>
      <c r="Z40" s="124"/>
      <c r="AA40" s="126" t="s">
        <v>386</v>
      </c>
      <c r="AB40" s="111" t="s">
        <v>386</v>
      </c>
      <c r="AC40" s="156">
        <v>46387</v>
      </c>
      <c r="AD40" s="163">
        <v>46102</v>
      </c>
      <c r="AE40" s="115" t="s">
        <v>386</v>
      </c>
      <c r="AF40" s="163"/>
      <c r="AG40" s="115"/>
      <c r="AH40" s="163"/>
      <c r="AI40" s="115"/>
      <c r="AJ40" s="163"/>
      <c r="AK40" s="115"/>
      <c r="AL40" s="169">
        <f t="shared" si="9"/>
        <v>1</v>
      </c>
      <c r="AM40" s="112">
        <f t="shared" si="10"/>
        <v>1</v>
      </c>
      <c r="AN40" s="171">
        <f t="shared" si="11"/>
        <v>1</v>
      </c>
      <c r="AO40" s="150" t="str">
        <f>_xlfn.IFNA(VLOOKUP(AN40,Parameter!$D$53:$E$77,2),"")</f>
        <v>RENDAH</v>
      </c>
      <c r="AP40" s="167" t="s">
        <v>379</v>
      </c>
      <c r="AQ40" s="116"/>
    </row>
    <row r="41" spans="1:43" ht="162" x14ac:dyDescent="0.3">
      <c r="A41" s="114" t="s">
        <v>48</v>
      </c>
      <c r="B41" s="112">
        <f t="shared" si="12"/>
        <v>27</v>
      </c>
      <c r="C41" s="124" t="s">
        <v>1127</v>
      </c>
      <c r="D41" s="169" t="s">
        <v>991</v>
      </c>
      <c r="E41" s="176" t="s">
        <v>256</v>
      </c>
      <c r="F41" s="118" t="s">
        <v>367</v>
      </c>
      <c r="G41" s="117" t="s">
        <v>377</v>
      </c>
      <c r="H41" s="173" t="s">
        <v>50</v>
      </c>
      <c r="I41" s="127"/>
      <c r="J41" s="113"/>
      <c r="K41" s="113"/>
      <c r="L41" s="113"/>
      <c r="M41" s="113"/>
      <c r="N41" s="117" t="s">
        <v>385</v>
      </c>
      <c r="O41" s="120"/>
      <c r="P41" s="119"/>
      <c r="Q41" s="112">
        <v>1</v>
      </c>
      <c r="R41" s="112">
        <v>1</v>
      </c>
      <c r="S41" s="147">
        <f t="shared" si="8"/>
        <v>1</v>
      </c>
      <c r="T41" s="150" t="str">
        <f>_xlfn.IFNA(VLOOKUP(S41,Parameter!$D$53:$E$77,2),"")</f>
        <v>RENDAH</v>
      </c>
      <c r="U41" s="130"/>
      <c r="V41" s="124" t="s">
        <v>386</v>
      </c>
      <c r="W41" s="124" t="s">
        <v>386</v>
      </c>
      <c r="X41" s="124" t="s">
        <v>386</v>
      </c>
      <c r="Y41" s="124" t="s">
        <v>254</v>
      </c>
      <c r="Z41" s="124"/>
      <c r="AA41" s="126" t="s">
        <v>386</v>
      </c>
      <c r="AB41" s="111" t="s">
        <v>386</v>
      </c>
      <c r="AC41" s="156">
        <v>46387</v>
      </c>
      <c r="AD41" s="163">
        <v>46102</v>
      </c>
      <c r="AE41" s="115" t="s">
        <v>386</v>
      </c>
      <c r="AF41" s="163"/>
      <c r="AG41" s="115"/>
      <c r="AH41" s="163"/>
      <c r="AI41" s="115"/>
      <c r="AJ41" s="163"/>
      <c r="AK41" s="115"/>
      <c r="AL41" s="169">
        <f t="shared" ref="AL41:AL74" si="13">Q41</f>
        <v>1</v>
      </c>
      <c r="AM41" s="112">
        <f t="shared" ref="AM41:AM74" si="14">R41</f>
        <v>1</v>
      </c>
      <c r="AN41" s="171">
        <f t="shared" si="11"/>
        <v>1</v>
      </c>
      <c r="AO41" s="150" t="str">
        <f>_xlfn.IFNA(VLOOKUP(AN41,Parameter!$D$53:$E$77,2),"")</f>
        <v>RENDAH</v>
      </c>
      <c r="AP41" s="167" t="s">
        <v>379</v>
      </c>
      <c r="AQ41" s="116"/>
    </row>
    <row r="42" spans="1:43" ht="306" hidden="1" x14ac:dyDescent="0.3">
      <c r="A42" s="114" t="s">
        <v>48</v>
      </c>
      <c r="B42" s="112">
        <f t="shared" si="12"/>
        <v>28</v>
      </c>
      <c r="C42" s="124" t="s">
        <v>1294</v>
      </c>
      <c r="D42" s="169" t="s">
        <v>270</v>
      </c>
      <c r="E42" s="176" t="s">
        <v>52</v>
      </c>
      <c r="F42" s="118" t="s">
        <v>367</v>
      </c>
      <c r="G42" s="117" t="s">
        <v>49</v>
      </c>
      <c r="H42" s="173" t="s">
        <v>190</v>
      </c>
      <c r="I42" s="127" t="s">
        <v>1295</v>
      </c>
      <c r="J42" s="113" t="s">
        <v>1296</v>
      </c>
      <c r="K42" s="113" t="s">
        <v>1297</v>
      </c>
      <c r="L42" s="113" t="s">
        <v>1298</v>
      </c>
      <c r="M42" s="113" t="s">
        <v>1299</v>
      </c>
      <c r="N42" s="117" t="s">
        <v>384</v>
      </c>
      <c r="O42" s="120" t="s">
        <v>485</v>
      </c>
      <c r="P42" s="119" t="s">
        <v>1300</v>
      </c>
      <c r="Q42" s="112">
        <v>3</v>
      </c>
      <c r="R42" s="112">
        <v>4</v>
      </c>
      <c r="S42" s="147">
        <f t="shared" si="8"/>
        <v>12</v>
      </c>
      <c r="T42" s="150" t="str">
        <f>_xlfn.IFNA(VLOOKUP(S42,Parameter!$D$53:$E$77,2),"")</f>
        <v>SEDANG</v>
      </c>
      <c r="U42" s="130" t="s">
        <v>1301</v>
      </c>
      <c r="V42" s="124" t="s">
        <v>1302</v>
      </c>
      <c r="W42" s="124" t="s">
        <v>1303</v>
      </c>
      <c r="X42" s="124" t="s">
        <v>1304</v>
      </c>
      <c r="Y42" s="124" t="s">
        <v>290</v>
      </c>
      <c r="Z42" s="124"/>
      <c r="AA42" s="126" t="s">
        <v>1306</v>
      </c>
      <c r="AB42" s="145" t="s">
        <v>1307</v>
      </c>
      <c r="AC42" s="156">
        <v>46387</v>
      </c>
      <c r="AD42" s="163">
        <v>46102</v>
      </c>
      <c r="AE42" s="115" t="s">
        <v>1305</v>
      </c>
      <c r="AF42" s="163"/>
      <c r="AG42" s="115"/>
      <c r="AH42" s="163"/>
      <c r="AI42" s="115"/>
      <c r="AJ42" s="163"/>
      <c r="AK42" s="115"/>
      <c r="AL42" s="169">
        <f t="shared" si="13"/>
        <v>3</v>
      </c>
      <c r="AM42" s="112">
        <f t="shared" si="14"/>
        <v>4</v>
      </c>
      <c r="AN42" s="171">
        <f t="shared" si="11"/>
        <v>12</v>
      </c>
      <c r="AO42" s="150" t="str">
        <f>_xlfn.IFNA(VLOOKUP(AN42,Parameter!$D$53:$E$77,2),"")</f>
        <v>SEDANG</v>
      </c>
      <c r="AP42" s="167" t="s">
        <v>379</v>
      </c>
      <c r="AQ42" s="116"/>
    </row>
    <row r="43" spans="1:43" ht="162" x14ac:dyDescent="0.3">
      <c r="A43" s="114" t="s">
        <v>48</v>
      </c>
      <c r="B43" s="112">
        <f t="shared" si="12"/>
        <v>29</v>
      </c>
      <c r="C43" s="124" t="s">
        <v>1128</v>
      </c>
      <c r="D43" s="169" t="s">
        <v>270</v>
      </c>
      <c r="E43" s="176" t="s">
        <v>256</v>
      </c>
      <c r="F43" s="118" t="s">
        <v>367</v>
      </c>
      <c r="G43" s="117" t="s">
        <v>377</v>
      </c>
      <c r="H43" s="173" t="s">
        <v>50</v>
      </c>
      <c r="I43" s="127"/>
      <c r="J43" s="113"/>
      <c r="K43" s="113"/>
      <c r="L43" s="113"/>
      <c r="M43" s="113"/>
      <c r="N43" s="117" t="s">
        <v>385</v>
      </c>
      <c r="O43" s="120"/>
      <c r="P43" s="119"/>
      <c r="Q43" s="112">
        <v>1</v>
      </c>
      <c r="R43" s="112">
        <v>1</v>
      </c>
      <c r="S43" s="147">
        <f t="shared" si="8"/>
        <v>1</v>
      </c>
      <c r="T43" s="150" t="str">
        <f>_xlfn.IFNA(VLOOKUP(S43,Parameter!$D$53:$E$77,2),"")</f>
        <v>RENDAH</v>
      </c>
      <c r="U43" s="130"/>
      <c r="V43" s="124" t="s">
        <v>386</v>
      </c>
      <c r="W43" s="124" t="s">
        <v>386</v>
      </c>
      <c r="X43" s="124" t="s">
        <v>386</v>
      </c>
      <c r="Y43" s="124" t="s">
        <v>747</v>
      </c>
      <c r="Z43" s="124"/>
      <c r="AA43" s="126" t="s">
        <v>386</v>
      </c>
      <c r="AB43" s="111" t="s">
        <v>386</v>
      </c>
      <c r="AC43" s="156">
        <v>46387</v>
      </c>
      <c r="AD43" s="163">
        <v>46102</v>
      </c>
      <c r="AE43" s="115" t="s">
        <v>386</v>
      </c>
      <c r="AF43" s="163"/>
      <c r="AG43" s="115"/>
      <c r="AH43" s="163"/>
      <c r="AI43" s="115"/>
      <c r="AJ43" s="163"/>
      <c r="AK43" s="115"/>
      <c r="AL43" s="169">
        <f t="shared" si="13"/>
        <v>1</v>
      </c>
      <c r="AM43" s="112">
        <f t="shared" si="14"/>
        <v>1</v>
      </c>
      <c r="AN43" s="171">
        <f t="shared" si="11"/>
        <v>1</v>
      </c>
      <c r="AO43" s="150" t="str">
        <f>_xlfn.IFNA(VLOOKUP(AN43,Parameter!$D$53:$E$77,2),"")</f>
        <v>RENDAH</v>
      </c>
      <c r="AP43" s="167" t="s">
        <v>379</v>
      </c>
      <c r="AQ43" s="116"/>
    </row>
    <row r="44" spans="1:43" ht="108" x14ac:dyDescent="0.3">
      <c r="A44" s="114" t="s">
        <v>48</v>
      </c>
      <c r="B44" s="112">
        <f t="shared" si="12"/>
        <v>30</v>
      </c>
      <c r="C44" s="124" t="s">
        <v>1129</v>
      </c>
      <c r="D44" s="169" t="s">
        <v>990</v>
      </c>
      <c r="E44" s="176" t="s">
        <v>256</v>
      </c>
      <c r="F44" s="118" t="s">
        <v>367</v>
      </c>
      <c r="G44" s="117" t="s">
        <v>377</v>
      </c>
      <c r="H44" s="173" t="s">
        <v>50</v>
      </c>
      <c r="I44" s="127"/>
      <c r="J44" s="113"/>
      <c r="K44" s="113"/>
      <c r="L44" s="113"/>
      <c r="M44" s="113"/>
      <c r="N44" s="117" t="s">
        <v>385</v>
      </c>
      <c r="O44" s="120"/>
      <c r="P44" s="119"/>
      <c r="Q44" s="112">
        <v>1</v>
      </c>
      <c r="R44" s="112">
        <v>1</v>
      </c>
      <c r="S44" s="147">
        <f t="shared" si="8"/>
        <v>1</v>
      </c>
      <c r="T44" s="150" t="str">
        <f>_xlfn.IFNA(VLOOKUP(S44,Parameter!$D$53:$E$77,2),"")</f>
        <v>RENDAH</v>
      </c>
      <c r="U44" s="130"/>
      <c r="V44" s="124" t="s">
        <v>386</v>
      </c>
      <c r="W44" s="124" t="s">
        <v>386</v>
      </c>
      <c r="X44" s="124" t="s">
        <v>386</v>
      </c>
      <c r="Y44" s="124" t="s">
        <v>333</v>
      </c>
      <c r="Z44" s="124"/>
      <c r="AA44" s="126" t="s">
        <v>386</v>
      </c>
      <c r="AB44" s="111" t="s">
        <v>386</v>
      </c>
      <c r="AC44" s="156">
        <v>46387</v>
      </c>
      <c r="AD44" s="163">
        <v>46102</v>
      </c>
      <c r="AE44" s="115" t="s">
        <v>386</v>
      </c>
      <c r="AF44" s="163"/>
      <c r="AG44" s="115"/>
      <c r="AH44" s="163"/>
      <c r="AI44" s="115"/>
      <c r="AJ44" s="163"/>
      <c r="AK44" s="115"/>
      <c r="AL44" s="169">
        <f t="shared" si="13"/>
        <v>1</v>
      </c>
      <c r="AM44" s="112">
        <f t="shared" si="14"/>
        <v>1</v>
      </c>
      <c r="AN44" s="171">
        <f t="shared" si="11"/>
        <v>1</v>
      </c>
      <c r="AO44" s="150" t="str">
        <f>_xlfn.IFNA(VLOOKUP(AN44,Parameter!$D$53:$E$77,2),"")</f>
        <v>RENDAH</v>
      </c>
      <c r="AP44" s="167" t="s">
        <v>379</v>
      </c>
      <c r="AQ44" s="116"/>
    </row>
    <row r="45" spans="1:43" ht="162" x14ac:dyDescent="0.3">
      <c r="A45" s="114" t="s">
        <v>48</v>
      </c>
      <c r="B45" s="112">
        <f t="shared" si="12"/>
        <v>31</v>
      </c>
      <c r="C45" s="124" t="s">
        <v>1130</v>
      </c>
      <c r="D45" s="169" t="s">
        <v>990</v>
      </c>
      <c r="E45" s="176" t="s">
        <v>256</v>
      </c>
      <c r="F45" s="118" t="s">
        <v>367</v>
      </c>
      <c r="G45" s="117" t="s">
        <v>377</v>
      </c>
      <c r="H45" s="173" t="s">
        <v>50</v>
      </c>
      <c r="I45" s="127"/>
      <c r="J45" s="113"/>
      <c r="K45" s="113"/>
      <c r="L45" s="113"/>
      <c r="M45" s="113"/>
      <c r="N45" s="117" t="s">
        <v>385</v>
      </c>
      <c r="O45" s="120"/>
      <c r="P45" s="119"/>
      <c r="Q45" s="112">
        <v>1</v>
      </c>
      <c r="R45" s="112">
        <v>1</v>
      </c>
      <c r="S45" s="147">
        <f t="shared" si="8"/>
        <v>1</v>
      </c>
      <c r="T45" s="150" t="str">
        <f>_xlfn.IFNA(VLOOKUP(S45,Parameter!$D$53:$E$77,2),"")</f>
        <v>RENDAH</v>
      </c>
      <c r="U45" s="130"/>
      <c r="V45" s="124" t="s">
        <v>386</v>
      </c>
      <c r="W45" s="124" t="s">
        <v>386</v>
      </c>
      <c r="X45" s="124" t="s">
        <v>386</v>
      </c>
      <c r="Y45" s="124" t="s">
        <v>333</v>
      </c>
      <c r="Z45" s="124"/>
      <c r="AA45" s="126" t="s">
        <v>386</v>
      </c>
      <c r="AB45" s="111" t="s">
        <v>386</v>
      </c>
      <c r="AC45" s="156">
        <v>46387</v>
      </c>
      <c r="AD45" s="163">
        <v>46102</v>
      </c>
      <c r="AE45" s="115" t="s">
        <v>386</v>
      </c>
      <c r="AF45" s="163"/>
      <c r="AG45" s="115"/>
      <c r="AH45" s="163"/>
      <c r="AI45" s="115"/>
      <c r="AJ45" s="163"/>
      <c r="AK45" s="115"/>
      <c r="AL45" s="169">
        <f t="shared" si="13"/>
        <v>1</v>
      </c>
      <c r="AM45" s="112">
        <f t="shared" si="14"/>
        <v>1</v>
      </c>
      <c r="AN45" s="171">
        <f t="shared" si="11"/>
        <v>1</v>
      </c>
      <c r="AO45" s="150" t="str">
        <f>_xlfn.IFNA(VLOOKUP(AN45,Parameter!$D$53:$E$77,2),"")</f>
        <v>RENDAH</v>
      </c>
      <c r="AP45" s="167" t="s">
        <v>379</v>
      </c>
      <c r="AQ45" s="116"/>
    </row>
    <row r="46" spans="1:43" ht="144" x14ac:dyDescent="0.3">
      <c r="A46" s="114" t="s">
        <v>48</v>
      </c>
      <c r="B46" s="112">
        <f t="shared" si="12"/>
        <v>32</v>
      </c>
      <c r="C46" s="124" t="s">
        <v>1131</v>
      </c>
      <c r="D46" s="169" t="s">
        <v>990</v>
      </c>
      <c r="E46" s="176" t="s">
        <v>256</v>
      </c>
      <c r="F46" s="118" t="s">
        <v>367</v>
      </c>
      <c r="G46" s="117" t="s">
        <v>49</v>
      </c>
      <c r="H46" s="173" t="s">
        <v>50</v>
      </c>
      <c r="I46" s="127"/>
      <c r="J46" s="113"/>
      <c r="K46" s="113"/>
      <c r="L46" s="113"/>
      <c r="M46" s="113"/>
      <c r="N46" s="117" t="s">
        <v>385</v>
      </c>
      <c r="O46" s="120"/>
      <c r="P46" s="119"/>
      <c r="Q46" s="112">
        <v>1</v>
      </c>
      <c r="R46" s="112">
        <v>1</v>
      </c>
      <c r="S46" s="147">
        <f t="shared" si="8"/>
        <v>1</v>
      </c>
      <c r="T46" s="150" t="str">
        <f>_xlfn.IFNA(VLOOKUP(S46,Parameter!$D$53:$E$77,2),"")</f>
        <v>RENDAH</v>
      </c>
      <c r="U46" s="130"/>
      <c r="V46" s="124" t="s">
        <v>386</v>
      </c>
      <c r="W46" s="124" t="s">
        <v>386</v>
      </c>
      <c r="X46" s="124" t="s">
        <v>386</v>
      </c>
      <c r="Y46" s="124" t="s">
        <v>333</v>
      </c>
      <c r="Z46" s="124"/>
      <c r="AA46" s="126" t="s">
        <v>386</v>
      </c>
      <c r="AB46" s="111" t="s">
        <v>386</v>
      </c>
      <c r="AC46" s="156">
        <v>46387</v>
      </c>
      <c r="AD46" s="163">
        <v>46102</v>
      </c>
      <c r="AE46" s="115" t="s">
        <v>386</v>
      </c>
      <c r="AF46" s="163"/>
      <c r="AG46" s="115"/>
      <c r="AH46" s="163"/>
      <c r="AI46" s="115"/>
      <c r="AJ46" s="163"/>
      <c r="AK46" s="115"/>
      <c r="AL46" s="169">
        <f t="shared" si="13"/>
        <v>1</v>
      </c>
      <c r="AM46" s="112">
        <f t="shared" si="14"/>
        <v>1</v>
      </c>
      <c r="AN46" s="171">
        <f t="shared" si="11"/>
        <v>1</v>
      </c>
      <c r="AO46" s="150" t="str">
        <f>_xlfn.IFNA(VLOOKUP(AN46,Parameter!$D$53:$E$77,2),"")</f>
        <v>RENDAH</v>
      </c>
      <c r="AP46" s="167" t="s">
        <v>379</v>
      </c>
      <c r="AQ46" s="116"/>
    </row>
    <row r="47" spans="1:43" ht="126" x14ac:dyDescent="0.3">
      <c r="A47" s="114" t="s">
        <v>48</v>
      </c>
      <c r="B47" s="112">
        <f t="shared" si="12"/>
        <v>33</v>
      </c>
      <c r="C47" s="124" t="s">
        <v>1132</v>
      </c>
      <c r="D47" s="169" t="s">
        <v>990</v>
      </c>
      <c r="E47" s="176" t="s">
        <v>256</v>
      </c>
      <c r="F47" s="118" t="s">
        <v>367</v>
      </c>
      <c r="G47" s="117" t="s">
        <v>377</v>
      </c>
      <c r="H47" s="173" t="s">
        <v>50</v>
      </c>
      <c r="I47" s="127"/>
      <c r="J47" s="113"/>
      <c r="K47" s="113"/>
      <c r="L47" s="113"/>
      <c r="M47" s="113"/>
      <c r="N47" s="117" t="s">
        <v>385</v>
      </c>
      <c r="O47" s="120"/>
      <c r="P47" s="119"/>
      <c r="Q47" s="112">
        <v>1</v>
      </c>
      <c r="R47" s="112">
        <v>1</v>
      </c>
      <c r="S47" s="147">
        <f t="shared" si="8"/>
        <v>1</v>
      </c>
      <c r="T47" s="150" t="str">
        <f>_xlfn.IFNA(VLOOKUP(S47,Parameter!$D$53:$E$77,2),"")</f>
        <v>RENDAH</v>
      </c>
      <c r="U47" s="130"/>
      <c r="V47" s="124" t="s">
        <v>386</v>
      </c>
      <c r="W47" s="124" t="s">
        <v>386</v>
      </c>
      <c r="X47" s="124" t="s">
        <v>386</v>
      </c>
      <c r="Y47" s="124" t="s">
        <v>279</v>
      </c>
      <c r="Z47" s="124"/>
      <c r="AA47" s="126" t="s">
        <v>386</v>
      </c>
      <c r="AB47" s="111" t="s">
        <v>386</v>
      </c>
      <c r="AC47" s="156">
        <v>46387</v>
      </c>
      <c r="AD47" s="163">
        <v>46102</v>
      </c>
      <c r="AE47" s="115" t="s">
        <v>386</v>
      </c>
      <c r="AF47" s="163"/>
      <c r="AG47" s="115"/>
      <c r="AH47" s="163"/>
      <c r="AI47" s="115"/>
      <c r="AJ47" s="163"/>
      <c r="AK47" s="115"/>
      <c r="AL47" s="169">
        <f t="shared" si="13"/>
        <v>1</v>
      </c>
      <c r="AM47" s="112">
        <f t="shared" si="14"/>
        <v>1</v>
      </c>
      <c r="AN47" s="171">
        <f t="shared" si="11"/>
        <v>1</v>
      </c>
      <c r="AO47" s="150" t="str">
        <f>_xlfn.IFNA(VLOOKUP(AN47,Parameter!$D$53:$E$77,2),"")</f>
        <v>RENDAH</v>
      </c>
      <c r="AP47" s="167" t="s">
        <v>379</v>
      </c>
      <c r="AQ47" s="116"/>
    </row>
    <row r="48" spans="1:43" ht="144" x14ac:dyDescent="0.3">
      <c r="A48" s="114" t="s">
        <v>48</v>
      </c>
      <c r="B48" s="112">
        <f t="shared" si="12"/>
        <v>34</v>
      </c>
      <c r="C48" s="124" t="s">
        <v>1133</v>
      </c>
      <c r="D48" s="169" t="s">
        <v>334</v>
      </c>
      <c r="E48" s="176" t="s">
        <v>256</v>
      </c>
      <c r="F48" s="118" t="s">
        <v>368</v>
      </c>
      <c r="G48" s="117" t="s">
        <v>49</v>
      </c>
      <c r="H48" s="173" t="s">
        <v>50</v>
      </c>
      <c r="I48" s="127"/>
      <c r="J48" s="113"/>
      <c r="K48" s="113"/>
      <c r="L48" s="113"/>
      <c r="M48" s="113"/>
      <c r="N48" s="117"/>
      <c r="O48" s="120"/>
      <c r="P48" s="119"/>
      <c r="Q48" s="112">
        <v>1</v>
      </c>
      <c r="R48" s="112">
        <v>1</v>
      </c>
      <c r="S48" s="147">
        <f t="shared" si="8"/>
        <v>1</v>
      </c>
      <c r="T48" s="150" t="str">
        <f>_xlfn.IFNA(VLOOKUP(S48,Parameter!$D$53:$E$77,2),"")</f>
        <v>RENDAH</v>
      </c>
      <c r="U48" s="130"/>
      <c r="V48" s="124"/>
      <c r="W48" s="124"/>
      <c r="X48" s="124"/>
      <c r="Y48" s="124"/>
      <c r="Z48" s="124"/>
      <c r="AA48" s="126"/>
      <c r="AB48" s="145"/>
      <c r="AC48" s="156">
        <v>46387</v>
      </c>
      <c r="AD48" s="163">
        <v>46102</v>
      </c>
      <c r="AE48" s="115"/>
      <c r="AF48" s="163"/>
      <c r="AG48" s="115"/>
      <c r="AH48" s="163"/>
      <c r="AI48" s="115"/>
      <c r="AJ48" s="163"/>
      <c r="AK48" s="115"/>
      <c r="AL48" s="169">
        <f t="shared" si="13"/>
        <v>1</v>
      </c>
      <c r="AM48" s="112">
        <f t="shared" si="14"/>
        <v>1</v>
      </c>
      <c r="AN48" s="171">
        <f t="shared" si="11"/>
        <v>1</v>
      </c>
      <c r="AO48" s="150" t="str">
        <f>_xlfn.IFNA(VLOOKUP(AN48,Parameter!$D$53:$E$77,2),"")</f>
        <v>RENDAH</v>
      </c>
      <c r="AP48" s="167" t="s">
        <v>379</v>
      </c>
      <c r="AQ48" s="116"/>
    </row>
    <row r="49" spans="1:43" ht="108" x14ac:dyDescent="0.3">
      <c r="A49" s="114" t="s">
        <v>48</v>
      </c>
      <c r="B49" s="112">
        <f t="shared" si="12"/>
        <v>35</v>
      </c>
      <c r="C49" s="124" t="s">
        <v>1134</v>
      </c>
      <c r="D49" s="169" t="s">
        <v>334</v>
      </c>
      <c r="E49" s="176" t="s">
        <v>256</v>
      </c>
      <c r="F49" s="118" t="s">
        <v>368</v>
      </c>
      <c r="G49" s="117" t="s">
        <v>49</v>
      </c>
      <c r="H49" s="173" t="s">
        <v>50</v>
      </c>
      <c r="I49" s="127"/>
      <c r="J49" s="113"/>
      <c r="K49" s="113"/>
      <c r="L49" s="113"/>
      <c r="M49" s="113"/>
      <c r="N49" s="117"/>
      <c r="O49" s="120"/>
      <c r="P49" s="119"/>
      <c r="Q49" s="112">
        <v>1</v>
      </c>
      <c r="R49" s="112">
        <v>1</v>
      </c>
      <c r="S49" s="147">
        <f t="shared" si="8"/>
        <v>1</v>
      </c>
      <c r="T49" s="150" t="str">
        <f>_xlfn.IFNA(VLOOKUP(S49,Parameter!$D$53:$E$77,2),"")</f>
        <v>RENDAH</v>
      </c>
      <c r="U49" s="130"/>
      <c r="V49" s="124"/>
      <c r="W49" s="124"/>
      <c r="X49" s="124"/>
      <c r="Y49" s="124"/>
      <c r="Z49" s="124"/>
      <c r="AA49" s="126"/>
      <c r="AB49" s="145"/>
      <c r="AC49" s="156">
        <v>46387</v>
      </c>
      <c r="AD49" s="163">
        <v>46102</v>
      </c>
      <c r="AE49" s="115"/>
      <c r="AF49" s="163"/>
      <c r="AG49" s="115"/>
      <c r="AH49" s="163"/>
      <c r="AI49" s="115"/>
      <c r="AJ49" s="163"/>
      <c r="AK49" s="115"/>
      <c r="AL49" s="169">
        <f t="shared" si="13"/>
        <v>1</v>
      </c>
      <c r="AM49" s="112">
        <f t="shared" si="14"/>
        <v>1</v>
      </c>
      <c r="AN49" s="171">
        <f t="shared" si="11"/>
        <v>1</v>
      </c>
      <c r="AO49" s="150" t="str">
        <f>_xlfn.IFNA(VLOOKUP(AN49,Parameter!$D$53:$E$77,2),"")</f>
        <v>RENDAH</v>
      </c>
      <c r="AP49" s="167" t="s">
        <v>379</v>
      </c>
      <c r="AQ49" s="116"/>
    </row>
    <row r="50" spans="1:43" ht="234" hidden="1" x14ac:dyDescent="0.3">
      <c r="A50" s="114" t="s">
        <v>48</v>
      </c>
      <c r="B50" s="112">
        <f t="shared" si="12"/>
        <v>36</v>
      </c>
      <c r="C50" s="124" t="s">
        <v>567</v>
      </c>
      <c r="D50" s="169" t="s">
        <v>306</v>
      </c>
      <c r="E50" s="176" t="s">
        <v>256</v>
      </c>
      <c r="F50" s="118" t="s">
        <v>368</v>
      </c>
      <c r="G50" s="117" t="s">
        <v>49</v>
      </c>
      <c r="H50" s="173" t="s">
        <v>50</v>
      </c>
      <c r="I50" s="127" t="s">
        <v>568</v>
      </c>
      <c r="J50" s="113" t="s">
        <v>568</v>
      </c>
      <c r="K50" s="113" t="s">
        <v>569</v>
      </c>
      <c r="L50" s="113" t="s">
        <v>570</v>
      </c>
      <c r="M50" s="113" t="s">
        <v>571</v>
      </c>
      <c r="N50" s="117" t="s">
        <v>384</v>
      </c>
      <c r="O50" s="120" t="s">
        <v>485</v>
      </c>
      <c r="P50" s="119" t="s">
        <v>572</v>
      </c>
      <c r="Q50" s="112">
        <v>4</v>
      </c>
      <c r="R50" s="112">
        <v>4</v>
      </c>
      <c r="S50" s="147">
        <f t="shared" si="8"/>
        <v>16</v>
      </c>
      <c r="T50" s="150" t="str">
        <f>_xlfn.IFNA(VLOOKUP(S50,Parameter!$D$53:$E$77,2),"")</f>
        <v>SEDANG-TINGGI</v>
      </c>
      <c r="U50" s="130" t="s">
        <v>573</v>
      </c>
      <c r="V50" s="124" t="s">
        <v>574</v>
      </c>
      <c r="W50" s="124" t="s">
        <v>575</v>
      </c>
      <c r="X50" s="124" t="s">
        <v>577</v>
      </c>
      <c r="Y50" s="124" t="s">
        <v>297</v>
      </c>
      <c r="Z50" s="124"/>
      <c r="AA50" s="126" t="s">
        <v>576</v>
      </c>
      <c r="AB50" s="145" t="s">
        <v>492</v>
      </c>
      <c r="AC50" s="156">
        <v>46387</v>
      </c>
      <c r="AD50" s="163">
        <v>46102</v>
      </c>
      <c r="AE50" s="164" t="s">
        <v>578</v>
      </c>
      <c r="AF50" s="163"/>
      <c r="AG50" s="164"/>
      <c r="AH50" s="163"/>
      <c r="AI50" s="164"/>
      <c r="AJ50" s="163"/>
      <c r="AK50" s="164"/>
      <c r="AL50" s="169">
        <f t="shared" si="13"/>
        <v>4</v>
      </c>
      <c r="AM50" s="112">
        <f t="shared" si="14"/>
        <v>4</v>
      </c>
      <c r="AN50" s="171">
        <f t="shared" si="11"/>
        <v>16</v>
      </c>
      <c r="AO50" s="150" t="str">
        <f>_xlfn.IFNA(VLOOKUP(AN50,Parameter!$D$53:$E$77,2),"")</f>
        <v>SEDANG-TINGGI</v>
      </c>
      <c r="AP50" s="167" t="s">
        <v>379</v>
      </c>
      <c r="AQ50" s="116"/>
    </row>
    <row r="51" spans="1:43" ht="144" x14ac:dyDescent="0.3">
      <c r="A51" s="114" t="s">
        <v>48</v>
      </c>
      <c r="B51" s="112">
        <f t="shared" si="12"/>
        <v>37</v>
      </c>
      <c r="C51" s="124" t="s">
        <v>1135</v>
      </c>
      <c r="D51" s="169" t="s">
        <v>306</v>
      </c>
      <c r="E51" s="176" t="s">
        <v>256</v>
      </c>
      <c r="F51" s="118" t="s">
        <v>367</v>
      </c>
      <c r="G51" s="117" t="s">
        <v>377</v>
      </c>
      <c r="H51" s="173" t="s">
        <v>50</v>
      </c>
      <c r="I51" s="127"/>
      <c r="J51" s="113"/>
      <c r="K51" s="113"/>
      <c r="L51" s="113"/>
      <c r="M51" s="113"/>
      <c r="N51" s="117" t="s">
        <v>385</v>
      </c>
      <c r="O51" s="120"/>
      <c r="P51" s="119"/>
      <c r="Q51" s="112">
        <v>1</v>
      </c>
      <c r="R51" s="112">
        <v>1</v>
      </c>
      <c r="S51" s="147">
        <f t="shared" si="8"/>
        <v>1</v>
      </c>
      <c r="T51" s="150" t="str">
        <f>_xlfn.IFNA(VLOOKUP(S51,Parameter!$D$53:$E$77,2),"")</f>
        <v>RENDAH</v>
      </c>
      <c r="U51" s="130"/>
      <c r="V51" s="124" t="s">
        <v>386</v>
      </c>
      <c r="W51" s="124" t="s">
        <v>386</v>
      </c>
      <c r="X51" s="124" t="s">
        <v>386</v>
      </c>
      <c r="Y51" s="124" t="s">
        <v>279</v>
      </c>
      <c r="Z51" s="124"/>
      <c r="AA51" s="126" t="s">
        <v>386</v>
      </c>
      <c r="AB51" s="111" t="s">
        <v>386</v>
      </c>
      <c r="AC51" s="156">
        <v>46387</v>
      </c>
      <c r="AD51" s="163">
        <v>46102</v>
      </c>
      <c r="AE51" s="115" t="s">
        <v>386</v>
      </c>
      <c r="AF51" s="163"/>
      <c r="AG51" s="115"/>
      <c r="AH51" s="163"/>
      <c r="AI51" s="115"/>
      <c r="AJ51" s="163"/>
      <c r="AK51" s="115"/>
      <c r="AL51" s="169">
        <f t="shared" si="13"/>
        <v>1</v>
      </c>
      <c r="AM51" s="112">
        <f t="shared" si="14"/>
        <v>1</v>
      </c>
      <c r="AN51" s="171">
        <f t="shared" si="11"/>
        <v>1</v>
      </c>
      <c r="AO51" s="150" t="str">
        <f>_xlfn.IFNA(VLOOKUP(AN51,Parameter!$D$53:$E$77,2),"")</f>
        <v>RENDAH</v>
      </c>
      <c r="AP51" s="167" t="s">
        <v>379</v>
      </c>
      <c r="AQ51" s="116"/>
    </row>
    <row r="52" spans="1:43" ht="162" x14ac:dyDescent="0.3">
      <c r="A52" s="114" t="s">
        <v>48</v>
      </c>
      <c r="B52" s="112">
        <f t="shared" si="12"/>
        <v>38</v>
      </c>
      <c r="C52" s="124" t="s">
        <v>1136</v>
      </c>
      <c r="D52" s="169" t="s">
        <v>306</v>
      </c>
      <c r="E52" s="176" t="s">
        <v>256</v>
      </c>
      <c r="F52" s="118" t="s">
        <v>367</v>
      </c>
      <c r="G52" s="117" t="s">
        <v>377</v>
      </c>
      <c r="H52" s="173" t="s">
        <v>50</v>
      </c>
      <c r="I52" s="127"/>
      <c r="J52" s="113"/>
      <c r="K52" s="113"/>
      <c r="L52" s="113"/>
      <c r="M52" s="113"/>
      <c r="N52" s="117" t="s">
        <v>385</v>
      </c>
      <c r="O52" s="120"/>
      <c r="P52" s="119"/>
      <c r="Q52" s="112">
        <v>1</v>
      </c>
      <c r="R52" s="112">
        <v>1</v>
      </c>
      <c r="S52" s="147">
        <f t="shared" si="8"/>
        <v>1</v>
      </c>
      <c r="T52" s="150" t="str">
        <f>_xlfn.IFNA(VLOOKUP(S52,Parameter!$D$53:$E$77,2),"")</f>
        <v>RENDAH</v>
      </c>
      <c r="U52" s="130"/>
      <c r="V52" s="124" t="s">
        <v>386</v>
      </c>
      <c r="W52" s="124" t="s">
        <v>386</v>
      </c>
      <c r="X52" s="124" t="s">
        <v>386</v>
      </c>
      <c r="Y52" s="124" t="s">
        <v>279</v>
      </c>
      <c r="Z52" s="124"/>
      <c r="AA52" s="126" t="s">
        <v>386</v>
      </c>
      <c r="AB52" s="111" t="s">
        <v>386</v>
      </c>
      <c r="AC52" s="156">
        <v>46387</v>
      </c>
      <c r="AD52" s="163">
        <v>46102</v>
      </c>
      <c r="AE52" s="115" t="s">
        <v>386</v>
      </c>
      <c r="AF52" s="163"/>
      <c r="AG52" s="115"/>
      <c r="AH52" s="163"/>
      <c r="AI52" s="115"/>
      <c r="AJ52" s="163"/>
      <c r="AK52" s="115"/>
      <c r="AL52" s="169">
        <f t="shared" si="13"/>
        <v>1</v>
      </c>
      <c r="AM52" s="112">
        <f t="shared" si="14"/>
        <v>1</v>
      </c>
      <c r="AN52" s="171">
        <f t="shared" si="11"/>
        <v>1</v>
      </c>
      <c r="AO52" s="150" t="str">
        <f>_xlfn.IFNA(VLOOKUP(AN52,Parameter!$D$53:$E$77,2),"")</f>
        <v>RENDAH</v>
      </c>
      <c r="AP52" s="167" t="s">
        <v>379</v>
      </c>
      <c r="AQ52" s="116"/>
    </row>
    <row r="53" spans="1:43" ht="162" x14ac:dyDescent="0.3">
      <c r="A53" s="114" t="s">
        <v>48</v>
      </c>
      <c r="B53" s="112">
        <f t="shared" si="12"/>
        <v>39</v>
      </c>
      <c r="C53" s="124" t="s">
        <v>1137</v>
      </c>
      <c r="D53" s="169" t="s">
        <v>302</v>
      </c>
      <c r="E53" s="176" t="s">
        <v>256</v>
      </c>
      <c r="F53" s="118" t="s">
        <v>367</v>
      </c>
      <c r="G53" s="117" t="s">
        <v>377</v>
      </c>
      <c r="H53" s="173" t="s">
        <v>50</v>
      </c>
      <c r="I53" s="127"/>
      <c r="J53" s="113"/>
      <c r="K53" s="113"/>
      <c r="L53" s="113"/>
      <c r="M53" s="113"/>
      <c r="N53" s="117" t="s">
        <v>385</v>
      </c>
      <c r="O53" s="120"/>
      <c r="P53" s="119"/>
      <c r="Q53" s="112">
        <v>1</v>
      </c>
      <c r="R53" s="112">
        <v>1</v>
      </c>
      <c r="S53" s="147">
        <f t="shared" si="8"/>
        <v>1</v>
      </c>
      <c r="T53" s="150" t="str">
        <f>_xlfn.IFNA(VLOOKUP(S53,Parameter!$D$53:$E$77,2),"")</f>
        <v>RENDAH</v>
      </c>
      <c r="U53" s="130"/>
      <c r="V53" s="124" t="s">
        <v>386</v>
      </c>
      <c r="W53" s="124" t="s">
        <v>386</v>
      </c>
      <c r="X53" s="124" t="s">
        <v>386</v>
      </c>
      <c r="Y53" s="124" t="s">
        <v>297</v>
      </c>
      <c r="Z53" s="124" t="s">
        <v>290</v>
      </c>
      <c r="AA53" s="126" t="s">
        <v>386</v>
      </c>
      <c r="AB53" s="111" t="s">
        <v>386</v>
      </c>
      <c r="AC53" s="156">
        <v>46387</v>
      </c>
      <c r="AD53" s="163">
        <v>46102</v>
      </c>
      <c r="AE53" s="115" t="s">
        <v>386</v>
      </c>
      <c r="AF53" s="163"/>
      <c r="AG53" s="115"/>
      <c r="AH53" s="163"/>
      <c r="AI53" s="115"/>
      <c r="AJ53" s="163"/>
      <c r="AK53" s="115"/>
      <c r="AL53" s="169">
        <f t="shared" si="13"/>
        <v>1</v>
      </c>
      <c r="AM53" s="112">
        <f t="shared" si="14"/>
        <v>1</v>
      </c>
      <c r="AN53" s="171">
        <f t="shared" si="11"/>
        <v>1</v>
      </c>
      <c r="AO53" s="150" t="str">
        <f>_xlfn.IFNA(VLOOKUP(AN53,Parameter!$D$53:$E$77,2),"")</f>
        <v>RENDAH</v>
      </c>
      <c r="AP53" s="167" t="s">
        <v>379</v>
      </c>
      <c r="AQ53" s="116"/>
    </row>
    <row r="54" spans="1:43" ht="144" x14ac:dyDescent="0.3">
      <c r="A54" s="114" t="s">
        <v>48</v>
      </c>
      <c r="B54" s="112">
        <f t="shared" si="12"/>
        <v>40</v>
      </c>
      <c r="C54" s="124" t="s">
        <v>1138</v>
      </c>
      <c r="D54" s="169" t="s">
        <v>302</v>
      </c>
      <c r="E54" s="176" t="s">
        <v>256</v>
      </c>
      <c r="F54" s="118" t="s">
        <v>367</v>
      </c>
      <c r="G54" s="117" t="s">
        <v>377</v>
      </c>
      <c r="H54" s="173" t="s">
        <v>50</v>
      </c>
      <c r="I54" s="127"/>
      <c r="J54" s="113"/>
      <c r="K54" s="113"/>
      <c r="L54" s="113"/>
      <c r="M54" s="113"/>
      <c r="N54" s="117" t="s">
        <v>385</v>
      </c>
      <c r="O54" s="120"/>
      <c r="P54" s="119"/>
      <c r="Q54" s="112">
        <v>1</v>
      </c>
      <c r="R54" s="112">
        <v>1</v>
      </c>
      <c r="S54" s="147">
        <f t="shared" si="8"/>
        <v>1</v>
      </c>
      <c r="T54" s="150" t="str">
        <f>_xlfn.IFNA(VLOOKUP(S54,Parameter!$D$53:$E$77,2),"")</f>
        <v>RENDAH</v>
      </c>
      <c r="U54" s="130"/>
      <c r="V54" s="124" t="s">
        <v>386</v>
      </c>
      <c r="W54" s="124" t="s">
        <v>386</v>
      </c>
      <c r="X54" s="124" t="s">
        <v>386</v>
      </c>
      <c r="Y54" s="124" t="s">
        <v>297</v>
      </c>
      <c r="Z54" s="124" t="s">
        <v>310</v>
      </c>
      <c r="AA54" s="126" t="s">
        <v>386</v>
      </c>
      <c r="AB54" s="111" t="s">
        <v>386</v>
      </c>
      <c r="AC54" s="156">
        <v>46387</v>
      </c>
      <c r="AD54" s="163">
        <v>46102</v>
      </c>
      <c r="AE54" s="115" t="s">
        <v>386</v>
      </c>
      <c r="AF54" s="163"/>
      <c r="AG54" s="115"/>
      <c r="AH54" s="163"/>
      <c r="AI54" s="115"/>
      <c r="AJ54" s="163"/>
      <c r="AK54" s="115"/>
      <c r="AL54" s="169">
        <f t="shared" si="13"/>
        <v>1</v>
      </c>
      <c r="AM54" s="112">
        <f t="shared" si="14"/>
        <v>1</v>
      </c>
      <c r="AN54" s="171">
        <f t="shared" si="11"/>
        <v>1</v>
      </c>
      <c r="AO54" s="150" t="str">
        <f>_xlfn.IFNA(VLOOKUP(AN54,Parameter!$D$53:$E$77,2),"")</f>
        <v>RENDAH</v>
      </c>
      <c r="AP54" s="167" t="s">
        <v>379</v>
      </c>
      <c r="AQ54" s="116"/>
    </row>
    <row r="55" spans="1:43" ht="126" x14ac:dyDescent="0.3">
      <c r="A55" s="114" t="s">
        <v>48</v>
      </c>
      <c r="B55" s="112">
        <f t="shared" si="12"/>
        <v>41</v>
      </c>
      <c r="C55" s="124" t="s">
        <v>1139</v>
      </c>
      <c r="D55" s="169" t="s">
        <v>302</v>
      </c>
      <c r="E55" s="176" t="s">
        <v>256</v>
      </c>
      <c r="F55" s="118" t="s">
        <v>367</v>
      </c>
      <c r="G55" s="117" t="s">
        <v>377</v>
      </c>
      <c r="H55" s="173" t="s">
        <v>50</v>
      </c>
      <c r="I55" s="127"/>
      <c r="J55" s="113"/>
      <c r="K55" s="113"/>
      <c r="L55" s="113"/>
      <c r="M55" s="113"/>
      <c r="N55" s="117" t="s">
        <v>385</v>
      </c>
      <c r="O55" s="120"/>
      <c r="P55" s="119"/>
      <c r="Q55" s="112">
        <v>1</v>
      </c>
      <c r="R55" s="112">
        <v>1</v>
      </c>
      <c r="S55" s="147">
        <f t="shared" si="8"/>
        <v>1</v>
      </c>
      <c r="T55" s="150" t="str">
        <f>_xlfn.IFNA(VLOOKUP(S55,Parameter!$D$53:$E$77,2),"")</f>
        <v>RENDAH</v>
      </c>
      <c r="U55" s="130"/>
      <c r="V55" s="124" t="s">
        <v>386</v>
      </c>
      <c r="W55" s="124" t="s">
        <v>386</v>
      </c>
      <c r="X55" s="124" t="s">
        <v>386</v>
      </c>
      <c r="Y55" s="124" t="s">
        <v>750</v>
      </c>
      <c r="Z55" s="124"/>
      <c r="AA55" s="126" t="s">
        <v>386</v>
      </c>
      <c r="AB55" s="111" t="s">
        <v>386</v>
      </c>
      <c r="AC55" s="156">
        <v>46387</v>
      </c>
      <c r="AD55" s="163">
        <v>46102</v>
      </c>
      <c r="AE55" s="115" t="s">
        <v>386</v>
      </c>
      <c r="AF55" s="163"/>
      <c r="AG55" s="115"/>
      <c r="AH55" s="163"/>
      <c r="AI55" s="115"/>
      <c r="AJ55" s="163"/>
      <c r="AK55" s="115"/>
      <c r="AL55" s="169">
        <f t="shared" si="13"/>
        <v>1</v>
      </c>
      <c r="AM55" s="112">
        <f t="shared" si="14"/>
        <v>1</v>
      </c>
      <c r="AN55" s="171">
        <f t="shared" si="11"/>
        <v>1</v>
      </c>
      <c r="AO55" s="150" t="str">
        <f>_xlfn.IFNA(VLOOKUP(AN55,Parameter!$D$53:$E$77,2),"")</f>
        <v>RENDAH</v>
      </c>
      <c r="AP55" s="167" t="s">
        <v>379</v>
      </c>
      <c r="AQ55" s="116"/>
    </row>
    <row r="56" spans="1:43" ht="162" x14ac:dyDescent="0.3">
      <c r="A56" s="114" t="s">
        <v>48</v>
      </c>
      <c r="B56" s="112">
        <f t="shared" si="12"/>
        <v>42</v>
      </c>
      <c r="C56" s="124" t="s">
        <v>1140</v>
      </c>
      <c r="D56" s="169" t="s">
        <v>302</v>
      </c>
      <c r="E56" s="176" t="s">
        <v>256</v>
      </c>
      <c r="F56" s="118" t="s">
        <v>367</v>
      </c>
      <c r="G56" s="117" t="s">
        <v>377</v>
      </c>
      <c r="H56" s="173" t="s">
        <v>50</v>
      </c>
      <c r="I56" s="127"/>
      <c r="J56" s="113"/>
      <c r="K56" s="113"/>
      <c r="L56" s="113"/>
      <c r="M56" s="113"/>
      <c r="N56" s="117" t="s">
        <v>385</v>
      </c>
      <c r="O56" s="120"/>
      <c r="P56" s="119"/>
      <c r="Q56" s="112">
        <v>1</v>
      </c>
      <c r="R56" s="112">
        <v>1</v>
      </c>
      <c r="S56" s="147">
        <f t="shared" si="8"/>
        <v>1</v>
      </c>
      <c r="T56" s="150" t="str">
        <f>_xlfn.IFNA(VLOOKUP(S56,Parameter!$D$53:$E$77,2),"")</f>
        <v>RENDAH</v>
      </c>
      <c r="U56" s="130"/>
      <c r="V56" s="124" t="s">
        <v>386</v>
      </c>
      <c r="W56" s="124" t="s">
        <v>386</v>
      </c>
      <c r="X56" s="124" t="s">
        <v>386</v>
      </c>
      <c r="Y56" s="124" t="s">
        <v>747</v>
      </c>
      <c r="Z56" s="124"/>
      <c r="AA56" s="126" t="s">
        <v>386</v>
      </c>
      <c r="AB56" s="111" t="s">
        <v>386</v>
      </c>
      <c r="AC56" s="156">
        <v>46387</v>
      </c>
      <c r="AD56" s="163">
        <v>46102</v>
      </c>
      <c r="AE56" s="115" t="s">
        <v>386</v>
      </c>
      <c r="AF56" s="163"/>
      <c r="AG56" s="115"/>
      <c r="AH56" s="163"/>
      <c r="AI56" s="115"/>
      <c r="AJ56" s="163"/>
      <c r="AK56" s="115"/>
      <c r="AL56" s="169">
        <f t="shared" si="13"/>
        <v>1</v>
      </c>
      <c r="AM56" s="112">
        <f t="shared" si="14"/>
        <v>1</v>
      </c>
      <c r="AN56" s="171">
        <f t="shared" si="11"/>
        <v>1</v>
      </c>
      <c r="AO56" s="150" t="str">
        <f>_xlfn.IFNA(VLOOKUP(AN56,Parameter!$D$53:$E$77,2),"")</f>
        <v>RENDAH</v>
      </c>
      <c r="AP56" s="167" t="s">
        <v>379</v>
      </c>
      <c r="AQ56" s="116"/>
    </row>
    <row r="57" spans="1:43" ht="144" x14ac:dyDescent="0.3">
      <c r="A57" s="114" t="s">
        <v>48</v>
      </c>
      <c r="B57" s="112">
        <f t="shared" si="12"/>
        <v>43</v>
      </c>
      <c r="C57" s="124" t="s">
        <v>1141</v>
      </c>
      <c r="D57" s="169" t="s">
        <v>302</v>
      </c>
      <c r="E57" s="176" t="s">
        <v>256</v>
      </c>
      <c r="F57" s="118" t="s">
        <v>367</v>
      </c>
      <c r="G57" s="117" t="s">
        <v>377</v>
      </c>
      <c r="H57" s="173" t="s">
        <v>50</v>
      </c>
      <c r="I57" s="127"/>
      <c r="J57" s="113"/>
      <c r="K57" s="113"/>
      <c r="L57" s="113"/>
      <c r="M57" s="113"/>
      <c r="N57" s="117" t="s">
        <v>385</v>
      </c>
      <c r="O57" s="120"/>
      <c r="P57" s="119"/>
      <c r="Q57" s="112">
        <v>1</v>
      </c>
      <c r="R57" s="112">
        <v>1</v>
      </c>
      <c r="S57" s="147">
        <f t="shared" si="8"/>
        <v>1</v>
      </c>
      <c r="T57" s="150" t="str">
        <f>_xlfn.IFNA(VLOOKUP(S57,Parameter!$D$53:$E$77,2),"")</f>
        <v>RENDAH</v>
      </c>
      <c r="U57" s="130"/>
      <c r="V57" s="124" t="s">
        <v>386</v>
      </c>
      <c r="W57" s="124" t="s">
        <v>386</v>
      </c>
      <c r="X57" s="124" t="s">
        <v>386</v>
      </c>
      <c r="Y57" s="124" t="s">
        <v>747</v>
      </c>
      <c r="Z57" s="124"/>
      <c r="AA57" s="126" t="s">
        <v>386</v>
      </c>
      <c r="AB57" s="111" t="s">
        <v>386</v>
      </c>
      <c r="AC57" s="156">
        <v>46387</v>
      </c>
      <c r="AD57" s="163">
        <v>46102</v>
      </c>
      <c r="AE57" s="115" t="s">
        <v>386</v>
      </c>
      <c r="AF57" s="163"/>
      <c r="AG57" s="115"/>
      <c r="AH57" s="163"/>
      <c r="AI57" s="115"/>
      <c r="AJ57" s="163"/>
      <c r="AK57" s="115"/>
      <c r="AL57" s="169">
        <f t="shared" si="13"/>
        <v>1</v>
      </c>
      <c r="AM57" s="112">
        <f t="shared" si="14"/>
        <v>1</v>
      </c>
      <c r="AN57" s="171">
        <f t="shared" si="11"/>
        <v>1</v>
      </c>
      <c r="AO57" s="150" t="str">
        <f>_xlfn.IFNA(VLOOKUP(AN57,Parameter!$D$53:$E$77,2),"")</f>
        <v>RENDAH</v>
      </c>
      <c r="AP57" s="167" t="s">
        <v>379</v>
      </c>
      <c r="AQ57" s="116"/>
    </row>
    <row r="58" spans="1:43" ht="162" x14ac:dyDescent="0.3">
      <c r="A58" s="114" t="s">
        <v>48</v>
      </c>
      <c r="B58" s="112">
        <f t="shared" si="12"/>
        <v>44</v>
      </c>
      <c r="C58" s="124" t="s">
        <v>1142</v>
      </c>
      <c r="D58" s="169" t="s">
        <v>302</v>
      </c>
      <c r="E58" s="176" t="s">
        <v>256</v>
      </c>
      <c r="F58" s="118" t="s">
        <v>367</v>
      </c>
      <c r="G58" s="117" t="s">
        <v>377</v>
      </c>
      <c r="H58" s="173" t="s">
        <v>50</v>
      </c>
      <c r="I58" s="127"/>
      <c r="J58" s="113"/>
      <c r="K58" s="113"/>
      <c r="L58" s="113"/>
      <c r="M58" s="113"/>
      <c r="N58" s="117" t="s">
        <v>385</v>
      </c>
      <c r="O58" s="120"/>
      <c r="P58" s="119"/>
      <c r="Q58" s="112">
        <v>1</v>
      </c>
      <c r="R58" s="112">
        <v>1</v>
      </c>
      <c r="S58" s="147">
        <f t="shared" si="8"/>
        <v>1</v>
      </c>
      <c r="T58" s="150" t="str">
        <f>_xlfn.IFNA(VLOOKUP(S58,Parameter!$D$53:$E$77,2),"")</f>
        <v>RENDAH</v>
      </c>
      <c r="U58" s="130"/>
      <c r="V58" s="124" t="s">
        <v>386</v>
      </c>
      <c r="W58" s="124" t="s">
        <v>386</v>
      </c>
      <c r="X58" s="124" t="s">
        <v>386</v>
      </c>
      <c r="Y58" s="124" t="s">
        <v>747</v>
      </c>
      <c r="Z58" s="124"/>
      <c r="AA58" s="126" t="s">
        <v>386</v>
      </c>
      <c r="AB58" s="111" t="s">
        <v>386</v>
      </c>
      <c r="AC58" s="156">
        <v>46387</v>
      </c>
      <c r="AD58" s="163">
        <v>46102</v>
      </c>
      <c r="AE58" s="115" t="s">
        <v>386</v>
      </c>
      <c r="AF58" s="163"/>
      <c r="AG58" s="115"/>
      <c r="AH58" s="163"/>
      <c r="AI58" s="115"/>
      <c r="AJ58" s="163"/>
      <c r="AK58" s="115"/>
      <c r="AL58" s="169">
        <f t="shared" si="13"/>
        <v>1</v>
      </c>
      <c r="AM58" s="112">
        <f t="shared" si="14"/>
        <v>1</v>
      </c>
      <c r="AN58" s="171">
        <f t="shared" si="11"/>
        <v>1</v>
      </c>
      <c r="AO58" s="150" t="str">
        <f>_xlfn.IFNA(VLOOKUP(AN58,Parameter!$D$53:$E$77,2),"")</f>
        <v>RENDAH</v>
      </c>
      <c r="AP58" s="167" t="s">
        <v>379</v>
      </c>
      <c r="AQ58" s="116"/>
    </row>
    <row r="59" spans="1:43" ht="162" x14ac:dyDescent="0.3">
      <c r="A59" s="114" t="s">
        <v>48</v>
      </c>
      <c r="B59" s="112">
        <f t="shared" si="12"/>
        <v>45</v>
      </c>
      <c r="C59" s="124" t="s">
        <v>1143</v>
      </c>
      <c r="D59" s="169" t="s">
        <v>302</v>
      </c>
      <c r="E59" s="176" t="s">
        <v>256</v>
      </c>
      <c r="F59" s="118" t="s">
        <v>368</v>
      </c>
      <c r="G59" s="117" t="s">
        <v>49</v>
      </c>
      <c r="H59" s="173" t="s">
        <v>50</v>
      </c>
      <c r="I59" s="127"/>
      <c r="J59" s="113"/>
      <c r="K59" s="113"/>
      <c r="L59" s="113"/>
      <c r="M59" s="113"/>
      <c r="N59" s="117"/>
      <c r="O59" s="120"/>
      <c r="P59" s="119"/>
      <c r="Q59" s="112">
        <v>1</v>
      </c>
      <c r="R59" s="112">
        <v>1</v>
      </c>
      <c r="S59" s="147">
        <f t="shared" si="8"/>
        <v>1</v>
      </c>
      <c r="T59" s="150" t="str">
        <f>_xlfn.IFNA(VLOOKUP(S59,Parameter!$D$53:$E$77,2),"")</f>
        <v>RENDAH</v>
      </c>
      <c r="U59" s="130"/>
      <c r="V59" s="124"/>
      <c r="W59" s="124"/>
      <c r="X59" s="124"/>
      <c r="Y59" s="124"/>
      <c r="Z59" s="124"/>
      <c r="AA59" s="126"/>
      <c r="AB59" s="145"/>
      <c r="AC59" s="156">
        <v>46387</v>
      </c>
      <c r="AD59" s="163">
        <v>46102</v>
      </c>
      <c r="AE59" s="115"/>
      <c r="AF59" s="163"/>
      <c r="AG59" s="115"/>
      <c r="AH59" s="163"/>
      <c r="AI59" s="115"/>
      <c r="AJ59" s="163"/>
      <c r="AK59" s="115"/>
      <c r="AL59" s="169">
        <f t="shared" si="13"/>
        <v>1</v>
      </c>
      <c r="AM59" s="112">
        <f t="shared" si="14"/>
        <v>1</v>
      </c>
      <c r="AN59" s="171">
        <f t="shared" si="11"/>
        <v>1</v>
      </c>
      <c r="AO59" s="150" t="str">
        <f>_xlfn.IFNA(VLOOKUP(AN59,Parameter!$D$53:$E$77,2),"")</f>
        <v>RENDAH</v>
      </c>
      <c r="AP59" s="167" t="s">
        <v>379</v>
      </c>
      <c r="AQ59" s="116"/>
    </row>
    <row r="60" spans="1:43" ht="144" x14ac:dyDescent="0.3">
      <c r="A60" s="114" t="s">
        <v>48</v>
      </c>
      <c r="B60" s="112">
        <f t="shared" si="12"/>
        <v>46</v>
      </c>
      <c r="C60" s="124" t="s">
        <v>1235</v>
      </c>
      <c r="D60" s="169" t="s">
        <v>302</v>
      </c>
      <c r="E60" s="176" t="s">
        <v>256</v>
      </c>
      <c r="F60" s="118" t="s">
        <v>368</v>
      </c>
      <c r="G60" s="117" t="s">
        <v>49</v>
      </c>
      <c r="H60" s="173" t="s">
        <v>190</v>
      </c>
      <c r="I60" s="127"/>
      <c r="J60" s="113"/>
      <c r="K60" s="113"/>
      <c r="L60" s="113"/>
      <c r="M60" s="113"/>
      <c r="N60" s="117"/>
      <c r="O60" s="120"/>
      <c r="P60" s="119"/>
      <c r="Q60" s="112">
        <v>1</v>
      </c>
      <c r="R60" s="112">
        <v>1</v>
      </c>
      <c r="S60" s="147">
        <f t="shared" si="8"/>
        <v>1</v>
      </c>
      <c r="T60" s="150" t="str">
        <f>_xlfn.IFNA(VLOOKUP(S60,Parameter!$D$53:$E$77,2),"")</f>
        <v>RENDAH</v>
      </c>
      <c r="U60" s="130"/>
      <c r="V60" s="124"/>
      <c r="W60" s="124"/>
      <c r="X60" s="124"/>
      <c r="Y60" s="124"/>
      <c r="Z60" s="124"/>
      <c r="AA60" s="126"/>
      <c r="AB60" s="145"/>
      <c r="AC60" s="156">
        <v>46387</v>
      </c>
      <c r="AD60" s="163">
        <v>46102</v>
      </c>
      <c r="AE60" s="115"/>
      <c r="AF60" s="163"/>
      <c r="AG60" s="115"/>
      <c r="AH60" s="163"/>
      <c r="AI60" s="115"/>
      <c r="AJ60" s="163"/>
      <c r="AK60" s="115"/>
      <c r="AL60" s="169">
        <f t="shared" si="13"/>
        <v>1</v>
      </c>
      <c r="AM60" s="112">
        <f t="shared" si="14"/>
        <v>1</v>
      </c>
      <c r="AN60" s="171">
        <f t="shared" si="11"/>
        <v>1</v>
      </c>
      <c r="AO60" s="150" t="str">
        <f>_xlfn.IFNA(VLOOKUP(AN60,Parameter!$D$53:$E$77,2),"")</f>
        <v>RENDAH</v>
      </c>
      <c r="AP60" s="167" t="s">
        <v>379</v>
      </c>
      <c r="AQ60" s="116"/>
    </row>
    <row r="61" spans="1:43" ht="162" x14ac:dyDescent="0.3">
      <c r="A61" s="114" t="s">
        <v>48</v>
      </c>
      <c r="B61" s="112">
        <f t="shared" si="12"/>
        <v>47</v>
      </c>
      <c r="C61" s="124" t="s">
        <v>1144</v>
      </c>
      <c r="D61" s="169" t="s">
        <v>269</v>
      </c>
      <c r="E61" s="176" t="s">
        <v>256</v>
      </c>
      <c r="F61" s="118" t="s">
        <v>367</v>
      </c>
      <c r="G61" s="117" t="s">
        <v>377</v>
      </c>
      <c r="H61" s="173" t="s">
        <v>50</v>
      </c>
      <c r="I61" s="127"/>
      <c r="J61" s="113"/>
      <c r="K61" s="113"/>
      <c r="L61" s="113"/>
      <c r="M61" s="113"/>
      <c r="N61" s="117" t="s">
        <v>385</v>
      </c>
      <c r="O61" s="120"/>
      <c r="P61" s="119"/>
      <c r="Q61" s="112">
        <v>1</v>
      </c>
      <c r="R61" s="112">
        <v>1</v>
      </c>
      <c r="S61" s="147">
        <f t="shared" si="8"/>
        <v>1</v>
      </c>
      <c r="T61" s="150" t="str">
        <f>_xlfn.IFNA(VLOOKUP(S61,Parameter!$D$53:$E$77,2),"")</f>
        <v>RENDAH</v>
      </c>
      <c r="U61" s="130"/>
      <c r="V61" s="124" t="s">
        <v>386</v>
      </c>
      <c r="W61" s="124" t="s">
        <v>386</v>
      </c>
      <c r="X61" s="124" t="s">
        <v>386</v>
      </c>
      <c r="Y61" s="124" t="s">
        <v>267</v>
      </c>
      <c r="Z61" s="124"/>
      <c r="AA61" s="126" t="s">
        <v>386</v>
      </c>
      <c r="AB61" s="111" t="s">
        <v>386</v>
      </c>
      <c r="AC61" s="156">
        <v>46387</v>
      </c>
      <c r="AD61" s="163">
        <v>46102</v>
      </c>
      <c r="AE61" s="115" t="s">
        <v>386</v>
      </c>
      <c r="AF61" s="163"/>
      <c r="AG61" s="115"/>
      <c r="AH61" s="163"/>
      <c r="AI61" s="115"/>
      <c r="AJ61" s="163"/>
      <c r="AK61" s="115"/>
      <c r="AL61" s="169">
        <f t="shared" si="13"/>
        <v>1</v>
      </c>
      <c r="AM61" s="112">
        <f t="shared" si="14"/>
        <v>1</v>
      </c>
      <c r="AN61" s="171">
        <f t="shared" si="11"/>
        <v>1</v>
      </c>
      <c r="AO61" s="150" t="str">
        <f>_xlfn.IFNA(VLOOKUP(AN61,Parameter!$D$53:$E$77,2),"")</f>
        <v>RENDAH</v>
      </c>
      <c r="AP61" s="167" t="s">
        <v>379</v>
      </c>
      <c r="AQ61" s="116"/>
    </row>
    <row r="62" spans="1:43" ht="198" x14ac:dyDescent="0.3">
      <c r="A62" s="114" t="s">
        <v>48</v>
      </c>
      <c r="B62" s="112">
        <f t="shared" si="12"/>
        <v>48</v>
      </c>
      <c r="C62" s="124" t="s">
        <v>1145</v>
      </c>
      <c r="D62" s="169" t="s">
        <v>997</v>
      </c>
      <c r="E62" s="176" t="s">
        <v>256</v>
      </c>
      <c r="F62" s="118" t="s">
        <v>367</v>
      </c>
      <c r="G62" s="117" t="s">
        <v>377</v>
      </c>
      <c r="H62" s="173" t="s">
        <v>50</v>
      </c>
      <c r="I62" s="127"/>
      <c r="J62" s="113"/>
      <c r="K62" s="113"/>
      <c r="L62" s="113"/>
      <c r="M62" s="113"/>
      <c r="N62" s="117" t="s">
        <v>385</v>
      </c>
      <c r="O62" s="120"/>
      <c r="P62" s="119"/>
      <c r="Q62" s="112">
        <v>1</v>
      </c>
      <c r="R62" s="112">
        <v>1</v>
      </c>
      <c r="S62" s="147">
        <f t="shared" si="8"/>
        <v>1</v>
      </c>
      <c r="T62" s="150" t="str">
        <f>_xlfn.IFNA(VLOOKUP(S62,Parameter!$D$53:$E$77,2),"")</f>
        <v>RENDAH</v>
      </c>
      <c r="U62" s="130"/>
      <c r="V62" s="124" t="s">
        <v>386</v>
      </c>
      <c r="W62" s="124" t="s">
        <v>386</v>
      </c>
      <c r="X62" s="124" t="s">
        <v>386</v>
      </c>
      <c r="Y62" s="124" t="s">
        <v>337</v>
      </c>
      <c r="Z62" s="124"/>
      <c r="AA62" s="126" t="s">
        <v>386</v>
      </c>
      <c r="AB62" s="111" t="s">
        <v>386</v>
      </c>
      <c r="AC62" s="156">
        <v>46387</v>
      </c>
      <c r="AD62" s="163">
        <v>46102</v>
      </c>
      <c r="AE62" s="115" t="s">
        <v>386</v>
      </c>
      <c r="AF62" s="163"/>
      <c r="AG62" s="115"/>
      <c r="AH62" s="163"/>
      <c r="AI62" s="115"/>
      <c r="AJ62" s="163"/>
      <c r="AK62" s="115"/>
      <c r="AL62" s="169">
        <f t="shared" si="13"/>
        <v>1</v>
      </c>
      <c r="AM62" s="112">
        <f t="shared" si="14"/>
        <v>1</v>
      </c>
      <c r="AN62" s="171">
        <f t="shared" si="11"/>
        <v>1</v>
      </c>
      <c r="AO62" s="150" t="str">
        <f>_xlfn.IFNA(VLOOKUP(AN62,Parameter!$D$53:$E$77,2),"")</f>
        <v>RENDAH</v>
      </c>
      <c r="AP62" s="167" t="s">
        <v>379</v>
      </c>
      <c r="AQ62" s="116"/>
    </row>
    <row r="63" spans="1:43" ht="180" x14ac:dyDescent="0.3">
      <c r="A63" s="114" t="s">
        <v>48</v>
      </c>
      <c r="B63" s="112">
        <f t="shared" si="12"/>
        <v>49</v>
      </c>
      <c r="C63" s="124" t="s">
        <v>1146</v>
      </c>
      <c r="D63" s="169" t="s">
        <v>997</v>
      </c>
      <c r="E63" s="176" t="s">
        <v>256</v>
      </c>
      <c r="F63" s="118" t="s">
        <v>367</v>
      </c>
      <c r="G63" s="117" t="s">
        <v>377</v>
      </c>
      <c r="H63" s="173" t="s">
        <v>50</v>
      </c>
      <c r="I63" s="127"/>
      <c r="J63" s="113"/>
      <c r="K63" s="113"/>
      <c r="L63" s="113"/>
      <c r="M63" s="113"/>
      <c r="N63" s="117" t="s">
        <v>385</v>
      </c>
      <c r="O63" s="120"/>
      <c r="P63" s="119"/>
      <c r="Q63" s="112">
        <v>1</v>
      </c>
      <c r="R63" s="112">
        <v>1</v>
      </c>
      <c r="S63" s="147">
        <f t="shared" si="8"/>
        <v>1</v>
      </c>
      <c r="T63" s="150" t="str">
        <f>_xlfn.IFNA(VLOOKUP(S63,Parameter!$D$53:$E$77,2),"")</f>
        <v>RENDAH</v>
      </c>
      <c r="U63" s="130"/>
      <c r="V63" s="124" t="s">
        <v>386</v>
      </c>
      <c r="W63" s="124" t="s">
        <v>386</v>
      </c>
      <c r="X63" s="124" t="s">
        <v>386</v>
      </c>
      <c r="Y63" s="124" t="s">
        <v>337</v>
      </c>
      <c r="Z63" s="124"/>
      <c r="AA63" s="126" t="s">
        <v>386</v>
      </c>
      <c r="AB63" s="111" t="s">
        <v>386</v>
      </c>
      <c r="AC63" s="156">
        <v>46387</v>
      </c>
      <c r="AD63" s="163">
        <v>46102</v>
      </c>
      <c r="AE63" s="115" t="s">
        <v>386</v>
      </c>
      <c r="AF63" s="163"/>
      <c r="AG63" s="115"/>
      <c r="AH63" s="163"/>
      <c r="AI63" s="115"/>
      <c r="AJ63" s="163"/>
      <c r="AK63" s="115"/>
      <c r="AL63" s="169">
        <f t="shared" si="13"/>
        <v>1</v>
      </c>
      <c r="AM63" s="112">
        <f t="shared" si="14"/>
        <v>1</v>
      </c>
      <c r="AN63" s="171">
        <f t="shared" si="11"/>
        <v>1</v>
      </c>
      <c r="AO63" s="150" t="str">
        <f>_xlfn.IFNA(VLOOKUP(AN63,Parameter!$D$53:$E$77,2),"")</f>
        <v>RENDAH</v>
      </c>
      <c r="AP63" s="167" t="s">
        <v>379</v>
      </c>
      <c r="AQ63" s="116"/>
    </row>
    <row r="64" spans="1:43" ht="162" x14ac:dyDescent="0.3">
      <c r="A64" s="114" t="s">
        <v>48</v>
      </c>
      <c r="B64" s="112">
        <f t="shared" si="12"/>
        <v>50</v>
      </c>
      <c r="C64" s="124" t="s">
        <v>1147</v>
      </c>
      <c r="D64" s="169" t="s">
        <v>997</v>
      </c>
      <c r="E64" s="176" t="s">
        <v>256</v>
      </c>
      <c r="F64" s="118" t="s">
        <v>367</v>
      </c>
      <c r="G64" s="117" t="s">
        <v>377</v>
      </c>
      <c r="H64" s="173" t="s">
        <v>50</v>
      </c>
      <c r="I64" s="127"/>
      <c r="J64" s="113"/>
      <c r="K64" s="113"/>
      <c r="L64" s="113"/>
      <c r="M64" s="113"/>
      <c r="N64" s="117" t="s">
        <v>385</v>
      </c>
      <c r="O64" s="120"/>
      <c r="P64" s="119"/>
      <c r="Q64" s="112">
        <v>1</v>
      </c>
      <c r="R64" s="112">
        <v>1</v>
      </c>
      <c r="S64" s="147">
        <f t="shared" si="8"/>
        <v>1</v>
      </c>
      <c r="T64" s="150" t="str">
        <f>_xlfn.IFNA(VLOOKUP(S64,Parameter!$D$53:$E$77,2),"")</f>
        <v>RENDAH</v>
      </c>
      <c r="U64" s="130"/>
      <c r="V64" s="124" t="s">
        <v>386</v>
      </c>
      <c r="W64" s="124" t="s">
        <v>386</v>
      </c>
      <c r="X64" s="124" t="s">
        <v>386</v>
      </c>
      <c r="Y64" s="124" t="s">
        <v>747</v>
      </c>
      <c r="Z64" s="124" t="s">
        <v>337</v>
      </c>
      <c r="AA64" s="126" t="s">
        <v>386</v>
      </c>
      <c r="AB64" s="111" t="s">
        <v>386</v>
      </c>
      <c r="AC64" s="156">
        <v>46387</v>
      </c>
      <c r="AD64" s="163">
        <v>46102</v>
      </c>
      <c r="AE64" s="115" t="s">
        <v>386</v>
      </c>
      <c r="AF64" s="163"/>
      <c r="AG64" s="115"/>
      <c r="AH64" s="163"/>
      <c r="AI64" s="115"/>
      <c r="AJ64" s="163"/>
      <c r="AK64" s="115"/>
      <c r="AL64" s="169">
        <f t="shared" si="13"/>
        <v>1</v>
      </c>
      <c r="AM64" s="112">
        <f t="shared" si="14"/>
        <v>1</v>
      </c>
      <c r="AN64" s="171">
        <f t="shared" si="11"/>
        <v>1</v>
      </c>
      <c r="AO64" s="150" t="str">
        <f>_xlfn.IFNA(VLOOKUP(AN64,Parameter!$D$53:$E$77,2),"")</f>
        <v>RENDAH</v>
      </c>
      <c r="AP64" s="167" t="s">
        <v>379</v>
      </c>
      <c r="AQ64" s="116"/>
    </row>
    <row r="65" spans="1:43" ht="180" x14ac:dyDescent="0.3">
      <c r="A65" s="114" t="s">
        <v>48</v>
      </c>
      <c r="B65" s="112">
        <f t="shared" si="12"/>
        <v>51</v>
      </c>
      <c r="C65" s="124" t="s">
        <v>1148</v>
      </c>
      <c r="D65" s="169" t="s">
        <v>997</v>
      </c>
      <c r="E65" s="176" t="s">
        <v>256</v>
      </c>
      <c r="F65" s="118" t="s">
        <v>367</v>
      </c>
      <c r="G65" s="117" t="s">
        <v>377</v>
      </c>
      <c r="H65" s="173" t="s">
        <v>50</v>
      </c>
      <c r="I65" s="127"/>
      <c r="J65" s="113"/>
      <c r="K65" s="113"/>
      <c r="L65" s="113"/>
      <c r="M65" s="113"/>
      <c r="N65" s="117" t="s">
        <v>385</v>
      </c>
      <c r="O65" s="120"/>
      <c r="P65" s="119"/>
      <c r="Q65" s="112">
        <v>1</v>
      </c>
      <c r="R65" s="112">
        <v>1</v>
      </c>
      <c r="S65" s="147">
        <f t="shared" si="8"/>
        <v>1</v>
      </c>
      <c r="T65" s="150" t="str">
        <f>_xlfn.IFNA(VLOOKUP(S65,Parameter!$D$53:$E$77,2),"")</f>
        <v>RENDAH</v>
      </c>
      <c r="U65" s="130"/>
      <c r="V65" s="124" t="s">
        <v>386</v>
      </c>
      <c r="W65" s="124" t="s">
        <v>386</v>
      </c>
      <c r="X65" s="124" t="s">
        <v>386</v>
      </c>
      <c r="Y65" s="124" t="s">
        <v>747</v>
      </c>
      <c r="Z65" s="124"/>
      <c r="AA65" s="126" t="s">
        <v>386</v>
      </c>
      <c r="AB65" s="111" t="s">
        <v>386</v>
      </c>
      <c r="AC65" s="156">
        <v>46387</v>
      </c>
      <c r="AD65" s="163">
        <v>46102</v>
      </c>
      <c r="AE65" s="115" t="s">
        <v>386</v>
      </c>
      <c r="AF65" s="163"/>
      <c r="AG65" s="115"/>
      <c r="AH65" s="163"/>
      <c r="AI65" s="115"/>
      <c r="AJ65" s="163"/>
      <c r="AK65" s="115"/>
      <c r="AL65" s="169">
        <f t="shared" si="13"/>
        <v>1</v>
      </c>
      <c r="AM65" s="112">
        <f t="shared" si="14"/>
        <v>1</v>
      </c>
      <c r="AN65" s="171">
        <f t="shared" si="11"/>
        <v>1</v>
      </c>
      <c r="AO65" s="150" t="str">
        <f>_xlfn.IFNA(VLOOKUP(AN65,Parameter!$D$53:$E$77,2),"")</f>
        <v>RENDAH</v>
      </c>
      <c r="AP65" s="167" t="s">
        <v>379</v>
      </c>
      <c r="AQ65" s="116"/>
    </row>
    <row r="66" spans="1:43" ht="162" x14ac:dyDescent="0.3">
      <c r="A66" s="114" t="s">
        <v>48</v>
      </c>
      <c r="B66" s="112">
        <f t="shared" si="12"/>
        <v>52</v>
      </c>
      <c r="C66" s="124" t="s">
        <v>1149</v>
      </c>
      <c r="D66" s="169" t="s">
        <v>997</v>
      </c>
      <c r="E66" s="176" t="s">
        <v>256</v>
      </c>
      <c r="F66" s="118" t="s">
        <v>367</v>
      </c>
      <c r="G66" s="117" t="s">
        <v>377</v>
      </c>
      <c r="H66" s="173" t="s">
        <v>50</v>
      </c>
      <c r="I66" s="127"/>
      <c r="J66" s="113"/>
      <c r="K66" s="113"/>
      <c r="L66" s="113"/>
      <c r="M66" s="113"/>
      <c r="N66" s="117" t="s">
        <v>385</v>
      </c>
      <c r="O66" s="120"/>
      <c r="P66" s="119"/>
      <c r="Q66" s="112">
        <v>1</v>
      </c>
      <c r="R66" s="112">
        <v>1</v>
      </c>
      <c r="S66" s="147">
        <f t="shared" si="8"/>
        <v>1</v>
      </c>
      <c r="T66" s="150" t="str">
        <f>_xlfn.IFNA(VLOOKUP(S66,Parameter!$D$53:$E$77,2),"")</f>
        <v>RENDAH</v>
      </c>
      <c r="U66" s="130"/>
      <c r="V66" s="124" t="s">
        <v>386</v>
      </c>
      <c r="W66" s="124" t="s">
        <v>386</v>
      </c>
      <c r="X66" s="124" t="s">
        <v>386</v>
      </c>
      <c r="Y66" s="124" t="s">
        <v>747</v>
      </c>
      <c r="Z66" s="124"/>
      <c r="AA66" s="126" t="s">
        <v>386</v>
      </c>
      <c r="AB66" s="111" t="s">
        <v>386</v>
      </c>
      <c r="AC66" s="156">
        <v>46387</v>
      </c>
      <c r="AD66" s="163">
        <v>46102</v>
      </c>
      <c r="AE66" s="115" t="s">
        <v>386</v>
      </c>
      <c r="AF66" s="163"/>
      <c r="AG66" s="115"/>
      <c r="AH66" s="163"/>
      <c r="AI66" s="115"/>
      <c r="AJ66" s="163"/>
      <c r="AK66" s="115"/>
      <c r="AL66" s="169">
        <f t="shared" si="13"/>
        <v>1</v>
      </c>
      <c r="AM66" s="112">
        <f t="shared" si="14"/>
        <v>1</v>
      </c>
      <c r="AN66" s="171">
        <f t="shared" si="11"/>
        <v>1</v>
      </c>
      <c r="AO66" s="150" t="str">
        <f>_xlfn.IFNA(VLOOKUP(AN66,Parameter!$D$53:$E$77,2),"")</f>
        <v>RENDAH</v>
      </c>
      <c r="AP66" s="167" t="s">
        <v>379</v>
      </c>
      <c r="AQ66" s="116"/>
    </row>
    <row r="67" spans="1:43" ht="180" x14ac:dyDescent="0.3">
      <c r="A67" s="114" t="s">
        <v>48</v>
      </c>
      <c r="B67" s="112">
        <f t="shared" si="12"/>
        <v>53</v>
      </c>
      <c r="C67" s="124" t="s">
        <v>1150</v>
      </c>
      <c r="D67" s="169" t="s">
        <v>997</v>
      </c>
      <c r="E67" s="176" t="s">
        <v>256</v>
      </c>
      <c r="F67" s="118" t="s">
        <v>367</v>
      </c>
      <c r="G67" s="117" t="s">
        <v>377</v>
      </c>
      <c r="H67" s="173" t="s">
        <v>50</v>
      </c>
      <c r="I67" s="127"/>
      <c r="J67" s="113"/>
      <c r="K67" s="113"/>
      <c r="L67" s="113"/>
      <c r="M67" s="113"/>
      <c r="N67" s="117" t="s">
        <v>385</v>
      </c>
      <c r="O67" s="120"/>
      <c r="P67" s="119"/>
      <c r="Q67" s="112">
        <v>1</v>
      </c>
      <c r="R67" s="112">
        <v>1</v>
      </c>
      <c r="S67" s="147">
        <f t="shared" si="8"/>
        <v>1</v>
      </c>
      <c r="T67" s="150" t="str">
        <f>_xlfn.IFNA(VLOOKUP(S67,Parameter!$D$53:$E$77,2),"")</f>
        <v>RENDAH</v>
      </c>
      <c r="U67" s="130"/>
      <c r="V67" s="124" t="s">
        <v>386</v>
      </c>
      <c r="W67" s="124" t="s">
        <v>386</v>
      </c>
      <c r="X67" s="124" t="s">
        <v>386</v>
      </c>
      <c r="Y67" s="124" t="s">
        <v>747</v>
      </c>
      <c r="Z67" s="124"/>
      <c r="AA67" s="126" t="s">
        <v>386</v>
      </c>
      <c r="AB67" s="111" t="s">
        <v>386</v>
      </c>
      <c r="AC67" s="156">
        <v>46387</v>
      </c>
      <c r="AD67" s="163">
        <v>46102</v>
      </c>
      <c r="AE67" s="115" t="s">
        <v>386</v>
      </c>
      <c r="AF67" s="163"/>
      <c r="AG67" s="115"/>
      <c r="AH67" s="163"/>
      <c r="AI67" s="115"/>
      <c r="AJ67" s="163"/>
      <c r="AK67" s="115"/>
      <c r="AL67" s="169">
        <f t="shared" si="13"/>
        <v>1</v>
      </c>
      <c r="AM67" s="112">
        <f t="shared" si="14"/>
        <v>1</v>
      </c>
      <c r="AN67" s="171">
        <f t="shared" si="11"/>
        <v>1</v>
      </c>
      <c r="AO67" s="150" t="str">
        <f>_xlfn.IFNA(VLOOKUP(AN67,Parameter!$D$53:$E$77,2),"")</f>
        <v>RENDAH</v>
      </c>
      <c r="AP67" s="167" t="s">
        <v>379</v>
      </c>
      <c r="AQ67" s="116"/>
    </row>
    <row r="68" spans="1:43" ht="162" x14ac:dyDescent="0.3">
      <c r="A68" s="114" t="s">
        <v>48</v>
      </c>
      <c r="B68" s="112">
        <f t="shared" si="12"/>
        <v>54</v>
      </c>
      <c r="C68" s="124" t="s">
        <v>1151</v>
      </c>
      <c r="D68" s="169" t="s">
        <v>997</v>
      </c>
      <c r="E68" s="176" t="s">
        <v>256</v>
      </c>
      <c r="F68" s="118" t="s">
        <v>367</v>
      </c>
      <c r="G68" s="117" t="s">
        <v>377</v>
      </c>
      <c r="H68" s="173" t="s">
        <v>50</v>
      </c>
      <c r="I68" s="127"/>
      <c r="J68" s="113"/>
      <c r="K68" s="113"/>
      <c r="L68" s="113"/>
      <c r="M68" s="113"/>
      <c r="N68" s="117" t="s">
        <v>385</v>
      </c>
      <c r="O68" s="120"/>
      <c r="P68" s="119"/>
      <c r="Q68" s="112">
        <v>1</v>
      </c>
      <c r="R68" s="112">
        <v>1</v>
      </c>
      <c r="S68" s="147">
        <f t="shared" si="8"/>
        <v>1</v>
      </c>
      <c r="T68" s="150" t="str">
        <f>_xlfn.IFNA(VLOOKUP(S68,Parameter!$D$53:$E$77,2),"")</f>
        <v>RENDAH</v>
      </c>
      <c r="U68" s="130"/>
      <c r="V68" s="124" t="s">
        <v>386</v>
      </c>
      <c r="W68" s="124" t="s">
        <v>386</v>
      </c>
      <c r="X68" s="124" t="s">
        <v>386</v>
      </c>
      <c r="Y68" s="124" t="s">
        <v>747</v>
      </c>
      <c r="Z68" s="124"/>
      <c r="AA68" s="126" t="s">
        <v>386</v>
      </c>
      <c r="AB68" s="111" t="s">
        <v>386</v>
      </c>
      <c r="AC68" s="156">
        <v>46387</v>
      </c>
      <c r="AD68" s="163">
        <v>46102</v>
      </c>
      <c r="AE68" s="115" t="s">
        <v>386</v>
      </c>
      <c r="AF68" s="163"/>
      <c r="AG68" s="115"/>
      <c r="AH68" s="163"/>
      <c r="AI68" s="115"/>
      <c r="AJ68" s="163"/>
      <c r="AK68" s="115"/>
      <c r="AL68" s="169">
        <f t="shared" si="13"/>
        <v>1</v>
      </c>
      <c r="AM68" s="112">
        <f t="shared" si="14"/>
        <v>1</v>
      </c>
      <c r="AN68" s="171">
        <f t="shared" si="11"/>
        <v>1</v>
      </c>
      <c r="AO68" s="150" t="str">
        <f>_xlfn.IFNA(VLOOKUP(AN68,Parameter!$D$53:$E$77,2),"")</f>
        <v>RENDAH</v>
      </c>
      <c r="AP68" s="167" t="s">
        <v>379</v>
      </c>
      <c r="AQ68" s="116"/>
    </row>
    <row r="69" spans="1:43" ht="162" x14ac:dyDescent="0.3">
      <c r="A69" s="114" t="s">
        <v>48</v>
      </c>
      <c r="B69" s="112">
        <f t="shared" si="12"/>
        <v>55</v>
      </c>
      <c r="C69" s="124" t="s">
        <v>1152</v>
      </c>
      <c r="D69" s="169" t="s">
        <v>997</v>
      </c>
      <c r="E69" s="176" t="s">
        <v>256</v>
      </c>
      <c r="F69" s="118" t="s">
        <v>367</v>
      </c>
      <c r="G69" s="117" t="s">
        <v>377</v>
      </c>
      <c r="H69" s="173" t="s">
        <v>50</v>
      </c>
      <c r="I69" s="127"/>
      <c r="J69" s="113"/>
      <c r="K69" s="113"/>
      <c r="L69" s="113"/>
      <c r="M69" s="113"/>
      <c r="N69" s="117" t="s">
        <v>385</v>
      </c>
      <c r="O69" s="120"/>
      <c r="P69" s="119"/>
      <c r="Q69" s="112">
        <v>1</v>
      </c>
      <c r="R69" s="112">
        <v>1</v>
      </c>
      <c r="S69" s="147">
        <f t="shared" si="8"/>
        <v>1</v>
      </c>
      <c r="T69" s="150" t="str">
        <f>_xlfn.IFNA(VLOOKUP(S69,Parameter!$D$53:$E$77,2),"")</f>
        <v>RENDAH</v>
      </c>
      <c r="U69" s="130"/>
      <c r="V69" s="124" t="s">
        <v>386</v>
      </c>
      <c r="W69" s="124" t="s">
        <v>386</v>
      </c>
      <c r="X69" s="124" t="s">
        <v>386</v>
      </c>
      <c r="Y69" s="124" t="s">
        <v>747</v>
      </c>
      <c r="Z69" s="124"/>
      <c r="AA69" s="126" t="s">
        <v>386</v>
      </c>
      <c r="AB69" s="111" t="s">
        <v>386</v>
      </c>
      <c r="AC69" s="156">
        <v>46387</v>
      </c>
      <c r="AD69" s="163">
        <v>46102</v>
      </c>
      <c r="AE69" s="115" t="s">
        <v>386</v>
      </c>
      <c r="AF69" s="163"/>
      <c r="AG69" s="115"/>
      <c r="AH69" s="163"/>
      <c r="AI69" s="115"/>
      <c r="AJ69" s="163"/>
      <c r="AK69" s="115"/>
      <c r="AL69" s="169">
        <f t="shared" si="13"/>
        <v>1</v>
      </c>
      <c r="AM69" s="112">
        <f t="shared" si="14"/>
        <v>1</v>
      </c>
      <c r="AN69" s="171">
        <f t="shared" si="11"/>
        <v>1</v>
      </c>
      <c r="AO69" s="150" t="str">
        <f>_xlfn.IFNA(VLOOKUP(AN69,Parameter!$D$53:$E$77,2),"")</f>
        <v>RENDAH</v>
      </c>
      <c r="AP69" s="167" t="s">
        <v>379</v>
      </c>
      <c r="AQ69" s="116"/>
    </row>
    <row r="70" spans="1:43" ht="180" x14ac:dyDescent="0.3">
      <c r="A70" s="114" t="s">
        <v>48</v>
      </c>
      <c r="B70" s="112">
        <f t="shared" si="12"/>
        <v>56</v>
      </c>
      <c r="C70" s="124" t="s">
        <v>1153</v>
      </c>
      <c r="D70" s="169" t="s">
        <v>997</v>
      </c>
      <c r="E70" s="176" t="s">
        <v>256</v>
      </c>
      <c r="F70" s="118" t="s">
        <v>367</v>
      </c>
      <c r="G70" s="117" t="s">
        <v>377</v>
      </c>
      <c r="H70" s="173" t="s">
        <v>50</v>
      </c>
      <c r="I70" s="127"/>
      <c r="J70" s="113"/>
      <c r="K70" s="113"/>
      <c r="L70" s="113"/>
      <c r="M70" s="113"/>
      <c r="N70" s="117" t="s">
        <v>385</v>
      </c>
      <c r="O70" s="120"/>
      <c r="P70" s="119"/>
      <c r="Q70" s="112">
        <v>1</v>
      </c>
      <c r="R70" s="112">
        <v>1</v>
      </c>
      <c r="S70" s="147">
        <f t="shared" si="8"/>
        <v>1</v>
      </c>
      <c r="T70" s="150" t="str">
        <f>_xlfn.IFNA(VLOOKUP(S70,Parameter!$D$53:$E$77,2),"")</f>
        <v>RENDAH</v>
      </c>
      <c r="U70" s="130"/>
      <c r="V70" s="124" t="s">
        <v>386</v>
      </c>
      <c r="W70" s="124" t="s">
        <v>386</v>
      </c>
      <c r="X70" s="124" t="s">
        <v>386</v>
      </c>
      <c r="Y70" s="124" t="s">
        <v>747</v>
      </c>
      <c r="Z70" s="124"/>
      <c r="AA70" s="126" t="s">
        <v>386</v>
      </c>
      <c r="AB70" s="111" t="s">
        <v>386</v>
      </c>
      <c r="AC70" s="156">
        <v>46387</v>
      </c>
      <c r="AD70" s="163">
        <v>46102</v>
      </c>
      <c r="AE70" s="115" t="s">
        <v>386</v>
      </c>
      <c r="AF70" s="163"/>
      <c r="AG70" s="115"/>
      <c r="AH70" s="163"/>
      <c r="AI70" s="115"/>
      <c r="AJ70" s="163"/>
      <c r="AK70" s="115"/>
      <c r="AL70" s="169">
        <f t="shared" si="13"/>
        <v>1</v>
      </c>
      <c r="AM70" s="112">
        <f t="shared" si="14"/>
        <v>1</v>
      </c>
      <c r="AN70" s="171">
        <f t="shared" si="11"/>
        <v>1</v>
      </c>
      <c r="AO70" s="150" t="str">
        <f>_xlfn.IFNA(VLOOKUP(AN70,Parameter!$D$53:$E$77,2),"")</f>
        <v>RENDAH</v>
      </c>
      <c r="AP70" s="167" t="s">
        <v>379</v>
      </c>
      <c r="AQ70" s="116"/>
    </row>
    <row r="71" spans="1:43" ht="198" x14ac:dyDescent="0.3">
      <c r="A71" s="114" t="s">
        <v>48</v>
      </c>
      <c r="B71" s="112">
        <f t="shared" si="12"/>
        <v>57</v>
      </c>
      <c r="C71" s="124" t="s">
        <v>1154</v>
      </c>
      <c r="D71" s="169" t="s">
        <v>997</v>
      </c>
      <c r="E71" s="176" t="s">
        <v>256</v>
      </c>
      <c r="F71" s="118" t="s">
        <v>367</v>
      </c>
      <c r="G71" s="117" t="s">
        <v>377</v>
      </c>
      <c r="H71" s="173" t="s">
        <v>50</v>
      </c>
      <c r="I71" s="127"/>
      <c r="J71" s="113"/>
      <c r="K71" s="113"/>
      <c r="L71" s="113"/>
      <c r="M71" s="113"/>
      <c r="N71" s="117" t="s">
        <v>385</v>
      </c>
      <c r="O71" s="120"/>
      <c r="P71" s="119"/>
      <c r="Q71" s="112">
        <v>1</v>
      </c>
      <c r="R71" s="112">
        <v>1</v>
      </c>
      <c r="S71" s="147">
        <f t="shared" si="8"/>
        <v>1</v>
      </c>
      <c r="T71" s="150" t="str">
        <f>_xlfn.IFNA(VLOOKUP(S71,Parameter!$D$53:$E$77,2),"")</f>
        <v>RENDAH</v>
      </c>
      <c r="U71" s="130"/>
      <c r="V71" s="124" t="s">
        <v>386</v>
      </c>
      <c r="W71" s="124" t="s">
        <v>386</v>
      </c>
      <c r="X71" s="124" t="s">
        <v>386</v>
      </c>
      <c r="Y71" s="124" t="s">
        <v>747</v>
      </c>
      <c r="Z71" s="124"/>
      <c r="AA71" s="126" t="s">
        <v>386</v>
      </c>
      <c r="AB71" s="111" t="s">
        <v>386</v>
      </c>
      <c r="AC71" s="156">
        <v>46387</v>
      </c>
      <c r="AD71" s="163">
        <v>46102</v>
      </c>
      <c r="AE71" s="115" t="s">
        <v>386</v>
      </c>
      <c r="AF71" s="163"/>
      <c r="AG71" s="115"/>
      <c r="AH71" s="163"/>
      <c r="AI71" s="115"/>
      <c r="AJ71" s="163"/>
      <c r="AK71" s="115"/>
      <c r="AL71" s="169">
        <f t="shared" si="13"/>
        <v>1</v>
      </c>
      <c r="AM71" s="112">
        <f t="shared" si="14"/>
        <v>1</v>
      </c>
      <c r="AN71" s="171">
        <f t="shared" si="11"/>
        <v>1</v>
      </c>
      <c r="AO71" s="150" t="str">
        <f>_xlfn.IFNA(VLOOKUP(AN71,Parameter!$D$53:$E$77,2),"")</f>
        <v>RENDAH</v>
      </c>
      <c r="AP71" s="167" t="s">
        <v>379</v>
      </c>
      <c r="AQ71" s="116"/>
    </row>
    <row r="72" spans="1:43" ht="162" x14ac:dyDescent="0.3">
      <c r="A72" s="114" t="s">
        <v>48</v>
      </c>
      <c r="B72" s="112">
        <f t="shared" si="12"/>
        <v>58</v>
      </c>
      <c r="C72" s="124" t="s">
        <v>1155</v>
      </c>
      <c r="D72" s="169" t="s">
        <v>997</v>
      </c>
      <c r="E72" s="176" t="s">
        <v>256</v>
      </c>
      <c r="F72" s="118" t="s">
        <v>367</v>
      </c>
      <c r="G72" s="117" t="s">
        <v>377</v>
      </c>
      <c r="H72" s="173" t="s">
        <v>50</v>
      </c>
      <c r="I72" s="127"/>
      <c r="J72" s="113"/>
      <c r="K72" s="113"/>
      <c r="L72" s="113"/>
      <c r="M72" s="113"/>
      <c r="N72" s="117" t="s">
        <v>385</v>
      </c>
      <c r="O72" s="120"/>
      <c r="P72" s="119"/>
      <c r="Q72" s="112">
        <v>1</v>
      </c>
      <c r="R72" s="112">
        <v>1</v>
      </c>
      <c r="S72" s="147">
        <f t="shared" si="8"/>
        <v>1</v>
      </c>
      <c r="T72" s="150" t="str">
        <f>_xlfn.IFNA(VLOOKUP(S72,Parameter!$D$53:$E$77,2),"")</f>
        <v>RENDAH</v>
      </c>
      <c r="U72" s="130"/>
      <c r="V72" s="124" t="s">
        <v>386</v>
      </c>
      <c r="W72" s="124" t="s">
        <v>386</v>
      </c>
      <c r="X72" s="124" t="s">
        <v>386</v>
      </c>
      <c r="Y72" s="124" t="s">
        <v>345</v>
      </c>
      <c r="Z72" s="124" t="s">
        <v>747</v>
      </c>
      <c r="AA72" s="126" t="s">
        <v>386</v>
      </c>
      <c r="AB72" s="111" t="s">
        <v>386</v>
      </c>
      <c r="AC72" s="156">
        <v>46387</v>
      </c>
      <c r="AD72" s="163">
        <v>46102</v>
      </c>
      <c r="AE72" s="115" t="s">
        <v>386</v>
      </c>
      <c r="AF72" s="163"/>
      <c r="AG72" s="115"/>
      <c r="AH72" s="163"/>
      <c r="AI72" s="115"/>
      <c r="AJ72" s="163"/>
      <c r="AK72" s="115"/>
      <c r="AL72" s="169">
        <f t="shared" si="13"/>
        <v>1</v>
      </c>
      <c r="AM72" s="112">
        <f t="shared" si="14"/>
        <v>1</v>
      </c>
      <c r="AN72" s="171">
        <f t="shared" si="11"/>
        <v>1</v>
      </c>
      <c r="AO72" s="150" t="str">
        <f>_xlfn.IFNA(VLOOKUP(AN72,Parameter!$D$53:$E$77,2),"")</f>
        <v>RENDAH</v>
      </c>
      <c r="AP72" s="167" t="s">
        <v>379</v>
      </c>
      <c r="AQ72" s="116"/>
    </row>
    <row r="73" spans="1:43" ht="252" x14ac:dyDescent="0.3">
      <c r="A73" s="114" t="s">
        <v>48</v>
      </c>
      <c r="B73" s="112">
        <f t="shared" si="12"/>
        <v>59</v>
      </c>
      <c r="C73" s="124" t="s">
        <v>1156</v>
      </c>
      <c r="D73" s="169" t="s">
        <v>997</v>
      </c>
      <c r="E73" s="176" t="s">
        <v>256</v>
      </c>
      <c r="F73" s="118" t="s">
        <v>367</v>
      </c>
      <c r="G73" s="117" t="s">
        <v>377</v>
      </c>
      <c r="H73" s="173" t="s">
        <v>50</v>
      </c>
      <c r="I73" s="127"/>
      <c r="J73" s="113"/>
      <c r="K73" s="113"/>
      <c r="L73" s="113"/>
      <c r="M73" s="113"/>
      <c r="N73" s="117" t="s">
        <v>385</v>
      </c>
      <c r="O73" s="120"/>
      <c r="P73" s="119"/>
      <c r="Q73" s="112">
        <v>1</v>
      </c>
      <c r="R73" s="112">
        <v>1</v>
      </c>
      <c r="S73" s="147">
        <f t="shared" ref="S73:S136" si="15">Q73*R73</f>
        <v>1</v>
      </c>
      <c r="T73" s="150" t="str">
        <f>_xlfn.IFNA(VLOOKUP(S73,Parameter!$D$53:$E$77,2),"")</f>
        <v>RENDAH</v>
      </c>
      <c r="U73" s="130"/>
      <c r="V73" s="124" t="s">
        <v>386</v>
      </c>
      <c r="W73" s="124" t="s">
        <v>386</v>
      </c>
      <c r="X73" s="124" t="s">
        <v>386</v>
      </c>
      <c r="Y73" s="124" t="s">
        <v>345</v>
      </c>
      <c r="Z73" s="124"/>
      <c r="AA73" s="126" t="s">
        <v>386</v>
      </c>
      <c r="AB73" s="111" t="s">
        <v>386</v>
      </c>
      <c r="AC73" s="156">
        <v>46387</v>
      </c>
      <c r="AD73" s="163">
        <v>46102</v>
      </c>
      <c r="AE73" s="115" t="s">
        <v>386</v>
      </c>
      <c r="AF73" s="163"/>
      <c r="AG73" s="115"/>
      <c r="AH73" s="163"/>
      <c r="AI73" s="115"/>
      <c r="AJ73" s="163"/>
      <c r="AK73" s="115"/>
      <c r="AL73" s="169">
        <f t="shared" si="13"/>
        <v>1</v>
      </c>
      <c r="AM73" s="112">
        <f t="shared" si="14"/>
        <v>1</v>
      </c>
      <c r="AN73" s="171">
        <f t="shared" ref="AN73:AN136" si="16">AL73*AM73</f>
        <v>1</v>
      </c>
      <c r="AO73" s="150" t="str">
        <f>_xlfn.IFNA(VLOOKUP(AN73,Parameter!$D$53:$E$77,2),"")</f>
        <v>RENDAH</v>
      </c>
      <c r="AP73" s="167" t="s">
        <v>379</v>
      </c>
      <c r="AQ73" s="116"/>
    </row>
    <row r="74" spans="1:43" ht="234" x14ac:dyDescent="0.3">
      <c r="A74" s="114" t="s">
        <v>48</v>
      </c>
      <c r="B74" s="112">
        <f t="shared" si="12"/>
        <v>60</v>
      </c>
      <c r="C74" s="124" t="s">
        <v>1157</v>
      </c>
      <c r="D74" s="169" t="s">
        <v>997</v>
      </c>
      <c r="E74" s="176" t="s">
        <v>256</v>
      </c>
      <c r="F74" s="118" t="s">
        <v>367</v>
      </c>
      <c r="G74" s="117" t="s">
        <v>377</v>
      </c>
      <c r="H74" s="173" t="s">
        <v>50</v>
      </c>
      <c r="I74" s="127"/>
      <c r="J74" s="113"/>
      <c r="K74" s="113"/>
      <c r="L74" s="113"/>
      <c r="M74" s="113"/>
      <c r="N74" s="117" t="s">
        <v>385</v>
      </c>
      <c r="O74" s="120"/>
      <c r="P74" s="119"/>
      <c r="Q74" s="112">
        <v>1</v>
      </c>
      <c r="R74" s="112">
        <v>1</v>
      </c>
      <c r="S74" s="147">
        <f t="shared" si="15"/>
        <v>1</v>
      </c>
      <c r="T74" s="150" t="str">
        <f>_xlfn.IFNA(VLOOKUP(S74,Parameter!$D$53:$E$77,2),"")</f>
        <v>RENDAH</v>
      </c>
      <c r="U74" s="130"/>
      <c r="V74" s="124" t="s">
        <v>386</v>
      </c>
      <c r="W74" s="124" t="s">
        <v>386</v>
      </c>
      <c r="X74" s="124" t="s">
        <v>386</v>
      </c>
      <c r="Y74" s="124" t="s">
        <v>345</v>
      </c>
      <c r="Z74" s="124"/>
      <c r="AA74" s="126" t="s">
        <v>386</v>
      </c>
      <c r="AB74" s="111" t="s">
        <v>386</v>
      </c>
      <c r="AC74" s="156">
        <v>46387</v>
      </c>
      <c r="AD74" s="163">
        <v>46102</v>
      </c>
      <c r="AE74" s="115" t="s">
        <v>386</v>
      </c>
      <c r="AF74" s="163"/>
      <c r="AG74" s="115"/>
      <c r="AH74" s="163"/>
      <c r="AI74" s="115"/>
      <c r="AJ74" s="163"/>
      <c r="AK74" s="115"/>
      <c r="AL74" s="169">
        <f t="shared" si="13"/>
        <v>1</v>
      </c>
      <c r="AM74" s="112">
        <f t="shared" si="14"/>
        <v>1</v>
      </c>
      <c r="AN74" s="171">
        <f t="shared" si="16"/>
        <v>1</v>
      </c>
      <c r="AO74" s="150" t="str">
        <f>_xlfn.IFNA(VLOOKUP(AN74,Parameter!$D$53:$E$77,2),"")</f>
        <v>RENDAH</v>
      </c>
      <c r="AP74" s="167" t="s">
        <v>379</v>
      </c>
      <c r="AQ74" s="116"/>
    </row>
    <row r="75" spans="1:43" ht="108" hidden="1" x14ac:dyDescent="0.3">
      <c r="A75" s="114" t="s">
        <v>48</v>
      </c>
      <c r="B75" s="112">
        <f t="shared" si="12"/>
        <v>61</v>
      </c>
      <c r="C75" s="124" t="s">
        <v>440</v>
      </c>
      <c r="D75" s="169" t="s">
        <v>293</v>
      </c>
      <c r="E75" s="176" t="s">
        <v>52</v>
      </c>
      <c r="F75" s="118" t="s">
        <v>368</v>
      </c>
      <c r="G75" s="117" t="s">
        <v>49</v>
      </c>
      <c r="H75" s="173" t="s">
        <v>50</v>
      </c>
      <c r="I75" s="127" t="s">
        <v>441</v>
      </c>
      <c r="J75" s="113" t="s">
        <v>442</v>
      </c>
      <c r="K75" s="113" t="s">
        <v>443</v>
      </c>
      <c r="L75" s="113" t="s">
        <v>444</v>
      </c>
      <c r="M75" s="113" t="s">
        <v>445</v>
      </c>
      <c r="N75" s="117" t="s">
        <v>385</v>
      </c>
      <c r="O75" s="120" t="s">
        <v>406</v>
      </c>
      <c r="P75" s="119" t="s">
        <v>446</v>
      </c>
      <c r="Q75" s="112">
        <v>4</v>
      </c>
      <c r="R75" s="112">
        <v>4</v>
      </c>
      <c r="S75" s="147">
        <f t="shared" si="15"/>
        <v>16</v>
      </c>
      <c r="T75" s="150" t="str">
        <f>_xlfn.IFNA(VLOOKUP(S75,Parameter!$D$53:$E$77,2),"")</f>
        <v>SEDANG-TINGGI</v>
      </c>
      <c r="U75" s="130" t="s">
        <v>447</v>
      </c>
      <c r="V75" s="124" t="s">
        <v>422</v>
      </c>
      <c r="W75" s="124" t="s">
        <v>448</v>
      </c>
      <c r="X75" s="124" t="s">
        <v>449</v>
      </c>
      <c r="Y75" s="124" t="s">
        <v>290</v>
      </c>
      <c r="Z75" s="124"/>
      <c r="AA75" s="126" t="s">
        <v>450</v>
      </c>
      <c r="AB75" s="111" t="s">
        <v>294</v>
      </c>
      <c r="AC75" s="156">
        <v>46387</v>
      </c>
      <c r="AD75" s="163">
        <v>46102</v>
      </c>
      <c r="AE75" s="115" t="s">
        <v>451</v>
      </c>
      <c r="AF75" s="163"/>
      <c r="AG75" s="115"/>
      <c r="AH75" s="163"/>
      <c r="AI75" s="115"/>
      <c r="AJ75" s="163"/>
      <c r="AK75" s="115"/>
      <c r="AL75" s="169">
        <f t="shared" ref="AL75:AL106" si="17">Q75</f>
        <v>4</v>
      </c>
      <c r="AM75" s="112">
        <v>3</v>
      </c>
      <c r="AN75" s="171">
        <f t="shared" si="16"/>
        <v>12</v>
      </c>
      <c r="AO75" s="150" t="str">
        <f>_xlfn.IFNA(VLOOKUP(AN75,Parameter!$D$53:$E$77,2),"")</f>
        <v>SEDANG</v>
      </c>
      <c r="AP75" s="167" t="s">
        <v>379</v>
      </c>
      <c r="AQ75" s="116"/>
    </row>
    <row r="76" spans="1:43" ht="144" x14ac:dyDescent="0.3">
      <c r="A76" s="114" t="s">
        <v>48</v>
      </c>
      <c r="B76" s="112">
        <f t="shared" si="12"/>
        <v>62</v>
      </c>
      <c r="C76" s="124" t="s">
        <v>1158</v>
      </c>
      <c r="D76" s="169" t="s">
        <v>280</v>
      </c>
      <c r="E76" s="176" t="s">
        <v>256</v>
      </c>
      <c r="F76" s="118" t="s">
        <v>367</v>
      </c>
      <c r="G76" s="117" t="s">
        <v>377</v>
      </c>
      <c r="H76" s="173" t="s">
        <v>50</v>
      </c>
      <c r="I76" s="127"/>
      <c r="J76" s="113"/>
      <c r="K76" s="113"/>
      <c r="L76" s="113"/>
      <c r="M76" s="113"/>
      <c r="N76" s="117" t="s">
        <v>385</v>
      </c>
      <c r="O76" s="120"/>
      <c r="P76" s="119"/>
      <c r="Q76" s="112">
        <v>1</v>
      </c>
      <c r="R76" s="112">
        <v>1</v>
      </c>
      <c r="S76" s="147">
        <f t="shared" si="15"/>
        <v>1</v>
      </c>
      <c r="T76" s="150" t="str">
        <f>_xlfn.IFNA(VLOOKUP(S76,Parameter!$D$53:$E$77,2),"")</f>
        <v>RENDAH</v>
      </c>
      <c r="U76" s="130"/>
      <c r="V76" s="124" t="s">
        <v>386</v>
      </c>
      <c r="W76" s="124" t="s">
        <v>386</v>
      </c>
      <c r="X76" s="124" t="s">
        <v>386</v>
      </c>
      <c r="Y76" s="124" t="s">
        <v>279</v>
      </c>
      <c r="Z76" s="124" t="s">
        <v>747</v>
      </c>
      <c r="AA76" s="126" t="s">
        <v>386</v>
      </c>
      <c r="AB76" s="111" t="s">
        <v>386</v>
      </c>
      <c r="AC76" s="156">
        <v>46387</v>
      </c>
      <c r="AD76" s="163">
        <v>46102</v>
      </c>
      <c r="AE76" s="115" t="s">
        <v>386</v>
      </c>
      <c r="AF76" s="163"/>
      <c r="AG76" s="115"/>
      <c r="AH76" s="163"/>
      <c r="AI76" s="115"/>
      <c r="AJ76" s="163"/>
      <c r="AK76" s="115"/>
      <c r="AL76" s="169">
        <f t="shared" si="17"/>
        <v>1</v>
      </c>
      <c r="AM76" s="112">
        <f t="shared" ref="AM76:AM107" si="18">R76</f>
        <v>1</v>
      </c>
      <c r="AN76" s="171">
        <f t="shared" si="16"/>
        <v>1</v>
      </c>
      <c r="AO76" s="150" t="str">
        <f>_xlfn.IFNA(VLOOKUP(AN76,Parameter!$D$53:$E$77,2),"")</f>
        <v>RENDAH</v>
      </c>
      <c r="AP76" s="167" t="s">
        <v>379</v>
      </c>
      <c r="AQ76" s="116"/>
    </row>
    <row r="77" spans="1:43" ht="162" x14ac:dyDescent="0.3">
      <c r="A77" s="114" t="s">
        <v>48</v>
      </c>
      <c r="B77" s="112">
        <f t="shared" si="12"/>
        <v>63</v>
      </c>
      <c r="C77" s="124" t="s">
        <v>1159</v>
      </c>
      <c r="D77" s="169" t="s">
        <v>280</v>
      </c>
      <c r="E77" s="176" t="s">
        <v>256</v>
      </c>
      <c r="F77" s="118" t="s">
        <v>367</v>
      </c>
      <c r="G77" s="117" t="s">
        <v>377</v>
      </c>
      <c r="H77" s="173" t="s">
        <v>50</v>
      </c>
      <c r="I77" s="127"/>
      <c r="J77" s="113"/>
      <c r="K77" s="113"/>
      <c r="L77" s="113"/>
      <c r="M77" s="113"/>
      <c r="N77" s="117" t="s">
        <v>385</v>
      </c>
      <c r="O77" s="120"/>
      <c r="P77" s="119"/>
      <c r="Q77" s="112">
        <v>1</v>
      </c>
      <c r="R77" s="112">
        <v>1</v>
      </c>
      <c r="S77" s="147">
        <f t="shared" si="15"/>
        <v>1</v>
      </c>
      <c r="T77" s="150" t="str">
        <f>_xlfn.IFNA(VLOOKUP(S77,Parameter!$D$53:$E$77,2),"")</f>
        <v>RENDAH</v>
      </c>
      <c r="U77" s="130"/>
      <c r="V77" s="124" t="s">
        <v>386</v>
      </c>
      <c r="W77" s="124" t="s">
        <v>386</v>
      </c>
      <c r="X77" s="124" t="s">
        <v>386</v>
      </c>
      <c r="Y77" s="124" t="s">
        <v>279</v>
      </c>
      <c r="Z77" s="124"/>
      <c r="AA77" s="126" t="s">
        <v>386</v>
      </c>
      <c r="AB77" s="111" t="s">
        <v>386</v>
      </c>
      <c r="AC77" s="156">
        <v>46387</v>
      </c>
      <c r="AD77" s="163">
        <v>46102</v>
      </c>
      <c r="AE77" s="115" t="s">
        <v>386</v>
      </c>
      <c r="AF77" s="163"/>
      <c r="AG77" s="115"/>
      <c r="AH77" s="163"/>
      <c r="AI77" s="115"/>
      <c r="AJ77" s="163"/>
      <c r="AK77" s="115"/>
      <c r="AL77" s="169">
        <f t="shared" si="17"/>
        <v>1</v>
      </c>
      <c r="AM77" s="112">
        <f t="shared" si="18"/>
        <v>1</v>
      </c>
      <c r="AN77" s="171">
        <f t="shared" si="16"/>
        <v>1</v>
      </c>
      <c r="AO77" s="150" t="str">
        <f>_xlfn.IFNA(VLOOKUP(AN77,Parameter!$D$53:$E$77,2),"")</f>
        <v>RENDAH</v>
      </c>
      <c r="AP77" s="167" t="s">
        <v>379</v>
      </c>
      <c r="AQ77" s="116"/>
    </row>
    <row r="78" spans="1:43" ht="180" x14ac:dyDescent="0.3">
      <c r="A78" s="114" t="s">
        <v>48</v>
      </c>
      <c r="B78" s="112">
        <f t="shared" si="12"/>
        <v>64</v>
      </c>
      <c r="C78" s="124" t="s">
        <v>1160</v>
      </c>
      <c r="D78" s="169" t="s">
        <v>280</v>
      </c>
      <c r="E78" s="176" t="s">
        <v>256</v>
      </c>
      <c r="F78" s="118" t="s">
        <v>367</v>
      </c>
      <c r="G78" s="117" t="s">
        <v>377</v>
      </c>
      <c r="H78" s="173" t="s">
        <v>50</v>
      </c>
      <c r="I78" s="127"/>
      <c r="J78" s="113"/>
      <c r="K78" s="113"/>
      <c r="L78" s="113"/>
      <c r="M78" s="113"/>
      <c r="N78" s="117" t="s">
        <v>385</v>
      </c>
      <c r="O78" s="120"/>
      <c r="P78" s="119"/>
      <c r="Q78" s="112">
        <v>1</v>
      </c>
      <c r="R78" s="112">
        <v>1</v>
      </c>
      <c r="S78" s="147">
        <f t="shared" si="15"/>
        <v>1</v>
      </c>
      <c r="T78" s="150" t="str">
        <f>_xlfn.IFNA(VLOOKUP(S78,Parameter!$D$53:$E$77,2),"")</f>
        <v>RENDAH</v>
      </c>
      <c r="U78" s="130"/>
      <c r="V78" s="124" t="s">
        <v>386</v>
      </c>
      <c r="W78" s="124" t="s">
        <v>386</v>
      </c>
      <c r="X78" s="124" t="s">
        <v>386</v>
      </c>
      <c r="Y78" s="124" t="s">
        <v>279</v>
      </c>
      <c r="Z78" s="124"/>
      <c r="AA78" s="126" t="s">
        <v>386</v>
      </c>
      <c r="AB78" s="111" t="s">
        <v>386</v>
      </c>
      <c r="AC78" s="156">
        <v>46387</v>
      </c>
      <c r="AD78" s="163">
        <v>46102</v>
      </c>
      <c r="AE78" s="115" t="s">
        <v>386</v>
      </c>
      <c r="AF78" s="163"/>
      <c r="AG78" s="115"/>
      <c r="AH78" s="163"/>
      <c r="AI78" s="115"/>
      <c r="AJ78" s="163"/>
      <c r="AK78" s="115"/>
      <c r="AL78" s="169">
        <f t="shared" si="17"/>
        <v>1</v>
      </c>
      <c r="AM78" s="112">
        <f t="shared" si="18"/>
        <v>1</v>
      </c>
      <c r="AN78" s="171">
        <f t="shared" si="16"/>
        <v>1</v>
      </c>
      <c r="AO78" s="150" t="str">
        <f>_xlfn.IFNA(VLOOKUP(AN78,Parameter!$D$53:$E$77,2),"")</f>
        <v>RENDAH</v>
      </c>
      <c r="AP78" s="167" t="s">
        <v>379</v>
      </c>
      <c r="AQ78" s="116"/>
    </row>
    <row r="79" spans="1:43" ht="144" x14ac:dyDescent="0.3">
      <c r="A79" s="114" t="s">
        <v>48</v>
      </c>
      <c r="B79" s="112">
        <f t="shared" si="12"/>
        <v>65</v>
      </c>
      <c r="C79" s="124" t="s">
        <v>1161</v>
      </c>
      <c r="D79" s="169" t="s">
        <v>280</v>
      </c>
      <c r="E79" s="176" t="s">
        <v>256</v>
      </c>
      <c r="F79" s="118" t="s">
        <v>367</v>
      </c>
      <c r="G79" s="117" t="s">
        <v>377</v>
      </c>
      <c r="H79" s="173" t="s">
        <v>50</v>
      </c>
      <c r="I79" s="127"/>
      <c r="J79" s="113"/>
      <c r="K79" s="113"/>
      <c r="L79" s="113"/>
      <c r="M79" s="113"/>
      <c r="N79" s="117" t="s">
        <v>385</v>
      </c>
      <c r="O79" s="120"/>
      <c r="P79" s="119"/>
      <c r="Q79" s="112">
        <v>1</v>
      </c>
      <c r="R79" s="112">
        <v>1</v>
      </c>
      <c r="S79" s="147">
        <f t="shared" si="15"/>
        <v>1</v>
      </c>
      <c r="T79" s="150" t="str">
        <f>_xlfn.IFNA(VLOOKUP(S79,Parameter!$D$53:$E$77,2),"")</f>
        <v>RENDAH</v>
      </c>
      <c r="U79" s="130"/>
      <c r="V79" s="124" t="s">
        <v>386</v>
      </c>
      <c r="W79" s="124" t="s">
        <v>386</v>
      </c>
      <c r="X79" s="124" t="s">
        <v>386</v>
      </c>
      <c r="Y79" s="124" t="s">
        <v>267</v>
      </c>
      <c r="Z79" s="124"/>
      <c r="AA79" s="126" t="s">
        <v>386</v>
      </c>
      <c r="AB79" s="111" t="s">
        <v>386</v>
      </c>
      <c r="AC79" s="156">
        <v>46387</v>
      </c>
      <c r="AD79" s="163">
        <v>46102</v>
      </c>
      <c r="AE79" s="115" t="s">
        <v>386</v>
      </c>
      <c r="AF79" s="163"/>
      <c r="AG79" s="115"/>
      <c r="AH79" s="163"/>
      <c r="AI79" s="115"/>
      <c r="AJ79" s="163"/>
      <c r="AK79" s="115"/>
      <c r="AL79" s="169">
        <f t="shared" si="17"/>
        <v>1</v>
      </c>
      <c r="AM79" s="112">
        <f t="shared" si="18"/>
        <v>1</v>
      </c>
      <c r="AN79" s="171">
        <f t="shared" si="16"/>
        <v>1</v>
      </c>
      <c r="AO79" s="150" t="str">
        <f>_xlfn.IFNA(VLOOKUP(AN79,Parameter!$D$53:$E$77,2),"")</f>
        <v>RENDAH</v>
      </c>
      <c r="AP79" s="167" t="s">
        <v>379</v>
      </c>
      <c r="AQ79" s="116"/>
    </row>
    <row r="80" spans="1:43" ht="198" x14ac:dyDescent="0.3">
      <c r="A80" s="114" t="s">
        <v>48</v>
      </c>
      <c r="B80" s="112">
        <f t="shared" si="12"/>
        <v>66</v>
      </c>
      <c r="C80" s="124" t="s">
        <v>1162</v>
      </c>
      <c r="D80" s="169" t="s">
        <v>282</v>
      </c>
      <c r="E80" s="176" t="s">
        <v>256</v>
      </c>
      <c r="F80" s="118" t="s">
        <v>368</v>
      </c>
      <c r="G80" s="117" t="s">
        <v>49</v>
      </c>
      <c r="H80" s="173" t="s">
        <v>50</v>
      </c>
      <c r="I80" s="127"/>
      <c r="J80" s="113"/>
      <c r="K80" s="113"/>
      <c r="L80" s="113"/>
      <c r="M80" s="113"/>
      <c r="N80" s="117"/>
      <c r="O80" s="120"/>
      <c r="P80" s="119"/>
      <c r="Q80" s="112">
        <v>1</v>
      </c>
      <c r="R80" s="112">
        <v>1</v>
      </c>
      <c r="S80" s="147">
        <f t="shared" si="15"/>
        <v>1</v>
      </c>
      <c r="T80" s="150" t="str">
        <f>_xlfn.IFNA(VLOOKUP(S80,Parameter!$D$53:$E$77,2),"")</f>
        <v>RENDAH</v>
      </c>
      <c r="U80" s="130"/>
      <c r="V80" s="124"/>
      <c r="W80" s="124"/>
      <c r="X80" s="124"/>
      <c r="Y80" s="124"/>
      <c r="Z80" s="124"/>
      <c r="AA80" s="126"/>
      <c r="AB80" s="145"/>
      <c r="AC80" s="156">
        <v>46387</v>
      </c>
      <c r="AD80" s="163">
        <v>46102</v>
      </c>
      <c r="AE80" s="115"/>
      <c r="AF80" s="163"/>
      <c r="AG80" s="115"/>
      <c r="AH80" s="163"/>
      <c r="AI80" s="115"/>
      <c r="AJ80" s="163"/>
      <c r="AK80" s="115"/>
      <c r="AL80" s="169">
        <f t="shared" si="17"/>
        <v>1</v>
      </c>
      <c r="AM80" s="112">
        <f t="shared" si="18"/>
        <v>1</v>
      </c>
      <c r="AN80" s="171">
        <f t="shared" si="16"/>
        <v>1</v>
      </c>
      <c r="AO80" s="150" t="str">
        <f>_xlfn.IFNA(VLOOKUP(AN80,Parameter!$D$53:$E$77,2),"")</f>
        <v>RENDAH</v>
      </c>
      <c r="AP80" s="167" t="s">
        <v>379</v>
      </c>
      <c r="AQ80" s="116"/>
    </row>
    <row r="81" spans="1:43" ht="180" x14ac:dyDescent="0.3">
      <c r="A81" s="114" t="s">
        <v>48</v>
      </c>
      <c r="B81" s="112">
        <f t="shared" si="12"/>
        <v>67</v>
      </c>
      <c r="C81" s="124" t="s">
        <v>1163</v>
      </c>
      <c r="D81" s="169" t="s">
        <v>281</v>
      </c>
      <c r="E81" s="176" t="s">
        <v>256</v>
      </c>
      <c r="F81" s="118" t="s">
        <v>368</v>
      </c>
      <c r="G81" s="117" t="s">
        <v>49</v>
      </c>
      <c r="H81" s="173" t="s">
        <v>50</v>
      </c>
      <c r="I81" s="127"/>
      <c r="J81" s="113"/>
      <c r="K81" s="113"/>
      <c r="L81" s="113"/>
      <c r="M81" s="113"/>
      <c r="N81" s="117"/>
      <c r="O81" s="120"/>
      <c r="P81" s="119"/>
      <c r="Q81" s="112">
        <v>1</v>
      </c>
      <c r="R81" s="112">
        <v>1</v>
      </c>
      <c r="S81" s="147">
        <f t="shared" si="15"/>
        <v>1</v>
      </c>
      <c r="T81" s="150" t="str">
        <f>_xlfn.IFNA(VLOOKUP(S81,Parameter!$D$53:$E$77,2),"")</f>
        <v>RENDAH</v>
      </c>
      <c r="U81" s="130"/>
      <c r="V81" s="124"/>
      <c r="W81" s="124"/>
      <c r="X81" s="124"/>
      <c r="Y81" s="124"/>
      <c r="Z81" s="124"/>
      <c r="AA81" s="126"/>
      <c r="AB81" s="145"/>
      <c r="AC81" s="156">
        <v>46387</v>
      </c>
      <c r="AD81" s="163">
        <v>46102</v>
      </c>
      <c r="AE81" s="115"/>
      <c r="AF81" s="163"/>
      <c r="AG81" s="115"/>
      <c r="AH81" s="163"/>
      <c r="AI81" s="115"/>
      <c r="AJ81" s="163"/>
      <c r="AK81" s="115"/>
      <c r="AL81" s="169">
        <f t="shared" si="17"/>
        <v>1</v>
      </c>
      <c r="AM81" s="112">
        <f t="shared" si="18"/>
        <v>1</v>
      </c>
      <c r="AN81" s="171">
        <f t="shared" si="16"/>
        <v>1</v>
      </c>
      <c r="AO81" s="150" t="str">
        <f>_xlfn.IFNA(VLOOKUP(AN81,Parameter!$D$53:$E$77,2),"")</f>
        <v>RENDAH</v>
      </c>
      <c r="AP81" s="167" t="s">
        <v>379</v>
      </c>
      <c r="AQ81" s="116"/>
    </row>
    <row r="82" spans="1:43" ht="162" x14ac:dyDescent="0.3">
      <c r="A82" s="114" t="s">
        <v>48</v>
      </c>
      <c r="B82" s="112">
        <f t="shared" si="12"/>
        <v>68</v>
      </c>
      <c r="C82" s="124" t="s">
        <v>1164</v>
      </c>
      <c r="D82" s="169" t="s">
        <v>281</v>
      </c>
      <c r="E82" s="176" t="s">
        <v>256</v>
      </c>
      <c r="F82" s="118" t="s">
        <v>368</v>
      </c>
      <c r="G82" s="117" t="s">
        <v>49</v>
      </c>
      <c r="H82" s="173" t="s">
        <v>50</v>
      </c>
      <c r="I82" s="127"/>
      <c r="J82" s="113"/>
      <c r="K82" s="113"/>
      <c r="L82" s="113"/>
      <c r="M82" s="113"/>
      <c r="N82" s="117"/>
      <c r="O82" s="120"/>
      <c r="P82" s="119"/>
      <c r="Q82" s="112">
        <v>1</v>
      </c>
      <c r="R82" s="112">
        <v>1</v>
      </c>
      <c r="S82" s="147">
        <f t="shared" si="15"/>
        <v>1</v>
      </c>
      <c r="T82" s="150" t="str">
        <f>_xlfn.IFNA(VLOOKUP(S82,Parameter!$D$53:$E$77,2),"")</f>
        <v>RENDAH</v>
      </c>
      <c r="U82" s="130"/>
      <c r="V82" s="124"/>
      <c r="W82" s="124"/>
      <c r="X82" s="124"/>
      <c r="Y82" s="124"/>
      <c r="Z82" s="124"/>
      <c r="AA82" s="126"/>
      <c r="AB82" s="145"/>
      <c r="AC82" s="156">
        <v>46387</v>
      </c>
      <c r="AD82" s="163">
        <v>46102</v>
      </c>
      <c r="AE82" s="115"/>
      <c r="AF82" s="163"/>
      <c r="AG82" s="115"/>
      <c r="AH82" s="163"/>
      <c r="AI82" s="115"/>
      <c r="AJ82" s="163"/>
      <c r="AK82" s="115"/>
      <c r="AL82" s="169">
        <f t="shared" si="17"/>
        <v>1</v>
      </c>
      <c r="AM82" s="112">
        <f t="shared" si="18"/>
        <v>1</v>
      </c>
      <c r="AN82" s="171">
        <f t="shared" si="16"/>
        <v>1</v>
      </c>
      <c r="AO82" s="150" t="str">
        <f>_xlfn.IFNA(VLOOKUP(AN82,Parameter!$D$53:$E$77,2),"")</f>
        <v>RENDAH</v>
      </c>
      <c r="AP82" s="167" t="s">
        <v>379</v>
      </c>
      <c r="AQ82" s="116"/>
    </row>
    <row r="83" spans="1:43" ht="144" x14ac:dyDescent="0.3">
      <c r="A83" s="114" t="s">
        <v>48</v>
      </c>
      <c r="B83" s="112">
        <f t="shared" si="12"/>
        <v>69</v>
      </c>
      <c r="C83" s="124" t="s">
        <v>1165</v>
      </c>
      <c r="D83" s="169" t="s">
        <v>283</v>
      </c>
      <c r="E83" s="176" t="s">
        <v>256</v>
      </c>
      <c r="F83" s="118" t="s">
        <v>368</v>
      </c>
      <c r="G83" s="117" t="s">
        <v>49</v>
      </c>
      <c r="H83" s="173" t="s">
        <v>50</v>
      </c>
      <c r="I83" s="127"/>
      <c r="J83" s="113"/>
      <c r="K83" s="113"/>
      <c r="L83" s="113"/>
      <c r="M83" s="113"/>
      <c r="N83" s="117"/>
      <c r="O83" s="120"/>
      <c r="P83" s="119"/>
      <c r="Q83" s="112">
        <v>1</v>
      </c>
      <c r="R83" s="112">
        <v>1</v>
      </c>
      <c r="S83" s="147">
        <f t="shared" si="15"/>
        <v>1</v>
      </c>
      <c r="T83" s="150" t="str">
        <f>_xlfn.IFNA(VLOOKUP(S83,Parameter!$D$53:$E$77,2),"")</f>
        <v>RENDAH</v>
      </c>
      <c r="U83" s="130"/>
      <c r="V83" s="124"/>
      <c r="W83" s="124"/>
      <c r="X83" s="124"/>
      <c r="Y83" s="124"/>
      <c r="Z83" s="124"/>
      <c r="AA83" s="126"/>
      <c r="AB83" s="145"/>
      <c r="AC83" s="156">
        <v>46387</v>
      </c>
      <c r="AD83" s="163">
        <v>46102</v>
      </c>
      <c r="AE83" s="115"/>
      <c r="AF83" s="163"/>
      <c r="AG83" s="115"/>
      <c r="AH83" s="163"/>
      <c r="AI83" s="115"/>
      <c r="AJ83" s="163"/>
      <c r="AK83" s="115"/>
      <c r="AL83" s="169">
        <f t="shared" si="17"/>
        <v>1</v>
      </c>
      <c r="AM83" s="112">
        <f t="shared" si="18"/>
        <v>1</v>
      </c>
      <c r="AN83" s="171">
        <f t="shared" si="16"/>
        <v>1</v>
      </c>
      <c r="AO83" s="150" t="str">
        <f>_xlfn.IFNA(VLOOKUP(AN83,Parameter!$D$53:$E$77,2),"")</f>
        <v>RENDAH</v>
      </c>
      <c r="AP83" s="167" t="s">
        <v>379</v>
      </c>
      <c r="AQ83" s="116"/>
    </row>
    <row r="84" spans="1:43" ht="198" x14ac:dyDescent="0.3">
      <c r="A84" s="114" t="s">
        <v>48</v>
      </c>
      <c r="B84" s="112">
        <f t="shared" si="12"/>
        <v>70</v>
      </c>
      <c r="C84" s="124" t="s">
        <v>1166</v>
      </c>
      <c r="D84" s="169" t="s">
        <v>283</v>
      </c>
      <c r="E84" s="176" t="s">
        <v>256</v>
      </c>
      <c r="F84" s="118" t="s">
        <v>368</v>
      </c>
      <c r="G84" s="117" t="s">
        <v>49</v>
      </c>
      <c r="H84" s="173" t="s">
        <v>50</v>
      </c>
      <c r="I84" s="127"/>
      <c r="J84" s="113"/>
      <c r="K84" s="113"/>
      <c r="L84" s="113"/>
      <c r="M84" s="113"/>
      <c r="N84" s="117"/>
      <c r="O84" s="120"/>
      <c r="P84" s="119"/>
      <c r="Q84" s="112">
        <v>1</v>
      </c>
      <c r="R84" s="112">
        <v>1</v>
      </c>
      <c r="S84" s="147">
        <f t="shared" si="15"/>
        <v>1</v>
      </c>
      <c r="T84" s="150" t="str">
        <f>_xlfn.IFNA(VLOOKUP(S84,Parameter!$D$53:$E$77,2),"")</f>
        <v>RENDAH</v>
      </c>
      <c r="U84" s="130"/>
      <c r="V84" s="124"/>
      <c r="W84" s="124"/>
      <c r="X84" s="124"/>
      <c r="Y84" s="124"/>
      <c r="Z84" s="124"/>
      <c r="AA84" s="126"/>
      <c r="AB84" s="145"/>
      <c r="AC84" s="156">
        <v>46387</v>
      </c>
      <c r="AD84" s="163">
        <v>46102</v>
      </c>
      <c r="AE84" s="115"/>
      <c r="AF84" s="163"/>
      <c r="AG84" s="115"/>
      <c r="AH84" s="163"/>
      <c r="AI84" s="115"/>
      <c r="AJ84" s="163"/>
      <c r="AK84" s="115"/>
      <c r="AL84" s="169">
        <f t="shared" si="17"/>
        <v>1</v>
      </c>
      <c r="AM84" s="112">
        <f t="shared" si="18"/>
        <v>1</v>
      </c>
      <c r="AN84" s="171">
        <f t="shared" si="16"/>
        <v>1</v>
      </c>
      <c r="AO84" s="150" t="str">
        <f>_xlfn.IFNA(VLOOKUP(AN84,Parameter!$D$53:$E$77,2),"")</f>
        <v>RENDAH</v>
      </c>
      <c r="AP84" s="167" t="s">
        <v>379</v>
      </c>
      <c r="AQ84" s="116"/>
    </row>
    <row r="85" spans="1:43" ht="144" x14ac:dyDescent="0.3">
      <c r="A85" s="114" t="s">
        <v>48</v>
      </c>
      <c r="B85" s="112">
        <f t="shared" si="12"/>
        <v>71</v>
      </c>
      <c r="C85" s="124" t="s">
        <v>1167</v>
      </c>
      <c r="D85" s="169" t="s">
        <v>305</v>
      </c>
      <c r="E85" s="176" t="s">
        <v>256</v>
      </c>
      <c r="F85" s="118" t="s">
        <v>368</v>
      </c>
      <c r="G85" s="117" t="s">
        <v>49</v>
      </c>
      <c r="H85" s="173" t="s">
        <v>50</v>
      </c>
      <c r="I85" s="127"/>
      <c r="J85" s="113"/>
      <c r="K85" s="113"/>
      <c r="L85" s="113"/>
      <c r="M85" s="113"/>
      <c r="N85" s="117"/>
      <c r="O85" s="120"/>
      <c r="P85" s="119"/>
      <c r="Q85" s="112">
        <v>1</v>
      </c>
      <c r="R85" s="112">
        <v>1</v>
      </c>
      <c r="S85" s="147">
        <f t="shared" si="15"/>
        <v>1</v>
      </c>
      <c r="T85" s="150" t="str">
        <f>_xlfn.IFNA(VLOOKUP(S85,Parameter!$D$53:$E$77,2),"")</f>
        <v>RENDAH</v>
      </c>
      <c r="U85" s="130"/>
      <c r="V85" s="124"/>
      <c r="W85" s="124"/>
      <c r="X85" s="124"/>
      <c r="Y85" s="124"/>
      <c r="Z85" s="124"/>
      <c r="AA85" s="126"/>
      <c r="AB85" s="145"/>
      <c r="AC85" s="156">
        <v>46387</v>
      </c>
      <c r="AD85" s="163">
        <v>46102</v>
      </c>
      <c r="AE85" s="115"/>
      <c r="AF85" s="163"/>
      <c r="AG85" s="115"/>
      <c r="AH85" s="163"/>
      <c r="AI85" s="115"/>
      <c r="AJ85" s="163"/>
      <c r="AK85" s="115"/>
      <c r="AL85" s="169">
        <f t="shared" si="17"/>
        <v>1</v>
      </c>
      <c r="AM85" s="112">
        <f t="shared" si="18"/>
        <v>1</v>
      </c>
      <c r="AN85" s="171">
        <f t="shared" si="16"/>
        <v>1</v>
      </c>
      <c r="AO85" s="150" t="str">
        <f>_xlfn.IFNA(VLOOKUP(AN85,Parameter!$D$53:$E$77,2),"")</f>
        <v>RENDAH</v>
      </c>
      <c r="AP85" s="167" t="s">
        <v>379</v>
      </c>
      <c r="AQ85" s="116"/>
    </row>
    <row r="86" spans="1:43" ht="162" x14ac:dyDescent="0.3">
      <c r="A86" s="114" t="s">
        <v>48</v>
      </c>
      <c r="B86" s="112">
        <f t="shared" si="12"/>
        <v>72</v>
      </c>
      <c r="C86" s="124" t="s">
        <v>1168</v>
      </c>
      <c r="D86" s="169" t="s">
        <v>1012</v>
      </c>
      <c r="E86" s="176" t="s">
        <v>256</v>
      </c>
      <c r="F86" s="118" t="s">
        <v>368</v>
      </c>
      <c r="G86" s="117" t="s">
        <v>49</v>
      </c>
      <c r="H86" s="173" t="s">
        <v>50</v>
      </c>
      <c r="I86" s="127"/>
      <c r="J86" s="113"/>
      <c r="K86" s="113"/>
      <c r="L86" s="113"/>
      <c r="M86" s="113"/>
      <c r="N86" s="117"/>
      <c r="O86" s="120"/>
      <c r="P86" s="119"/>
      <c r="Q86" s="112">
        <v>1</v>
      </c>
      <c r="R86" s="112">
        <v>1</v>
      </c>
      <c r="S86" s="147">
        <f t="shared" si="15"/>
        <v>1</v>
      </c>
      <c r="T86" s="150" t="str">
        <f>_xlfn.IFNA(VLOOKUP(S86,Parameter!$D$53:$E$77,2),"")</f>
        <v>RENDAH</v>
      </c>
      <c r="U86" s="130"/>
      <c r="V86" s="124"/>
      <c r="W86" s="124"/>
      <c r="X86" s="124"/>
      <c r="Y86" s="124"/>
      <c r="Z86" s="124"/>
      <c r="AA86" s="126"/>
      <c r="AB86" s="145"/>
      <c r="AC86" s="156">
        <v>46387</v>
      </c>
      <c r="AD86" s="163">
        <v>46102</v>
      </c>
      <c r="AE86" s="115"/>
      <c r="AF86" s="163"/>
      <c r="AG86" s="115"/>
      <c r="AH86" s="163"/>
      <c r="AI86" s="115"/>
      <c r="AJ86" s="163"/>
      <c r="AK86" s="115"/>
      <c r="AL86" s="169">
        <f t="shared" si="17"/>
        <v>1</v>
      </c>
      <c r="AM86" s="112">
        <f t="shared" si="18"/>
        <v>1</v>
      </c>
      <c r="AN86" s="171">
        <f t="shared" si="16"/>
        <v>1</v>
      </c>
      <c r="AO86" s="150" t="str">
        <f>_xlfn.IFNA(VLOOKUP(AN86,Parameter!$D$53:$E$77,2),"")</f>
        <v>RENDAH</v>
      </c>
      <c r="AP86" s="167" t="s">
        <v>379</v>
      </c>
      <c r="AQ86" s="116"/>
    </row>
    <row r="87" spans="1:43" ht="306" hidden="1" x14ac:dyDescent="0.3">
      <c r="A87" s="114" t="s">
        <v>48</v>
      </c>
      <c r="B87" s="112">
        <f t="shared" si="12"/>
        <v>73</v>
      </c>
      <c r="C87" s="124" t="s">
        <v>866</v>
      </c>
      <c r="D87" s="169" t="s">
        <v>263</v>
      </c>
      <c r="E87" s="176" t="s">
        <v>256</v>
      </c>
      <c r="F87" s="118" t="s">
        <v>368</v>
      </c>
      <c r="G87" s="117" t="s">
        <v>377</v>
      </c>
      <c r="H87" s="173" t="s">
        <v>50</v>
      </c>
      <c r="I87" s="127" t="s">
        <v>867</v>
      </c>
      <c r="J87" s="113" t="s">
        <v>868</v>
      </c>
      <c r="K87" s="113" t="s">
        <v>869</v>
      </c>
      <c r="L87" s="113" t="s">
        <v>870</v>
      </c>
      <c r="M87" s="113" t="s">
        <v>871</v>
      </c>
      <c r="N87" s="117" t="s">
        <v>385</v>
      </c>
      <c r="O87" s="120" t="s">
        <v>843</v>
      </c>
      <c r="P87" s="119" t="s">
        <v>872</v>
      </c>
      <c r="Q87" s="112">
        <v>4</v>
      </c>
      <c r="R87" s="112">
        <v>5</v>
      </c>
      <c r="S87" s="147">
        <f t="shared" si="15"/>
        <v>20</v>
      </c>
      <c r="T87" s="150" t="str">
        <f>_xlfn.IFNA(VLOOKUP(S87,Parameter!$D$53:$E$77,2),"")</f>
        <v>TINGGI</v>
      </c>
      <c r="U87" s="130" t="s">
        <v>873</v>
      </c>
      <c r="V87" s="124" t="s">
        <v>874</v>
      </c>
      <c r="W87" s="124" t="s">
        <v>875</v>
      </c>
      <c r="X87" s="124" t="s">
        <v>876</v>
      </c>
      <c r="Y87" s="124" t="s">
        <v>262</v>
      </c>
      <c r="Z87" s="124"/>
      <c r="AA87" s="126" t="s">
        <v>878</v>
      </c>
      <c r="AB87" s="111" t="s">
        <v>862</v>
      </c>
      <c r="AC87" s="156">
        <v>46387</v>
      </c>
      <c r="AD87" s="163">
        <v>46102</v>
      </c>
      <c r="AE87" s="115" t="s">
        <v>877</v>
      </c>
      <c r="AF87" s="163"/>
      <c r="AG87" s="115"/>
      <c r="AH87" s="163"/>
      <c r="AI87" s="115"/>
      <c r="AJ87" s="163"/>
      <c r="AK87" s="115"/>
      <c r="AL87" s="169">
        <f t="shared" si="17"/>
        <v>4</v>
      </c>
      <c r="AM87" s="112">
        <f t="shared" si="18"/>
        <v>5</v>
      </c>
      <c r="AN87" s="171">
        <f t="shared" si="16"/>
        <v>20</v>
      </c>
      <c r="AO87" s="150" t="str">
        <f>_xlfn.IFNA(VLOOKUP(AN87,Parameter!$D$53:$E$77,2),"")</f>
        <v>TINGGI</v>
      </c>
      <c r="AP87" s="167" t="s">
        <v>379</v>
      </c>
      <c r="AQ87" s="116"/>
    </row>
    <row r="88" spans="1:43" ht="324" hidden="1" x14ac:dyDescent="0.3">
      <c r="A88" s="114" t="s">
        <v>48</v>
      </c>
      <c r="B88" s="112">
        <f t="shared" si="12"/>
        <v>74</v>
      </c>
      <c r="C88" s="124" t="s">
        <v>751</v>
      </c>
      <c r="D88" s="169" t="s">
        <v>263</v>
      </c>
      <c r="E88" s="176" t="s">
        <v>256</v>
      </c>
      <c r="F88" s="118" t="s">
        <v>368</v>
      </c>
      <c r="G88" s="117" t="s">
        <v>49</v>
      </c>
      <c r="H88" s="173" t="s">
        <v>50</v>
      </c>
      <c r="I88" s="127" t="s">
        <v>752</v>
      </c>
      <c r="J88" s="113" t="s">
        <v>753</v>
      </c>
      <c r="K88" s="113" t="s">
        <v>754</v>
      </c>
      <c r="L88" s="113" t="s">
        <v>755</v>
      </c>
      <c r="M88" s="113" t="s">
        <v>756</v>
      </c>
      <c r="N88" s="117" t="s">
        <v>382</v>
      </c>
      <c r="O88" s="120" t="s">
        <v>757</v>
      </c>
      <c r="P88" s="119" t="s">
        <v>758</v>
      </c>
      <c r="Q88" s="112">
        <v>3</v>
      </c>
      <c r="R88" s="112">
        <v>5</v>
      </c>
      <c r="S88" s="147">
        <f t="shared" si="15"/>
        <v>15</v>
      </c>
      <c r="T88" s="150" t="str">
        <f>_xlfn.IFNA(VLOOKUP(S88,Parameter!$D$53:$E$77,2),"")</f>
        <v>SEDANG-TINGGI</v>
      </c>
      <c r="U88" s="130" t="s">
        <v>759</v>
      </c>
      <c r="V88" s="124" t="s">
        <v>760</v>
      </c>
      <c r="W88" s="124" t="s">
        <v>761</v>
      </c>
      <c r="X88" s="124" t="s">
        <v>762</v>
      </c>
      <c r="Y88" s="124" t="s">
        <v>262</v>
      </c>
      <c r="Z88" s="124" t="s">
        <v>267</v>
      </c>
      <c r="AA88" s="126" t="s">
        <v>763</v>
      </c>
      <c r="AB88" s="111" t="s">
        <v>764</v>
      </c>
      <c r="AC88" s="156">
        <v>46387</v>
      </c>
      <c r="AD88" s="163">
        <v>46102</v>
      </c>
      <c r="AE88" s="115" t="s">
        <v>765</v>
      </c>
      <c r="AF88" s="163"/>
      <c r="AG88" s="115"/>
      <c r="AH88" s="163"/>
      <c r="AI88" s="115"/>
      <c r="AJ88" s="163"/>
      <c r="AK88" s="115"/>
      <c r="AL88" s="169">
        <f t="shared" si="17"/>
        <v>3</v>
      </c>
      <c r="AM88" s="112">
        <f t="shared" si="18"/>
        <v>5</v>
      </c>
      <c r="AN88" s="171">
        <f t="shared" si="16"/>
        <v>15</v>
      </c>
      <c r="AO88" s="150" t="str">
        <f>_xlfn.IFNA(VLOOKUP(AN88,Parameter!$D$53:$E$77,2),"")</f>
        <v>SEDANG-TINGGI</v>
      </c>
      <c r="AP88" s="167" t="s">
        <v>379</v>
      </c>
      <c r="AQ88" s="116"/>
    </row>
    <row r="89" spans="1:43" ht="216" hidden="1" x14ac:dyDescent="0.3">
      <c r="A89" s="114" t="s">
        <v>48</v>
      </c>
      <c r="B89" s="112">
        <f t="shared" si="12"/>
        <v>75</v>
      </c>
      <c r="C89" s="124" t="s">
        <v>808</v>
      </c>
      <c r="D89" s="169" t="s">
        <v>263</v>
      </c>
      <c r="E89" s="176" t="s">
        <v>256</v>
      </c>
      <c r="F89" s="118" t="s">
        <v>368</v>
      </c>
      <c r="G89" s="117" t="s">
        <v>49</v>
      </c>
      <c r="H89" s="173" t="s">
        <v>50</v>
      </c>
      <c r="I89" s="127" t="s">
        <v>810</v>
      </c>
      <c r="J89" s="113" t="s">
        <v>811</v>
      </c>
      <c r="K89" s="113" t="s">
        <v>812</v>
      </c>
      <c r="L89" s="113" t="s">
        <v>813</v>
      </c>
      <c r="M89" s="113" t="s">
        <v>814</v>
      </c>
      <c r="N89" s="117" t="s">
        <v>384</v>
      </c>
      <c r="O89" s="120" t="s">
        <v>494</v>
      </c>
      <c r="P89" s="119" t="s">
        <v>789</v>
      </c>
      <c r="Q89" s="112">
        <v>3</v>
      </c>
      <c r="R89" s="112">
        <v>4</v>
      </c>
      <c r="S89" s="147">
        <f t="shared" si="15"/>
        <v>12</v>
      </c>
      <c r="T89" s="150" t="str">
        <f>_xlfn.IFNA(VLOOKUP(S89,Parameter!$D$53:$E$77,2),"")</f>
        <v>SEDANG</v>
      </c>
      <c r="U89" s="130" t="s">
        <v>815</v>
      </c>
      <c r="V89" s="124" t="s">
        <v>816</v>
      </c>
      <c r="W89" s="124" t="s">
        <v>817</v>
      </c>
      <c r="X89" s="124" t="s">
        <v>818</v>
      </c>
      <c r="Y89" s="124" t="s">
        <v>262</v>
      </c>
      <c r="Z89" s="124"/>
      <c r="AA89" s="126" t="s">
        <v>821</v>
      </c>
      <c r="AB89" s="111" t="s">
        <v>819</v>
      </c>
      <c r="AC89" s="156">
        <v>46387</v>
      </c>
      <c r="AD89" s="163">
        <v>46102</v>
      </c>
      <c r="AE89" s="115" t="s">
        <v>820</v>
      </c>
      <c r="AF89" s="163"/>
      <c r="AG89" s="115"/>
      <c r="AH89" s="163"/>
      <c r="AI89" s="115"/>
      <c r="AJ89" s="163"/>
      <c r="AK89" s="115"/>
      <c r="AL89" s="169">
        <f t="shared" si="17"/>
        <v>3</v>
      </c>
      <c r="AM89" s="112">
        <f t="shared" si="18"/>
        <v>4</v>
      </c>
      <c r="AN89" s="171">
        <f t="shared" si="16"/>
        <v>12</v>
      </c>
      <c r="AO89" s="150" t="str">
        <f>_xlfn.IFNA(VLOOKUP(AN89,Parameter!$D$53:$E$77,2),"")</f>
        <v>SEDANG</v>
      </c>
      <c r="AP89" s="167" t="s">
        <v>379</v>
      </c>
      <c r="AQ89" s="116"/>
    </row>
    <row r="90" spans="1:43" ht="288" hidden="1" x14ac:dyDescent="0.3">
      <c r="A90" s="114" t="s">
        <v>48</v>
      </c>
      <c r="B90" s="112">
        <f t="shared" si="12"/>
        <v>76</v>
      </c>
      <c r="C90" s="124" t="s">
        <v>879</v>
      </c>
      <c r="D90" s="169" t="s">
        <v>263</v>
      </c>
      <c r="E90" s="176" t="s">
        <v>256</v>
      </c>
      <c r="F90" s="118" t="s">
        <v>368</v>
      </c>
      <c r="G90" s="117" t="s">
        <v>49</v>
      </c>
      <c r="H90" s="173" t="s">
        <v>50</v>
      </c>
      <c r="I90" s="127" t="s">
        <v>880</v>
      </c>
      <c r="J90" s="113" t="s">
        <v>881</v>
      </c>
      <c r="K90" s="113" t="s">
        <v>882</v>
      </c>
      <c r="L90" s="113" t="s">
        <v>883</v>
      </c>
      <c r="M90" s="113" t="s">
        <v>884</v>
      </c>
      <c r="N90" s="117" t="s">
        <v>382</v>
      </c>
      <c r="O90" s="120" t="s">
        <v>494</v>
      </c>
      <c r="P90" s="119" t="s">
        <v>885</v>
      </c>
      <c r="Q90" s="112">
        <v>3</v>
      </c>
      <c r="R90" s="112">
        <v>4</v>
      </c>
      <c r="S90" s="147">
        <f t="shared" si="15"/>
        <v>12</v>
      </c>
      <c r="T90" s="150" t="str">
        <f>_xlfn.IFNA(VLOOKUP(S90,Parameter!$D$53:$E$77,2),"")</f>
        <v>SEDANG</v>
      </c>
      <c r="U90" s="130" t="s">
        <v>886</v>
      </c>
      <c r="V90" s="124" t="s">
        <v>887</v>
      </c>
      <c r="W90" s="124" t="s">
        <v>888</v>
      </c>
      <c r="X90" s="124" t="s">
        <v>889</v>
      </c>
      <c r="Y90" s="124" t="s">
        <v>262</v>
      </c>
      <c r="Z90" s="124"/>
      <c r="AA90" s="126" t="s">
        <v>892</v>
      </c>
      <c r="AB90" s="111" t="s">
        <v>890</v>
      </c>
      <c r="AC90" s="156">
        <v>46387</v>
      </c>
      <c r="AD90" s="163">
        <v>46102</v>
      </c>
      <c r="AE90" s="115" t="s">
        <v>891</v>
      </c>
      <c r="AF90" s="163"/>
      <c r="AG90" s="115"/>
      <c r="AH90" s="163"/>
      <c r="AI90" s="115"/>
      <c r="AJ90" s="163"/>
      <c r="AK90" s="115"/>
      <c r="AL90" s="169">
        <f t="shared" si="17"/>
        <v>3</v>
      </c>
      <c r="AM90" s="112">
        <f t="shared" si="18"/>
        <v>4</v>
      </c>
      <c r="AN90" s="171">
        <f t="shared" si="16"/>
        <v>12</v>
      </c>
      <c r="AO90" s="150" t="str">
        <f>_xlfn.IFNA(VLOOKUP(AN90,Parameter!$D$53:$E$77,2),"")</f>
        <v>SEDANG</v>
      </c>
      <c r="AP90" s="167" t="s">
        <v>379</v>
      </c>
      <c r="AQ90" s="116"/>
    </row>
    <row r="91" spans="1:43" ht="270" hidden="1" x14ac:dyDescent="0.3">
      <c r="A91" s="114" t="s">
        <v>48</v>
      </c>
      <c r="B91" s="112">
        <f t="shared" si="12"/>
        <v>77</v>
      </c>
      <c r="C91" s="124" t="s">
        <v>809</v>
      </c>
      <c r="D91" s="169" t="s">
        <v>263</v>
      </c>
      <c r="E91" s="176" t="s">
        <v>256</v>
      </c>
      <c r="F91" s="118" t="s">
        <v>368</v>
      </c>
      <c r="G91" s="117" t="s">
        <v>49</v>
      </c>
      <c r="H91" s="173" t="s">
        <v>50</v>
      </c>
      <c r="I91" s="127" t="s">
        <v>797</v>
      </c>
      <c r="J91" s="113" t="s">
        <v>798</v>
      </c>
      <c r="K91" s="113" t="s">
        <v>799</v>
      </c>
      <c r="L91" s="113" t="s">
        <v>800</v>
      </c>
      <c r="M91" s="113" t="s">
        <v>801</v>
      </c>
      <c r="N91" s="117" t="s">
        <v>384</v>
      </c>
      <c r="O91" s="120" t="s">
        <v>494</v>
      </c>
      <c r="P91" s="119" t="s">
        <v>789</v>
      </c>
      <c r="Q91" s="112">
        <v>3</v>
      </c>
      <c r="R91" s="112">
        <v>3</v>
      </c>
      <c r="S91" s="147">
        <f t="shared" si="15"/>
        <v>9</v>
      </c>
      <c r="T91" s="150" t="str">
        <f>_xlfn.IFNA(VLOOKUP(S91,Parameter!$D$53:$E$77,2),"")</f>
        <v>SEDANG-RENDAH</v>
      </c>
      <c r="U91" s="130" t="s">
        <v>802</v>
      </c>
      <c r="V91" s="124" t="s">
        <v>803</v>
      </c>
      <c r="W91" s="124" t="s">
        <v>804</v>
      </c>
      <c r="X91" s="124" t="s">
        <v>805</v>
      </c>
      <c r="Y91" s="124" t="s">
        <v>262</v>
      </c>
      <c r="Z91" s="124"/>
      <c r="AA91" s="126" t="s">
        <v>807</v>
      </c>
      <c r="AB91" s="111" t="s">
        <v>795</v>
      </c>
      <c r="AC91" s="156">
        <v>46387</v>
      </c>
      <c r="AD91" s="163">
        <v>46102</v>
      </c>
      <c r="AE91" s="115" t="s">
        <v>806</v>
      </c>
      <c r="AF91" s="163"/>
      <c r="AG91" s="115"/>
      <c r="AH91" s="163"/>
      <c r="AI91" s="115"/>
      <c r="AJ91" s="163"/>
      <c r="AK91" s="115"/>
      <c r="AL91" s="169">
        <f t="shared" si="17"/>
        <v>3</v>
      </c>
      <c r="AM91" s="112">
        <f t="shared" si="18"/>
        <v>3</v>
      </c>
      <c r="AN91" s="171">
        <f t="shared" si="16"/>
        <v>9</v>
      </c>
      <c r="AO91" s="150" t="str">
        <f>_xlfn.IFNA(VLOOKUP(AN91,Parameter!$D$53:$E$77,2),"")</f>
        <v>SEDANG-RENDAH</v>
      </c>
      <c r="AP91" s="167" t="s">
        <v>379</v>
      </c>
      <c r="AQ91" s="116"/>
    </row>
    <row r="92" spans="1:43" ht="198" hidden="1" x14ac:dyDescent="0.3">
      <c r="A92" s="114" t="s">
        <v>48</v>
      </c>
      <c r="B92" s="112">
        <f t="shared" si="12"/>
        <v>78</v>
      </c>
      <c r="C92" s="124" t="s">
        <v>782</v>
      </c>
      <c r="D92" s="169" t="s">
        <v>263</v>
      </c>
      <c r="E92" s="176" t="s">
        <v>256</v>
      </c>
      <c r="F92" s="118" t="s">
        <v>368</v>
      </c>
      <c r="G92" s="117" t="s">
        <v>49</v>
      </c>
      <c r="H92" s="173" t="s">
        <v>50</v>
      </c>
      <c r="I92" s="127" t="s">
        <v>783</v>
      </c>
      <c r="J92" s="113" t="s">
        <v>784</v>
      </c>
      <c r="K92" s="113" t="s">
        <v>785</v>
      </c>
      <c r="L92" s="113" t="s">
        <v>786</v>
      </c>
      <c r="M92" s="113" t="s">
        <v>787</v>
      </c>
      <c r="N92" s="117" t="s">
        <v>384</v>
      </c>
      <c r="O92" s="120" t="s">
        <v>788</v>
      </c>
      <c r="P92" s="119" t="s">
        <v>789</v>
      </c>
      <c r="Q92" s="112">
        <v>3</v>
      </c>
      <c r="R92" s="112">
        <v>2</v>
      </c>
      <c r="S92" s="147">
        <f t="shared" si="15"/>
        <v>6</v>
      </c>
      <c r="T92" s="150" t="str">
        <f>_xlfn.IFNA(VLOOKUP(S92,Parameter!$D$53:$E$77,2),"")</f>
        <v>SEDANG-RENDAH</v>
      </c>
      <c r="U92" s="130" t="s">
        <v>790</v>
      </c>
      <c r="V92" s="124" t="s">
        <v>791</v>
      </c>
      <c r="W92" s="124" t="s">
        <v>792</v>
      </c>
      <c r="X92" s="124" t="s">
        <v>793</v>
      </c>
      <c r="Y92" s="124" t="s">
        <v>262</v>
      </c>
      <c r="Z92" s="124"/>
      <c r="AA92" s="126" t="s">
        <v>796</v>
      </c>
      <c r="AB92" s="111" t="s">
        <v>795</v>
      </c>
      <c r="AC92" s="156">
        <v>46387</v>
      </c>
      <c r="AD92" s="163">
        <v>46102</v>
      </c>
      <c r="AE92" s="115" t="s">
        <v>794</v>
      </c>
      <c r="AF92" s="163"/>
      <c r="AG92" s="115"/>
      <c r="AH92" s="163"/>
      <c r="AI92" s="115"/>
      <c r="AJ92" s="163"/>
      <c r="AK92" s="115"/>
      <c r="AL92" s="169">
        <f t="shared" si="17"/>
        <v>3</v>
      </c>
      <c r="AM92" s="112">
        <f t="shared" si="18"/>
        <v>2</v>
      </c>
      <c r="AN92" s="171">
        <f t="shared" si="16"/>
        <v>6</v>
      </c>
      <c r="AO92" s="150" t="str">
        <f>_xlfn.IFNA(VLOOKUP(AN92,Parameter!$D$53:$E$77,2),"")</f>
        <v>SEDANG-RENDAH</v>
      </c>
      <c r="AP92" s="167" t="s">
        <v>379</v>
      </c>
      <c r="AQ92" s="116"/>
    </row>
    <row r="93" spans="1:43" ht="162" x14ac:dyDescent="0.3">
      <c r="A93" s="114" t="s">
        <v>48</v>
      </c>
      <c r="B93" s="112">
        <f t="shared" si="12"/>
        <v>79</v>
      </c>
      <c r="C93" s="124" t="s">
        <v>1169</v>
      </c>
      <c r="D93" s="169" t="s">
        <v>998</v>
      </c>
      <c r="E93" s="176" t="s">
        <v>256</v>
      </c>
      <c r="F93" s="118" t="s">
        <v>367</v>
      </c>
      <c r="G93" s="117" t="s">
        <v>377</v>
      </c>
      <c r="H93" s="173" t="s">
        <v>50</v>
      </c>
      <c r="I93" s="127"/>
      <c r="J93" s="113"/>
      <c r="K93" s="113"/>
      <c r="L93" s="113"/>
      <c r="M93" s="113"/>
      <c r="N93" s="117" t="s">
        <v>385</v>
      </c>
      <c r="O93" s="120"/>
      <c r="P93" s="119"/>
      <c r="Q93" s="112">
        <v>1</v>
      </c>
      <c r="R93" s="112">
        <v>1</v>
      </c>
      <c r="S93" s="147">
        <f t="shared" si="15"/>
        <v>1</v>
      </c>
      <c r="T93" s="150" t="str">
        <f>_xlfn.IFNA(VLOOKUP(S93,Parameter!$D$53:$E$77,2),"")</f>
        <v>RENDAH</v>
      </c>
      <c r="U93" s="130"/>
      <c r="V93" s="124" t="s">
        <v>386</v>
      </c>
      <c r="W93" s="124" t="s">
        <v>386</v>
      </c>
      <c r="X93" s="124" t="s">
        <v>386</v>
      </c>
      <c r="Y93" s="124" t="s">
        <v>747</v>
      </c>
      <c r="Z93" s="124" t="s">
        <v>290</v>
      </c>
      <c r="AA93" s="126" t="s">
        <v>386</v>
      </c>
      <c r="AB93" s="111" t="s">
        <v>386</v>
      </c>
      <c r="AC93" s="156">
        <v>46387</v>
      </c>
      <c r="AD93" s="163">
        <v>46102</v>
      </c>
      <c r="AE93" s="115" t="s">
        <v>386</v>
      </c>
      <c r="AF93" s="163"/>
      <c r="AG93" s="115"/>
      <c r="AH93" s="163"/>
      <c r="AI93" s="115"/>
      <c r="AJ93" s="163"/>
      <c r="AK93" s="115"/>
      <c r="AL93" s="169">
        <f t="shared" si="17"/>
        <v>1</v>
      </c>
      <c r="AM93" s="112">
        <f t="shared" si="18"/>
        <v>1</v>
      </c>
      <c r="AN93" s="171">
        <f t="shared" si="16"/>
        <v>1</v>
      </c>
      <c r="AO93" s="150" t="str">
        <f>_xlfn.IFNA(VLOOKUP(AN93,Parameter!$D$53:$E$77,2),"")</f>
        <v>RENDAH</v>
      </c>
      <c r="AP93" s="167" t="s">
        <v>379</v>
      </c>
      <c r="AQ93" s="116"/>
    </row>
    <row r="94" spans="1:43" ht="198" x14ac:dyDescent="0.3">
      <c r="A94" s="114" t="s">
        <v>48</v>
      </c>
      <c r="B94" s="112">
        <f t="shared" si="12"/>
        <v>80</v>
      </c>
      <c r="C94" s="124" t="s">
        <v>1170</v>
      </c>
      <c r="D94" s="169" t="s">
        <v>998</v>
      </c>
      <c r="E94" s="176" t="s">
        <v>256</v>
      </c>
      <c r="F94" s="118" t="s">
        <v>367</v>
      </c>
      <c r="G94" s="117" t="s">
        <v>377</v>
      </c>
      <c r="H94" s="173" t="s">
        <v>50</v>
      </c>
      <c r="I94" s="127"/>
      <c r="J94" s="113"/>
      <c r="K94" s="113"/>
      <c r="L94" s="113"/>
      <c r="M94" s="113"/>
      <c r="N94" s="117" t="s">
        <v>385</v>
      </c>
      <c r="O94" s="120"/>
      <c r="P94" s="119"/>
      <c r="Q94" s="112">
        <v>1</v>
      </c>
      <c r="R94" s="112">
        <v>1</v>
      </c>
      <c r="S94" s="147">
        <f t="shared" si="15"/>
        <v>1</v>
      </c>
      <c r="T94" s="150" t="str">
        <f>_xlfn.IFNA(VLOOKUP(S94,Parameter!$D$53:$E$77,2),"")</f>
        <v>RENDAH</v>
      </c>
      <c r="U94" s="130"/>
      <c r="V94" s="124" t="s">
        <v>386</v>
      </c>
      <c r="W94" s="124" t="s">
        <v>386</v>
      </c>
      <c r="X94" s="124" t="s">
        <v>386</v>
      </c>
      <c r="Y94" s="124" t="s">
        <v>747</v>
      </c>
      <c r="Z94" s="124"/>
      <c r="AA94" s="126" t="s">
        <v>386</v>
      </c>
      <c r="AB94" s="111" t="s">
        <v>386</v>
      </c>
      <c r="AC94" s="156">
        <v>46387</v>
      </c>
      <c r="AD94" s="163">
        <v>46102</v>
      </c>
      <c r="AE94" s="115" t="s">
        <v>386</v>
      </c>
      <c r="AF94" s="163"/>
      <c r="AG94" s="115"/>
      <c r="AH94" s="163"/>
      <c r="AI94" s="115"/>
      <c r="AJ94" s="163"/>
      <c r="AK94" s="115"/>
      <c r="AL94" s="169">
        <f t="shared" si="17"/>
        <v>1</v>
      </c>
      <c r="AM94" s="112">
        <f t="shared" si="18"/>
        <v>1</v>
      </c>
      <c r="AN94" s="171">
        <f t="shared" si="16"/>
        <v>1</v>
      </c>
      <c r="AO94" s="150" t="str">
        <f>_xlfn.IFNA(VLOOKUP(AN94,Parameter!$D$53:$E$77,2),"")</f>
        <v>RENDAH</v>
      </c>
      <c r="AP94" s="167" t="s">
        <v>379</v>
      </c>
      <c r="AQ94" s="116"/>
    </row>
    <row r="95" spans="1:43" ht="216" x14ac:dyDescent="0.3">
      <c r="A95" s="114" t="s">
        <v>48</v>
      </c>
      <c r="B95" s="112">
        <f t="shared" si="12"/>
        <v>81</v>
      </c>
      <c r="C95" s="124" t="s">
        <v>1243</v>
      </c>
      <c r="D95" s="169" t="s">
        <v>998</v>
      </c>
      <c r="E95" s="176" t="s">
        <v>256</v>
      </c>
      <c r="F95" s="118" t="s">
        <v>368</v>
      </c>
      <c r="G95" s="117" t="s">
        <v>49</v>
      </c>
      <c r="H95" s="173" t="s">
        <v>190</v>
      </c>
      <c r="I95" s="127"/>
      <c r="J95" s="113"/>
      <c r="K95" s="113"/>
      <c r="L95" s="113"/>
      <c r="M95" s="113"/>
      <c r="N95" s="117"/>
      <c r="O95" s="120"/>
      <c r="P95" s="119"/>
      <c r="Q95" s="112">
        <v>1</v>
      </c>
      <c r="R95" s="112">
        <v>1</v>
      </c>
      <c r="S95" s="147">
        <f t="shared" si="15"/>
        <v>1</v>
      </c>
      <c r="T95" s="150" t="str">
        <f>_xlfn.IFNA(VLOOKUP(S95,Parameter!$D$53:$E$77,2),"")</f>
        <v>RENDAH</v>
      </c>
      <c r="U95" s="130"/>
      <c r="V95" s="124"/>
      <c r="W95" s="124"/>
      <c r="X95" s="124"/>
      <c r="Y95" s="124"/>
      <c r="Z95" s="124"/>
      <c r="AA95" s="126"/>
      <c r="AB95" s="145"/>
      <c r="AC95" s="156">
        <v>46387</v>
      </c>
      <c r="AD95" s="163">
        <v>46102</v>
      </c>
      <c r="AE95" s="115"/>
      <c r="AF95" s="163"/>
      <c r="AG95" s="115"/>
      <c r="AH95" s="163"/>
      <c r="AI95" s="115"/>
      <c r="AJ95" s="163"/>
      <c r="AK95" s="115"/>
      <c r="AL95" s="169">
        <f t="shared" si="17"/>
        <v>1</v>
      </c>
      <c r="AM95" s="112">
        <f t="shared" si="18"/>
        <v>1</v>
      </c>
      <c r="AN95" s="171">
        <f t="shared" si="16"/>
        <v>1</v>
      </c>
      <c r="AO95" s="150" t="str">
        <f>_xlfn.IFNA(VLOOKUP(AN95,Parameter!$D$53:$E$77,2),"")</f>
        <v>RENDAH</v>
      </c>
      <c r="AP95" s="167" t="s">
        <v>379</v>
      </c>
      <c r="AQ95" s="116"/>
    </row>
    <row r="96" spans="1:43" ht="162" x14ac:dyDescent="0.3">
      <c r="A96" s="114" t="s">
        <v>48</v>
      </c>
      <c r="B96" s="112">
        <f t="shared" si="12"/>
        <v>82</v>
      </c>
      <c r="C96" s="124" t="s">
        <v>1171</v>
      </c>
      <c r="D96" s="169" t="s">
        <v>1010</v>
      </c>
      <c r="E96" s="176" t="s">
        <v>256</v>
      </c>
      <c r="F96" s="118" t="s">
        <v>368</v>
      </c>
      <c r="G96" s="117" t="s">
        <v>49</v>
      </c>
      <c r="H96" s="173" t="s">
        <v>50</v>
      </c>
      <c r="I96" s="127"/>
      <c r="J96" s="113"/>
      <c r="K96" s="113"/>
      <c r="L96" s="113"/>
      <c r="M96" s="113"/>
      <c r="N96" s="117"/>
      <c r="O96" s="120"/>
      <c r="P96" s="119"/>
      <c r="Q96" s="112">
        <v>1</v>
      </c>
      <c r="R96" s="112">
        <v>1</v>
      </c>
      <c r="S96" s="147">
        <f t="shared" si="15"/>
        <v>1</v>
      </c>
      <c r="T96" s="150" t="str">
        <f>_xlfn.IFNA(VLOOKUP(S96,Parameter!$D$53:$E$77,2),"")</f>
        <v>RENDAH</v>
      </c>
      <c r="U96" s="130"/>
      <c r="V96" s="124"/>
      <c r="W96" s="124"/>
      <c r="X96" s="124"/>
      <c r="Y96" s="124"/>
      <c r="Z96" s="124"/>
      <c r="AA96" s="126"/>
      <c r="AB96" s="145"/>
      <c r="AC96" s="156">
        <v>46387</v>
      </c>
      <c r="AD96" s="163">
        <v>46102</v>
      </c>
      <c r="AE96" s="115"/>
      <c r="AF96" s="163"/>
      <c r="AG96" s="115"/>
      <c r="AH96" s="163"/>
      <c r="AI96" s="115"/>
      <c r="AJ96" s="163"/>
      <c r="AK96" s="115"/>
      <c r="AL96" s="169">
        <f t="shared" si="17"/>
        <v>1</v>
      </c>
      <c r="AM96" s="112">
        <f t="shared" si="18"/>
        <v>1</v>
      </c>
      <c r="AN96" s="171">
        <f t="shared" si="16"/>
        <v>1</v>
      </c>
      <c r="AO96" s="150" t="str">
        <f>_xlfn.IFNA(VLOOKUP(AN96,Parameter!$D$53:$E$77,2),"")</f>
        <v>RENDAH</v>
      </c>
      <c r="AP96" s="167" t="s">
        <v>379</v>
      </c>
      <c r="AQ96" s="116"/>
    </row>
    <row r="97" spans="1:43" ht="144" x14ac:dyDescent="0.3">
      <c r="A97" s="114" t="s">
        <v>48</v>
      </c>
      <c r="B97" s="112">
        <f t="shared" si="12"/>
        <v>83</v>
      </c>
      <c r="C97" s="124" t="s">
        <v>1172</v>
      </c>
      <c r="D97" s="169" t="s">
        <v>289</v>
      </c>
      <c r="E97" s="176" t="s">
        <v>256</v>
      </c>
      <c r="F97" s="118" t="s">
        <v>368</v>
      </c>
      <c r="G97" s="117" t="s">
        <v>49</v>
      </c>
      <c r="H97" s="173" t="s">
        <v>50</v>
      </c>
      <c r="I97" s="127"/>
      <c r="J97" s="113"/>
      <c r="K97" s="113"/>
      <c r="L97" s="113"/>
      <c r="M97" s="113"/>
      <c r="N97" s="117"/>
      <c r="O97" s="120"/>
      <c r="P97" s="119"/>
      <c r="Q97" s="112">
        <v>1</v>
      </c>
      <c r="R97" s="112">
        <v>1</v>
      </c>
      <c r="S97" s="147">
        <f t="shared" si="15"/>
        <v>1</v>
      </c>
      <c r="T97" s="150" t="str">
        <f>_xlfn.IFNA(VLOOKUP(S97,Parameter!$D$53:$E$77,2),"")</f>
        <v>RENDAH</v>
      </c>
      <c r="U97" s="130"/>
      <c r="V97" s="124"/>
      <c r="W97" s="124"/>
      <c r="X97" s="124"/>
      <c r="Y97" s="124"/>
      <c r="Z97" s="124"/>
      <c r="AA97" s="126"/>
      <c r="AB97" s="145"/>
      <c r="AC97" s="156">
        <v>46387</v>
      </c>
      <c r="AD97" s="163">
        <v>46102</v>
      </c>
      <c r="AE97" s="115"/>
      <c r="AF97" s="163"/>
      <c r="AG97" s="115"/>
      <c r="AH97" s="163"/>
      <c r="AI97" s="115"/>
      <c r="AJ97" s="163"/>
      <c r="AK97" s="115"/>
      <c r="AL97" s="169">
        <f t="shared" si="17"/>
        <v>1</v>
      </c>
      <c r="AM97" s="112">
        <f t="shared" si="18"/>
        <v>1</v>
      </c>
      <c r="AN97" s="171">
        <f t="shared" si="16"/>
        <v>1</v>
      </c>
      <c r="AO97" s="150" t="str">
        <f>_xlfn.IFNA(VLOOKUP(AN97,Parameter!$D$53:$E$77,2),"")</f>
        <v>RENDAH</v>
      </c>
      <c r="AP97" s="167" t="s">
        <v>379</v>
      </c>
      <c r="AQ97" s="116"/>
    </row>
    <row r="98" spans="1:43" ht="144" x14ac:dyDescent="0.3">
      <c r="A98" s="114" t="s">
        <v>48</v>
      </c>
      <c r="B98" s="112">
        <f t="shared" si="12"/>
        <v>84</v>
      </c>
      <c r="C98" s="124" t="s">
        <v>1173</v>
      </c>
      <c r="D98" s="169" t="s">
        <v>1016</v>
      </c>
      <c r="E98" s="176" t="s">
        <v>256</v>
      </c>
      <c r="F98" s="118" t="s">
        <v>368</v>
      </c>
      <c r="G98" s="117" t="s">
        <v>49</v>
      </c>
      <c r="H98" s="173" t="s">
        <v>50</v>
      </c>
      <c r="I98" s="127"/>
      <c r="J98" s="113"/>
      <c r="K98" s="113"/>
      <c r="L98" s="113"/>
      <c r="M98" s="113"/>
      <c r="N98" s="117"/>
      <c r="O98" s="120"/>
      <c r="P98" s="119"/>
      <c r="Q98" s="112">
        <v>1</v>
      </c>
      <c r="R98" s="112">
        <v>1</v>
      </c>
      <c r="S98" s="147">
        <f t="shared" si="15"/>
        <v>1</v>
      </c>
      <c r="T98" s="150" t="str">
        <f>_xlfn.IFNA(VLOOKUP(S98,Parameter!$D$53:$E$77,2),"")</f>
        <v>RENDAH</v>
      </c>
      <c r="U98" s="130"/>
      <c r="V98" s="124"/>
      <c r="W98" s="124"/>
      <c r="X98" s="124"/>
      <c r="Y98" s="124"/>
      <c r="Z98" s="124"/>
      <c r="AA98" s="126"/>
      <c r="AB98" s="145"/>
      <c r="AC98" s="156">
        <v>46387</v>
      </c>
      <c r="AD98" s="163">
        <v>46102</v>
      </c>
      <c r="AE98" s="115"/>
      <c r="AF98" s="163"/>
      <c r="AG98" s="115"/>
      <c r="AH98" s="163"/>
      <c r="AI98" s="115"/>
      <c r="AJ98" s="163"/>
      <c r="AK98" s="115"/>
      <c r="AL98" s="169">
        <f t="shared" si="17"/>
        <v>1</v>
      </c>
      <c r="AM98" s="112">
        <f t="shared" si="18"/>
        <v>1</v>
      </c>
      <c r="AN98" s="171">
        <f t="shared" si="16"/>
        <v>1</v>
      </c>
      <c r="AO98" s="150" t="str">
        <f>_xlfn.IFNA(VLOOKUP(AN98,Parameter!$D$53:$E$77,2),"")</f>
        <v>RENDAH</v>
      </c>
      <c r="AP98" s="167" t="s">
        <v>379</v>
      </c>
      <c r="AQ98" s="116"/>
    </row>
    <row r="99" spans="1:43" ht="180" x14ac:dyDescent="0.3">
      <c r="A99" s="114" t="s">
        <v>48</v>
      </c>
      <c r="B99" s="112">
        <f t="shared" si="12"/>
        <v>85</v>
      </c>
      <c r="C99" s="124" t="s">
        <v>1174</v>
      </c>
      <c r="D99" s="169" t="s">
        <v>1011</v>
      </c>
      <c r="E99" s="176" t="s">
        <v>256</v>
      </c>
      <c r="F99" s="118" t="s">
        <v>368</v>
      </c>
      <c r="G99" s="117" t="s">
        <v>49</v>
      </c>
      <c r="H99" s="173" t="s">
        <v>50</v>
      </c>
      <c r="I99" s="127"/>
      <c r="J99" s="113"/>
      <c r="K99" s="113"/>
      <c r="L99" s="113"/>
      <c r="M99" s="113"/>
      <c r="N99" s="117"/>
      <c r="O99" s="120"/>
      <c r="P99" s="119"/>
      <c r="Q99" s="112">
        <v>1</v>
      </c>
      <c r="R99" s="112">
        <v>1</v>
      </c>
      <c r="S99" s="147">
        <f t="shared" si="15"/>
        <v>1</v>
      </c>
      <c r="T99" s="150" t="str">
        <f>_xlfn.IFNA(VLOOKUP(S99,Parameter!$D$53:$E$77,2),"")</f>
        <v>RENDAH</v>
      </c>
      <c r="U99" s="130"/>
      <c r="V99" s="124"/>
      <c r="W99" s="124"/>
      <c r="X99" s="124"/>
      <c r="Y99" s="124"/>
      <c r="Z99" s="124"/>
      <c r="AA99" s="126"/>
      <c r="AB99" s="145"/>
      <c r="AC99" s="156">
        <v>46387</v>
      </c>
      <c r="AD99" s="163">
        <v>46102</v>
      </c>
      <c r="AE99" s="115"/>
      <c r="AF99" s="163"/>
      <c r="AG99" s="115"/>
      <c r="AH99" s="163"/>
      <c r="AI99" s="115"/>
      <c r="AJ99" s="163"/>
      <c r="AK99" s="115"/>
      <c r="AL99" s="169">
        <f t="shared" si="17"/>
        <v>1</v>
      </c>
      <c r="AM99" s="112">
        <f t="shared" si="18"/>
        <v>1</v>
      </c>
      <c r="AN99" s="171">
        <f t="shared" si="16"/>
        <v>1</v>
      </c>
      <c r="AO99" s="150" t="str">
        <f>_xlfn.IFNA(VLOOKUP(AN99,Parameter!$D$53:$E$77,2),"")</f>
        <v>RENDAH</v>
      </c>
      <c r="AP99" s="167" t="s">
        <v>379</v>
      </c>
      <c r="AQ99" s="116"/>
    </row>
    <row r="100" spans="1:43" ht="144" x14ac:dyDescent="0.3">
      <c r="A100" s="114" t="s">
        <v>48</v>
      </c>
      <c r="B100" s="112">
        <f t="shared" si="12"/>
        <v>86</v>
      </c>
      <c r="C100" s="124" t="s">
        <v>1175</v>
      </c>
      <c r="D100" s="169" t="s">
        <v>353</v>
      </c>
      <c r="E100" s="176" t="s">
        <v>256</v>
      </c>
      <c r="F100" s="118" t="s">
        <v>367</v>
      </c>
      <c r="G100" s="117" t="s">
        <v>377</v>
      </c>
      <c r="H100" s="173" t="s">
        <v>50</v>
      </c>
      <c r="I100" s="127"/>
      <c r="J100" s="113"/>
      <c r="K100" s="113"/>
      <c r="L100" s="113"/>
      <c r="M100" s="113"/>
      <c r="N100" s="117" t="s">
        <v>385</v>
      </c>
      <c r="O100" s="120"/>
      <c r="P100" s="119"/>
      <c r="Q100" s="112">
        <v>1</v>
      </c>
      <c r="R100" s="112">
        <v>1</v>
      </c>
      <c r="S100" s="147">
        <f t="shared" si="15"/>
        <v>1</v>
      </c>
      <c r="T100" s="150" t="str">
        <f>_xlfn.IFNA(VLOOKUP(S100,Parameter!$D$53:$E$77,2),"")</f>
        <v>RENDAH</v>
      </c>
      <c r="U100" s="130"/>
      <c r="V100" s="124" t="s">
        <v>386</v>
      </c>
      <c r="W100" s="124" t="s">
        <v>386</v>
      </c>
      <c r="X100" s="124" t="s">
        <v>386</v>
      </c>
      <c r="Y100" s="124" t="s">
        <v>747</v>
      </c>
      <c r="Z100" s="124"/>
      <c r="AA100" s="126" t="s">
        <v>386</v>
      </c>
      <c r="AB100" s="111" t="s">
        <v>386</v>
      </c>
      <c r="AC100" s="156">
        <v>46387</v>
      </c>
      <c r="AD100" s="163">
        <v>46102</v>
      </c>
      <c r="AE100" s="115" t="s">
        <v>386</v>
      </c>
      <c r="AF100" s="163"/>
      <c r="AG100" s="115"/>
      <c r="AH100" s="163"/>
      <c r="AI100" s="115"/>
      <c r="AJ100" s="163"/>
      <c r="AK100" s="115"/>
      <c r="AL100" s="169">
        <f t="shared" si="17"/>
        <v>1</v>
      </c>
      <c r="AM100" s="112">
        <f t="shared" si="18"/>
        <v>1</v>
      </c>
      <c r="AN100" s="171">
        <f t="shared" si="16"/>
        <v>1</v>
      </c>
      <c r="AO100" s="150" t="str">
        <f>_xlfn.IFNA(VLOOKUP(AN100,Parameter!$D$53:$E$77,2),"")</f>
        <v>RENDAH</v>
      </c>
      <c r="AP100" s="167" t="s">
        <v>379</v>
      </c>
      <c r="AQ100" s="116"/>
    </row>
    <row r="101" spans="1:43" ht="162" x14ac:dyDescent="0.3">
      <c r="A101" s="114" t="s">
        <v>48</v>
      </c>
      <c r="B101" s="112">
        <f t="shared" si="12"/>
        <v>87</v>
      </c>
      <c r="C101" s="124" t="s">
        <v>1176</v>
      </c>
      <c r="D101" s="169" t="s">
        <v>353</v>
      </c>
      <c r="E101" s="176" t="s">
        <v>256</v>
      </c>
      <c r="F101" s="118" t="s">
        <v>367</v>
      </c>
      <c r="G101" s="117" t="s">
        <v>377</v>
      </c>
      <c r="H101" s="173" t="s">
        <v>50</v>
      </c>
      <c r="I101" s="127"/>
      <c r="J101" s="113"/>
      <c r="K101" s="113"/>
      <c r="L101" s="113"/>
      <c r="M101" s="113"/>
      <c r="N101" s="117" t="s">
        <v>385</v>
      </c>
      <c r="O101" s="120"/>
      <c r="P101" s="119"/>
      <c r="Q101" s="112">
        <v>1</v>
      </c>
      <c r="R101" s="112">
        <v>1</v>
      </c>
      <c r="S101" s="147">
        <f t="shared" si="15"/>
        <v>1</v>
      </c>
      <c r="T101" s="150" t="str">
        <f>_xlfn.IFNA(VLOOKUP(S101,Parameter!$D$53:$E$77,2),"")</f>
        <v>RENDAH</v>
      </c>
      <c r="U101" s="130"/>
      <c r="V101" s="124" t="s">
        <v>386</v>
      </c>
      <c r="W101" s="124" t="s">
        <v>386</v>
      </c>
      <c r="X101" s="124" t="s">
        <v>386</v>
      </c>
      <c r="Y101" s="124" t="s">
        <v>747</v>
      </c>
      <c r="Z101" s="124"/>
      <c r="AA101" s="126" t="s">
        <v>386</v>
      </c>
      <c r="AB101" s="111" t="s">
        <v>386</v>
      </c>
      <c r="AC101" s="156">
        <v>46387</v>
      </c>
      <c r="AD101" s="163">
        <v>46102</v>
      </c>
      <c r="AE101" s="115" t="s">
        <v>386</v>
      </c>
      <c r="AF101" s="163"/>
      <c r="AG101" s="115"/>
      <c r="AH101" s="163"/>
      <c r="AI101" s="115"/>
      <c r="AJ101" s="163"/>
      <c r="AK101" s="115"/>
      <c r="AL101" s="169">
        <f t="shared" si="17"/>
        <v>1</v>
      </c>
      <c r="AM101" s="112">
        <f t="shared" si="18"/>
        <v>1</v>
      </c>
      <c r="AN101" s="171">
        <f t="shared" si="16"/>
        <v>1</v>
      </c>
      <c r="AO101" s="150" t="str">
        <f>_xlfn.IFNA(VLOOKUP(AN101,Parameter!$D$53:$E$77,2),"")</f>
        <v>RENDAH</v>
      </c>
      <c r="AP101" s="167" t="s">
        <v>379</v>
      </c>
      <c r="AQ101" s="116"/>
    </row>
    <row r="102" spans="1:43" ht="306" hidden="1" x14ac:dyDescent="0.3">
      <c r="A102" s="114" t="s">
        <v>48</v>
      </c>
      <c r="B102" s="112">
        <f t="shared" si="12"/>
        <v>88</v>
      </c>
      <c r="C102" s="124" t="s">
        <v>893</v>
      </c>
      <c r="D102" s="169" t="s">
        <v>328</v>
      </c>
      <c r="E102" s="176" t="s">
        <v>256</v>
      </c>
      <c r="F102" s="118" t="s">
        <v>367</v>
      </c>
      <c r="G102" s="117" t="s">
        <v>49</v>
      </c>
      <c r="H102" s="173" t="s">
        <v>50</v>
      </c>
      <c r="I102" s="127" t="s">
        <v>894</v>
      </c>
      <c r="J102" s="113" t="s">
        <v>895</v>
      </c>
      <c r="K102" s="113" t="s">
        <v>896</v>
      </c>
      <c r="L102" s="113" t="s">
        <v>897</v>
      </c>
      <c r="M102" s="113" t="s">
        <v>898</v>
      </c>
      <c r="N102" s="117" t="s">
        <v>385</v>
      </c>
      <c r="O102" s="120" t="s">
        <v>899</v>
      </c>
      <c r="P102" s="119" t="s">
        <v>900</v>
      </c>
      <c r="Q102" s="112">
        <v>4</v>
      </c>
      <c r="R102" s="112">
        <v>3</v>
      </c>
      <c r="S102" s="147">
        <f t="shared" si="15"/>
        <v>12</v>
      </c>
      <c r="T102" s="150" t="str">
        <f>_xlfn.IFNA(VLOOKUP(S102,Parameter!$D$53:$E$77,2),"")</f>
        <v>SEDANG</v>
      </c>
      <c r="U102" s="130" t="s">
        <v>901</v>
      </c>
      <c r="V102" s="124" t="s">
        <v>902</v>
      </c>
      <c r="W102" s="124" t="s">
        <v>903</v>
      </c>
      <c r="X102" s="124" t="s">
        <v>904</v>
      </c>
      <c r="Y102" s="124" t="s">
        <v>327</v>
      </c>
      <c r="Z102" s="124"/>
      <c r="AA102" s="126" t="s">
        <v>906</v>
      </c>
      <c r="AB102" s="111" t="s">
        <v>397</v>
      </c>
      <c r="AC102" s="156">
        <v>46387</v>
      </c>
      <c r="AD102" s="163">
        <v>46102</v>
      </c>
      <c r="AE102" s="115" t="s">
        <v>905</v>
      </c>
      <c r="AF102" s="163"/>
      <c r="AG102" s="115"/>
      <c r="AH102" s="163"/>
      <c r="AI102" s="115"/>
      <c r="AJ102" s="163"/>
      <c r="AK102" s="115"/>
      <c r="AL102" s="169">
        <f t="shared" si="17"/>
        <v>4</v>
      </c>
      <c r="AM102" s="112">
        <f t="shared" si="18"/>
        <v>3</v>
      </c>
      <c r="AN102" s="171">
        <f t="shared" si="16"/>
        <v>12</v>
      </c>
      <c r="AO102" s="150" t="str">
        <f>_xlfn.IFNA(VLOOKUP(AN102,Parameter!$D$53:$E$77,2),"")</f>
        <v>SEDANG</v>
      </c>
      <c r="AP102" s="167" t="s">
        <v>379</v>
      </c>
      <c r="AQ102" s="116"/>
    </row>
    <row r="103" spans="1:43" ht="288" hidden="1" x14ac:dyDescent="0.3">
      <c r="A103" s="114" t="s">
        <v>48</v>
      </c>
      <c r="B103" s="112">
        <f t="shared" si="12"/>
        <v>89</v>
      </c>
      <c r="C103" s="124" t="s">
        <v>907</v>
      </c>
      <c r="D103" s="169" t="s">
        <v>328</v>
      </c>
      <c r="E103" s="176" t="s">
        <v>256</v>
      </c>
      <c r="F103" s="118" t="s">
        <v>367</v>
      </c>
      <c r="G103" s="117" t="s">
        <v>49</v>
      </c>
      <c r="H103" s="173" t="s">
        <v>50</v>
      </c>
      <c r="I103" s="127" t="s">
        <v>908</v>
      </c>
      <c r="J103" s="113" t="s">
        <v>909</v>
      </c>
      <c r="K103" s="113" t="s">
        <v>910</v>
      </c>
      <c r="L103" s="113" t="s">
        <v>911</v>
      </c>
      <c r="M103" s="113" t="s">
        <v>912</v>
      </c>
      <c r="N103" s="117" t="s">
        <v>363</v>
      </c>
      <c r="O103" s="120" t="s">
        <v>913</v>
      </c>
      <c r="P103" s="119" t="s">
        <v>914</v>
      </c>
      <c r="Q103" s="112">
        <v>3</v>
      </c>
      <c r="R103" s="112">
        <v>2</v>
      </c>
      <c r="S103" s="147">
        <f t="shared" si="15"/>
        <v>6</v>
      </c>
      <c r="T103" s="150" t="str">
        <f>_xlfn.IFNA(VLOOKUP(S103,Parameter!$D$53:$E$77,2),"")</f>
        <v>SEDANG-RENDAH</v>
      </c>
      <c r="U103" s="130" t="s">
        <v>915</v>
      </c>
      <c r="V103" s="124" t="s">
        <v>916</v>
      </c>
      <c r="W103" s="124" t="s">
        <v>917</v>
      </c>
      <c r="X103" s="124" t="s">
        <v>918</v>
      </c>
      <c r="Y103" s="124" t="s">
        <v>327</v>
      </c>
      <c r="Z103" s="124"/>
      <c r="AA103" s="126" t="s">
        <v>920</v>
      </c>
      <c r="AB103" s="111" t="s">
        <v>386</v>
      </c>
      <c r="AC103" s="156">
        <v>46387</v>
      </c>
      <c r="AD103" s="163">
        <v>46102</v>
      </c>
      <c r="AE103" s="115" t="s">
        <v>919</v>
      </c>
      <c r="AF103" s="163"/>
      <c r="AG103" s="115"/>
      <c r="AH103" s="163"/>
      <c r="AI103" s="115"/>
      <c r="AJ103" s="163"/>
      <c r="AK103" s="115"/>
      <c r="AL103" s="169">
        <f t="shared" si="17"/>
        <v>3</v>
      </c>
      <c r="AM103" s="112">
        <f t="shared" si="18"/>
        <v>2</v>
      </c>
      <c r="AN103" s="171">
        <f t="shared" si="16"/>
        <v>6</v>
      </c>
      <c r="AO103" s="150" t="str">
        <f>_xlfn.IFNA(VLOOKUP(AN103,Parameter!$D$53:$E$77,2),"")</f>
        <v>SEDANG-RENDAH</v>
      </c>
      <c r="AP103" s="167" t="s">
        <v>379</v>
      </c>
      <c r="AQ103" s="116"/>
    </row>
    <row r="104" spans="1:43" ht="144" x14ac:dyDescent="0.3">
      <c r="A104" s="114" t="s">
        <v>48</v>
      </c>
      <c r="B104" s="112">
        <f t="shared" si="12"/>
        <v>90</v>
      </c>
      <c r="C104" s="124" t="s">
        <v>1177</v>
      </c>
      <c r="D104" s="169" t="s">
        <v>1017</v>
      </c>
      <c r="E104" s="176" t="s">
        <v>256</v>
      </c>
      <c r="F104" s="118" t="s">
        <v>368</v>
      </c>
      <c r="G104" s="117" t="s">
        <v>49</v>
      </c>
      <c r="H104" s="173" t="s">
        <v>50</v>
      </c>
      <c r="I104" s="127"/>
      <c r="J104" s="113"/>
      <c r="K104" s="113"/>
      <c r="L104" s="113"/>
      <c r="M104" s="113"/>
      <c r="N104" s="117"/>
      <c r="O104" s="120"/>
      <c r="P104" s="119"/>
      <c r="Q104" s="112">
        <v>1</v>
      </c>
      <c r="R104" s="112">
        <v>1</v>
      </c>
      <c r="S104" s="147">
        <f t="shared" si="15"/>
        <v>1</v>
      </c>
      <c r="T104" s="150" t="str">
        <f>_xlfn.IFNA(VLOOKUP(S104,Parameter!$D$53:$E$77,2),"")</f>
        <v>RENDAH</v>
      </c>
      <c r="U104" s="130"/>
      <c r="V104" s="124"/>
      <c r="W104" s="124"/>
      <c r="X104" s="124"/>
      <c r="Y104" s="124"/>
      <c r="Z104" s="124"/>
      <c r="AA104" s="126"/>
      <c r="AB104" s="145"/>
      <c r="AC104" s="156">
        <v>46387</v>
      </c>
      <c r="AD104" s="163">
        <v>46102</v>
      </c>
      <c r="AE104" s="115"/>
      <c r="AF104" s="163"/>
      <c r="AG104" s="115"/>
      <c r="AH104" s="163"/>
      <c r="AI104" s="115"/>
      <c r="AJ104" s="163"/>
      <c r="AK104" s="115"/>
      <c r="AL104" s="169">
        <f t="shared" si="17"/>
        <v>1</v>
      </c>
      <c r="AM104" s="112">
        <f t="shared" si="18"/>
        <v>1</v>
      </c>
      <c r="AN104" s="171">
        <f t="shared" si="16"/>
        <v>1</v>
      </c>
      <c r="AO104" s="150" t="str">
        <f>_xlfn.IFNA(VLOOKUP(AN104,Parameter!$D$53:$E$77,2),"")</f>
        <v>RENDAH</v>
      </c>
      <c r="AP104" s="167" t="s">
        <v>379</v>
      </c>
      <c r="AQ104" s="116"/>
    </row>
    <row r="105" spans="1:43" ht="126" x14ac:dyDescent="0.3">
      <c r="A105" s="114" t="s">
        <v>48</v>
      </c>
      <c r="B105" s="112">
        <f t="shared" si="12"/>
        <v>91</v>
      </c>
      <c r="C105" s="124" t="s">
        <v>1178</v>
      </c>
      <c r="D105" s="169" t="s">
        <v>1015</v>
      </c>
      <c r="E105" s="176" t="s">
        <v>256</v>
      </c>
      <c r="F105" s="118" t="s">
        <v>368</v>
      </c>
      <c r="G105" s="117" t="s">
        <v>49</v>
      </c>
      <c r="H105" s="173" t="s">
        <v>50</v>
      </c>
      <c r="I105" s="127"/>
      <c r="J105" s="113"/>
      <c r="K105" s="113"/>
      <c r="L105" s="113"/>
      <c r="M105" s="113"/>
      <c r="N105" s="117"/>
      <c r="O105" s="120"/>
      <c r="P105" s="119"/>
      <c r="Q105" s="112">
        <v>1</v>
      </c>
      <c r="R105" s="112">
        <v>1</v>
      </c>
      <c r="S105" s="147">
        <f t="shared" si="15"/>
        <v>1</v>
      </c>
      <c r="T105" s="150" t="str">
        <f>_xlfn.IFNA(VLOOKUP(S105,Parameter!$D$53:$E$77,2),"")</f>
        <v>RENDAH</v>
      </c>
      <c r="U105" s="130"/>
      <c r="V105" s="124"/>
      <c r="W105" s="124"/>
      <c r="X105" s="124"/>
      <c r="Y105" s="124"/>
      <c r="Z105" s="124"/>
      <c r="AA105" s="126"/>
      <c r="AB105" s="145"/>
      <c r="AC105" s="156">
        <v>46387</v>
      </c>
      <c r="AD105" s="163">
        <v>46102</v>
      </c>
      <c r="AE105" s="115"/>
      <c r="AF105" s="163"/>
      <c r="AG105" s="115"/>
      <c r="AH105" s="163"/>
      <c r="AI105" s="115"/>
      <c r="AJ105" s="163"/>
      <c r="AK105" s="115"/>
      <c r="AL105" s="169">
        <f t="shared" si="17"/>
        <v>1</v>
      </c>
      <c r="AM105" s="112">
        <f t="shared" si="18"/>
        <v>1</v>
      </c>
      <c r="AN105" s="171">
        <f t="shared" si="16"/>
        <v>1</v>
      </c>
      <c r="AO105" s="150" t="str">
        <f>_xlfn.IFNA(VLOOKUP(AN105,Parameter!$D$53:$E$77,2),"")</f>
        <v>RENDAH</v>
      </c>
      <c r="AP105" s="167" t="s">
        <v>379</v>
      </c>
      <c r="AQ105" s="116"/>
    </row>
    <row r="106" spans="1:43" ht="180" x14ac:dyDescent="0.3">
      <c r="A106" s="114" t="s">
        <v>48</v>
      </c>
      <c r="B106" s="112">
        <f t="shared" si="12"/>
        <v>92</v>
      </c>
      <c r="C106" s="124" t="s">
        <v>1240</v>
      </c>
      <c r="D106" s="169" t="s">
        <v>1015</v>
      </c>
      <c r="E106" s="176" t="s">
        <v>256</v>
      </c>
      <c r="F106" s="118" t="s">
        <v>368</v>
      </c>
      <c r="G106" s="117" t="s">
        <v>49</v>
      </c>
      <c r="H106" s="173" t="s">
        <v>190</v>
      </c>
      <c r="I106" s="127"/>
      <c r="J106" s="113"/>
      <c r="K106" s="113"/>
      <c r="L106" s="113"/>
      <c r="M106" s="113"/>
      <c r="N106" s="117"/>
      <c r="O106" s="120"/>
      <c r="P106" s="119"/>
      <c r="Q106" s="112">
        <v>1</v>
      </c>
      <c r="R106" s="112">
        <v>1</v>
      </c>
      <c r="S106" s="147">
        <f t="shared" si="15"/>
        <v>1</v>
      </c>
      <c r="T106" s="150" t="str">
        <f>_xlfn.IFNA(VLOOKUP(S106,Parameter!$D$53:$E$77,2),"")</f>
        <v>RENDAH</v>
      </c>
      <c r="U106" s="130"/>
      <c r="V106" s="124"/>
      <c r="W106" s="124"/>
      <c r="X106" s="124"/>
      <c r="Y106" s="124"/>
      <c r="Z106" s="124"/>
      <c r="AA106" s="126"/>
      <c r="AB106" s="145"/>
      <c r="AC106" s="156">
        <v>46387</v>
      </c>
      <c r="AD106" s="163">
        <v>46102</v>
      </c>
      <c r="AE106" s="115"/>
      <c r="AF106" s="163"/>
      <c r="AG106" s="115"/>
      <c r="AH106" s="163"/>
      <c r="AI106" s="115"/>
      <c r="AJ106" s="163"/>
      <c r="AK106" s="115"/>
      <c r="AL106" s="169">
        <f t="shared" si="17"/>
        <v>1</v>
      </c>
      <c r="AM106" s="112">
        <f t="shared" si="18"/>
        <v>1</v>
      </c>
      <c r="AN106" s="171">
        <f t="shared" si="16"/>
        <v>1</v>
      </c>
      <c r="AO106" s="150" t="str">
        <f>_xlfn.IFNA(VLOOKUP(AN106,Parameter!$D$53:$E$77,2),"")</f>
        <v>RENDAH</v>
      </c>
      <c r="AP106" s="167" t="s">
        <v>379</v>
      </c>
      <c r="AQ106" s="116"/>
    </row>
    <row r="107" spans="1:43" ht="252" hidden="1" x14ac:dyDescent="0.3">
      <c r="A107" s="114" t="s">
        <v>48</v>
      </c>
      <c r="B107" s="112">
        <f t="shared" si="12"/>
        <v>93</v>
      </c>
      <c r="C107" s="124" t="s">
        <v>720</v>
      </c>
      <c r="D107" s="169" t="s">
        <v>329</v>
      </c>
      <c r="E107" s="176" t="s">
        <v>256</v>
      </c>
      <c r="F107" s="118" t="s">
        <v>373</v>
      </c>
      <c r="G107" s="117" t="s">
        <v>377</v>
      </c>
      <c r="H107" s="173" t="s">
        <v>50</v>
      </c>
      <c r="I107" s="126" t="s">
        <v>717</v>
      </c>
      <c r="J107" s="111" t="s">
        <v>719</v>
      </c>
      <c r="K107" s="111" t="s">
        <v>718</v>
      </c>
      <c r="L107" s="111" t="s">
        <v>721</v>
      </c>
      <c r="M107" s="111" t="s">
        <v>722</v>
      </c>
      <c r="N107" s="117" t="s">
        <v>385</v>
      </c>
      <c r="O107" s="120" t="s">
        <v>723</v>
      </c>
      <c r="P107" s="119" t="s">
        <v>724</v>
      </c>
      <c r="Q107" s="112">
        <v>4</v>
      </c>
      <c r="R107" s="112">
        <v>3</v>
      </c>
      <c r="S107" s="117">
        <f t="shared" si="15"/>
        <v>12</v>
      </c>
      <c r="T107" s="150" t="str">
        <f>_xlfn.IFNA(VLOOKUP(S107,Parameter!$D$53:$E$77,2),"")</f>
        <v>SEDANG</v>
      </c>
      <c r="U107" s="130" t="s">
        <v>725</v>
      </c>
      <c r="V107" s="124" t="s">
        <v>726</v>
      </c>
      <c r="W107" s="124" t="s">
        <v>727</v>
      </c>
      <c r="X107" s="124" t="s">
        <v>728</v>
      </c>
      <c r="Y107" s="124" t="s">
        <v>337</v>
      </c>
      <c r="Z107" s="124"/>
      <c r="AA107" s="126" t="s">
        <v>731</v>
      </c>
      <c r="AB107" s="111" t="s">
        <v>729</v>
      </c>
      <c r="AC107" s="156">
        <v>46387</v>
      </c>
      <c r="AD107" s="163">
        <v>46102</v>
      </c>
      <c r="AE107" s="115" t="s">
        <v>730</v>
      </c>
      <c r="AF107" s="163"/>
      <c r="AG107" s="115"/>
      <c r="AH107" s="163"/>
      <c r="AI107" s="115"/>
      <c r="AJ107" s="163"/>
      <c r="AK107" s="115"/>
      <c r="AL107" s="169">
        <f t="shared" ref="AL107:AL129" si="19">Q107</f>
        <v>4</v>
      </c>
      <c r="AM107" s="112">
        <f t="shared" si="18"/>
        <v>3</v>
      </c>
      <c r="AN107" s="147">
        <f t="shared" si="16"/>
        <v>12</v>
      </c>
      <c r="AO107" s="150" t="str">
        <f>_xlfn.IFNA(VLOOKUP(AN107,Parameter!$D$53:$E$77,2),"")</f>
        <v>SEDANG</v>
      </c>
      <c r="AP107" s="167" t="s">
        <v>379</v>
      </c>
      <c r="AQ107" s="115"/>
    </row>
    <row r="108" spans="1:43" ht="162" x14ac:dyDescent="0.3">
      <c r="A108" s="114" t="s">
        <v>48</v>
      </c>
      <c r="B108" s="112">
        <f t="shared" si="12"/>
        <v>94</v>
      </c>
      <c r="C108" s="124" t="s">
        <v>1239</v>
      </c>
      <c r="D108" s="169" t="s">
        <v>329</v>
      </c>
      <c r="E108" s="176" t="s">
        <v>256</v>
      </c>
      <c r="F108" s="118" t="s">
        <v>368</v>
      </c>
      <c r="G108" s="117" t="s">
        <v>49</v>
      </c>
      <c r="H108" s="173" t="s">
        <v>190</v>
      </c>
      <c r="I108" s="127"/>
      <c r="J108" s="113"/>
      <c r="K108" s="113"/>
      <c r="L108" s="113"/>
      <c r="M108" s="113"/>
      <c r="N108" s="117"/>
      <c r="O108" s="120"/>
      <c r="P108" s="119"/>
      <c r="Q108" s="112">
        <v>1</v>
      </c>
      <c r="R108" s="112">
        <v>1</v>
      </c>
      <c r="S108" s="147">
        <f t="shared" si="15"/>
        <v>1</v>
      </c>
      <c r="T108" s="150" t="str">
        <f>_xlfn.IFNA(VLOOKUP(S108,Parameter!$D$53:$E$77,2),"")</f>
        <v>RENDAH</v>
      </c>
      <c r="U108" s="130"/>
      <c r="V108" s="124"/>
      <c r="W108" s="124"/>
      <c r="X108" s="124"/>
      <c r="Y108" s="124"/>
      <c r="Z108" s="124"/>
      <c r="AA108" s="126"/>
      <c r="AB108" s="145"/>
      <c r="AC108" s="156">
        <v>46387</v>
      </c>
      <c r="AD108" s="163">
        <v>46102</v>
      </c>
      <c r="AE108" s="115"/>
      <c r="AF108" s="163"/>
      <c r="AG108" s="115"/>
      <c r="AH108" s="163"/>
      <c r="AI108" s="115"/>
      <c r="AJ108" s="163"/>
      <c r="AK108" s="115"/>
      <c r="AL108" s="169">
        <f t="shared" si="19"/>
        <v>1</v>
      </c>
      <c r="AM108" s="112">
        <f t="shared" ref="AM108:AM129" si="20">R108</f>
        <v>1</v>
      </c>
      <c r="AN108" s="171">
        <f t="shared" si="16"/>
        <v>1</v>
      </c>
      <c r="AO108" s="150" t="str">
        <f>_xlfn.IFNA(VLOOKUP(AN108,Parameter!$D$53:$E$77,2),"")</f>
        <v>RENDAH</v>
      </c>
      <c r="AP108" s="167" t="s">
        <v>379</v>
      </c>
      <c r="AQ108" s="116"/>
    </row>
    <row r="109" spans="1:43" ht="234" x14ac:dyDescent="0.3">
      <c r="A109" s="114" t="s">
        <v>48</v>
      </c>
      <c r="B109" s="112">
        <f t="shared" si="12"/>
        <v>95</v>
      </c>
      <c r="C109" s="124" t="s">
        <v>1242</v>
      </c>
      <c r="D109" s="169" t="s">
        <v>329</v>
      </c>
      <c r="E109" s="176" t="s">
        <v>256</v>
      </c>
      <c r="F109" s="118" t="s">
        <v>368</v>
      </c>
      <c r="G109" s="117" t="s">
        <v>49</v>
      </c>
      <c r="H109" s="173" t="s">
        <v>190</v>
      </c>
      <c r="I109" s="127"/>
      <c r="J109" s="113"/>
      <c r="K109" s="113"/>
      <c r="L109" s="113"/>
      <c r="M109" s="113"/>
      <c r="N109" s="117"/>
      <c r="O109" s="120"/>
      <c r="P109" s="119"/>
      <c r="Q109" s="112">
        <v>1</v>
      </c>
      <c r="R109" s="112">
        <v>1</v>
      </c>
      <c r="S109" s="147">
        <f t="shared" si="15"/>
        <v>1</v>
      </c>
      <c r="T109" s="150" t="str">
        <f>_xlfn.IFNA(VLOOKUP(S109,Parameter!$D$53:$E$77,2),"")</f>
        <v>RENDAH</v>
      </c>
      <c r="U109" s="130"/>
      <c r="V109" s="124"/>
      <c r="W109" s="124"/>
      <c r="X109" s="124"/>
      <c r="Y109" s="124"/>
      <c r="Z109" s="124"/>
      <c r="AA109" s="126"/>
      <c r="AB109" s="145"/>
      <c r="AC109" s="156">
        <v>46387</v>
      </c>
      <c r="AD109" s="163">
        <v>46102</v>
      </c>
      <c r="AE109" s="115"/>
      <c r="AF109" s="163"/>
      <c r="AG109" s="115"/>
      <c r="AH109" s="163"/>
      <c r="AI109" s="115"/>
      <c r="AJ109" s="163"/>
      <c r="AK109" s="115"/>
      <c r="AL109" s="169">
        <f t="shared" si="19"/>
        <v>1</v>
      </c>
      <c r="AM109" s="112">
        <f t="shared" si="20"/>
        <v>1</v>
      </c>
      <c r="AN109" s="171">
        <f t="shared" si="16"/>
        <v>1</v>
      </c>
      <c r="AO109" s="150" t="str">
        <f>_xlfn.IFNA(VLOOKUP(AN109,Parameter!$D$53:$E$77,2),"")</f>
        <v>RENDAH</v>
      </c>
      <c r="AP109" s="167" t="s">
        <v>379</v>
      </c>
      <c r="AQ109" s="116"/>
    </row>
    <row r="110" spans="1:43" ht="216" x14ac:dyDescent="0.3">
      <c r="A110" s="114" t="s">
        <v>48</v>
      </c>
      <c r="B110" s="112">
        <f t="shared" si="12"/>
        <v>96</v>
      </c>
      <c r="C110" s="124" t="s">
        <v>1247</v>
      </c>
      <c r="D110" s="169" t="s">
        <v>329</v>
      </c>
      <c r="E110" s="176" t="s">
        <v>256</v>
      </c>
      <c r="F110" s="118" t="s">
        <v>368</v>
      </c>
      <c r="G110" s="117" t="s">
        <v>49</v>
      </c>
      <c r="H110" s="173" t="s">
        <v>50</v>
      </c>
      <c r="I110" s="127"/>
      <c r="J110" s="113"/>
      <c r="K110" s="113"/>
      <c r="L110" s="113"/>
      <c r="M110" s="113"/>
      <c r="N110" s="117"/>
      <c r="O110" s="120"/>
      <c r="P110" s="119"/>
      <c r="Q110" s="112">
        <v>1</v>
      </c>
      <c r="R110" s="112">
        <v>1</v>
      </c>
      <c r="S110" s="147">
        <f t="shared" si="15"/>
        <v>1</v>
      </c>
      <c r="T110" s="150" t="str">
        <f>_xlfn.IFNA(VLOOKUP(S110,Parameter!$D$53:$E$77,2),"")</f>
        <v>RENDAH</v>
      </c>
      <c r="U110" s="130"/>
      <c r="V110" s="124"/>
      <c r="W110" s="124"/>
      <c r="X110" s="124"/>
      <c r="Y110" s="124"/>
      <c r="Z110" s="124"/>
      <c r="AA110" s="126"/>
      <c r="AB110" s="145"/>
      <c r="AC110" s="156">
        <v>46387</v>
      </c>
      <c r="AD110" s="165"/>
      <c r="AE110" s="115"/>
      <c r="AF110" s="165"/>
      <c r="AG110" s="115"/>
      <c r="AH110" s="165"/>
      <c r="AI110" s="115"/>
      <c r="AJ110" s="165"/>
      <c r="AK110" s="115"/>
      <c r="AL110" s="169">
        <f t="shared" si="19"/>
        <v>1</v>
      </c>
      <c r="AM110" s="112">
        <f t="shared" si="20"/>
        <v>1</v>
      </c>
      <c r="AN110" s="171">
        <f t="shared" si="16"/>
        <v>1</v>
      </c>
      <c r="AO110" s="150" t="str">
        <f>_xlfn.IFNA(VLOOKUP(AN110,Parameter!$D$53:$E$77,2),"")</f>
        <v>RENDAH</v>
      </c>
      <c r="AP110" s="167" t="s">
        <v>379</v>
      </c>
      <c r="AQ110" s="116"/>
    </row>
    <row r="111" spans="1:43" ht="144" x14ac:dyDescent="0.3">
      <c r="A111" s="114" t="s">
        <v>48</v>
      </c>
      <c r="B111" s="112">
        <f t="shared" si="12"/>
        <v>97</v>
      </c>
      <c r="C111" s="124" t="s">
        <v>1179</v>
      </c>
      <c r="D111" s="169" t="s">
        <v>1005</v>
      </c>
      <c r="E111" s="176" t="s">
        <v>256</v>
      </c>
      <c r="F111" s="118" t="s">
        <v>368</v>
      </c>
      <c r="G111" s="117" t="s">
        <v>49</v>
      </c>
      <c r="H111" s="173" t="s">
        <v>50</v>
      </c>
      <c r="I111" s="127"/>
      <c r="J111" s="113"/>
      <c r="K111" s="113"/>
      <c r="L111" s="113"/>
      <c r="M111" s="113"/>
      <c r="N111" s="117"/>
      <c r="O111" s="120"/>
      <c r="P111" s="119"/>
      <c r="Q111" s="112">
        <v>1</v>
      </c>
      <c r="R111" s="112">
        <v>1</v>
      </c>
      <c r="S111" s="147">
        <f t="shared" si="15"/>
        <v>1</v>
      </c>
      <c r="T111" s="150" t="str">
        <f>_xlfn.IFNA(VLOOKUP(S111,Parameter!$D$53:$E$77,2),"")</f>
        <v>RENDAH</v>
      </c>
      <c r="U111" s="130"/>
      <c r="V111" s="124"/>
      <c r="W111" s="124"/>
      <c r="X111" s="124"/>
      <c r="Y111" s="124"/>
      <c r="Z111" s="124"/>
      <c r="AA111" s="126"/>
      <c r="AB111" s="145"/>
      <c r="AC111" s="156">
        <v>46387</v>
      </c>
      <c r="AD111" s="163">
        <v>46102</v>
      </c>
      <c r="AE111" s="115"/>
      <c r="AF111" s="163"/>
      <c r="AG111" s="115"/>
      <c r="AH111" s="163"/>
      <c r="AI111" s="115"/>
      <c r="AJ111" s="163"/>
      <c r="AK111" s="115"/>
      <c r="AL111" s="169">
        <f t="shared" si="19"/>
        <v>1</v>
      </c>
      <c r="AM111" s="112">
        <f t="shared" si="20"/>
        <v>1</v>
      </c>
      <c r="AN111" s="171">
        <f t="shared" si="16"/>
        <v>1</v>
      </c>
      <c r="AO111" s="150" t="str">
        <f>_xlfn.IFNA(VLOOKUP(AN111,Parameter!$D$53:$E$77,2),"")</f>
        <v>RENDAH</v>
      </c>
      <c r="AP111" s="167" t="s">
        <v>379</v>
      </c>
      <c r="AQ111" s="116"/>
    </row>
    <row r="112" spans="1:43" ht="126" x14ac:dyDescent="0.3">
      <c r="A112" s="114" t="s">
        <v>48</v>
      </c>
      <c r="B112" s="112">
        <f t="shared" si="12"/>
        <v>98</v>
      </c>
      <c r="C112" s="124" t="s">
        <v>1180</v>
      </c>
      <c r="D112" s="169" t="s">
        <v>1005</v>
      </c>
      <c r="E112" s="176" t="s">
        <v>256</v>
      </c>
      <c r="F112" s="118" t="s">
        <v>368</v>
      </c>
      <c r="G112" s="117" t="s">
        <v>49</v>
      </c>
      <c r="H112" s="173" t="s">
        <v>50</v>
      </c>
      <c r="I112" s="127"/>
      <c r="J112" s="113"/>
      <c r="K112" s="113"/>
      <c r="L112" s="113"/>
      <c r="M112" s="113"/>
      <c r="N112" s="117"/>
      <c r="O112" s="120"/>
      <c r="P112" s="119"/>
      <c r="Q112" s="112">
        <v>1</v>
      </c>
      <c r="R112" s="112">
        <v>1</v>
      </c>
      <c r="S112" s="147">
        <f t="shared" si="15"/>
        <v>1</v>
      </c>
      <c r="T112" s="150" t="str">
        <f>_xlfn.IFNA(VLOOKUP(S112,Parameter!$D$53:$E$77,2),"")</f>
        <v>RENDAH</v>
      </c>
      <c r="U112" s="130"/>
      <c r="V112" s="124"/>
      <c r="W112" s="124"/>
      <c r="X112" s="124"/>
      <c r="Y112" s="124"/>
      <c r="Z112" s="124"/>
      <c r="AA112" s="126"/>
      <c r="AB112" s="145"/>
      <c r="AC112" s="156">
        <v>46387</v>
      </c>
      <c r="AD112" s="163">
        <v>46102</v>
      </c>
      <c r="AE112" s="115"/>
      <c r="AF112" s="163"/>
      <c r="AG112" s="115"/>
      <c r="AH112" s="163"/>
      <c r="AI112" s="115"/>
      <c r="AJ112" s="163"/>
      <c r="AK112" s="115"/>
      <c r="AL112" s="169">
        <f t="shared" si="19"/>
        <v>1</v>
      </c>
      <c r="AM112" s="112">
        <f t="shared" si="20"/>
        <v>1</v>
      </c>
      <c r="AN112" s="171">
        <f t="shared" si="16"/>
        <v>1</v>
      </c>
      <c r="AO112" s="150" t="str">
        <f>_xlfn.IFNA(VLOOKUP(AN112,Parameter!$D$53:$E$77,2),"")</f>
        <v>RENDAH</v>
      </c>
      <c r="AP112" s="167" t="s">
        <v>379</v>
      </c>
      <c r="AQ112" s="116"/>
    </row>
    <row r="113" spans="1:43" ht="162" x14ac:dyDescent="0.3">
      <c r="A113" s="114" t="s">
        <v>48</v>
      </c>
      <c r="B113" s="112">
        <f t="shared" si="12"/>
        <v>99</v>
      </c>
      <c r="C113" s="124" t="s">
        <v>1181</v>
      </c>
      <c r="D113" s="169" t="s">
        <v>1006</v>
      </c>
      <c r="E113" s="176" t="s">
        <v>256</v>
      </c>
      <c r="F113" s="118" t="s">
        <v>367</v>
      </c>
      <c r="G113" s="117" t="s">
        <v>377</v>
      </c>
      <c r="H113" s="173" t="s">
        <v>50</v>
      </c>
      <c r="I113" s="127"/>
      <c r="J113" s="113"/>
      <c r="K113" s="113"/>
      <c r="L113" s="113"/>
      <c r="M113" s="113"/>
      <c r="N113" s="117" t="s">
        <v>385</v>
      </c>
      <c r="O113" s="120"/>
      <c r="P113" s="119"/>
      <c r="Q113" s="112">
        <v>1</v>
      </c>
      <c r="R113" s="112">
        <v>1</v>
      </c>
      <c r="S113" s="147">
        <f t="shared" si="15"/>
        <v>1</v>
      </c>
      <c r="T113" s="150" t="str">
        <f>_xlfn.IFNA(VLOOKUP(S113,Parameter!$D$53:$E$77,2),"")</f>
        <v>RENDAH</v>
      </c>
      <c r="U113" s="130"/>
      <c r="V113" s="124" t="s">
        <v>386</v>
      </c>
      <c r="W113" s="124" t="s">
        <v>386</v>
      </c>
      <c r="X113" s="124" t="s">
        <v>386</v>
      </c>
      <c r="Y113" s="124" t="s">
        <v>747</v>
      </c>
      <c r="Z113" s="124"/>
      <c r="AA113" s="126" t="s">
        <v>386</v>
      </c>
      <c r="AB113" s="111" t="s">
        <v>386</v>
      </c>
      <c r="AC113" s="156">
        <v>46387</v>
      </c>
      <c r="AD113" s="163">
        <v>46102</v>
      </c>
      <c r="AE113" s="115" t="s">
        <v>386</v>
      </c>
      <c r="AF113" s="163"/>
      <c r="AG113" s="115"/>
      <c r="AH113" s="163"/>
      <c r="AI113" s="115"/>
      <c r="AJ113" s="163"/>
      <c r="AK113" s="115"/>
      <c r="AL113" s="169">
        <f t="shared" si="19"/>
        <v>1</v>
      </c>
      <c r="AM113" s="112">
        <f t="shared" si="20"/>
        <v>1</v>
      </c>
      <c r="AN113" s="171">
        <f t="shared" si="16"/>
        <v>1</v>
      </c>
      <c r="AO113" s="150" t="str">
        <f>_xlfn.IFNA(VLOOKUP(AN113,Parameter!$D$53:$E$77,2),"")</f>
        <v>RENDAH</v>
      </c>
      <c r="AP113" s="167" t="s">
        <v>379</v>
      </c>
      <c r="AQ113" s="116"/>
    </row>
    <row r="114" spans="1:43" ht="144" x14ac:dyDescent="0.3">
      <c r="A114" s="114" t="s">
        <v>48</v>
      </c>
      <c r="B114" s="112">
        <f t="shared" si="12"/>
        <v>100</v>
      </c>
      <c r="C114" s="124" t="s">
        <v>1182</v>
      </c>
      <c r="D114" s="169" t="s">
        <v>1006</v>
      </c>
      <c r="E114" s="176" t="s">
        <v>256</v>
      </c>
      <c r="F114" s="118" t="s">
        <v>368</v>
      </c>
      <c r="G114" s="117" t="s">
        <v>49</v>
      </c>
      <c r="H114" s="173" t="s">
        <v>50</v>
      </c>
      <c r="I114" s="127"/>
      <c r="J114" s="113"/>
      <c r="K114" s="113"/>
      <c r="L114" s="113"/>
      <c r="M114" s="113"/>
      <c r="N114" s="117"/>
      <c r="O114" s="120"/>
      <c r="P114" s="119"/>
      <c r="Q114" s="112">
        <v>1</v>
      </c>
      <c r="R114" s="112">
        <v>1</v>
      </c>
      <c r="S114" s="147">
        <f t="shared" si="15"/>
        <v>1</v>
      </c>
      <c r="T114" s="150" t="str">
        <f>_xlfn.IFNA(VLOOKUP(S114,Parameter!$D$53:$E$77,2),"")</f>
        <v>RENDAH</v>
      </c>
      <c r="U114" s="130"/>
      <c r="V114" s="124"/>
      <c r="W114" s="124"/>
      <c r="X114" s="124"/>
      <c r="Y114" s="124"/>
      <c r="Z114" s="124"/>
      <c r="AA114" s="126"/>
      <c r="AB114" s="145"/>
      <c r="AC114" s="156">
        <v>46387</v>
      </c>
      <c r="AD114" s="163">
        <v>46102</v>
      </c>
      <c r="AE114" s="115"/>
      <c r="AF114" s="163"/>
      <c r="AG114" s="115"/>
      <c r="AH114" s="163"/>
      <c r="AI114" s="115"/>
      <c r="AJ114" s="163"/>
      <c r="AK114" s="115"/>
      <c r="AL114" s="169">
        <f t="shared" si="19"/>
        <v>1</v>
      </c>
      <c r="AM114" s="112">
        <f t="shared" si="20"/>
        <v>1</v>
      </c>
      <c r="AN114" s="171">
        <f t="shared" si="16"/>
        <v>1</v>
      </c>
      <c r="AO114" s="150" t="str">
        <f>_xlfn.IFNA(VLOOKUP(AN114,Parameter!$D$53:$E$77,2),"")</f>
        <v>RENDAH</v>
      </c>
      <c r="AP114" s="167" t="s">
        <v>379</v>
      </c>
      <c r="AQ114" s="116"/>
    </row>
    <row r="115" spans="1:43" ht="162" x14ac:dyDescent="0.3">
      <c r="A115" s="114" t="s">
        <v>48</v>
      </c>
      <c r="B115" s="112">
        <f t="shared" si="12"/>
        <v>101</v>
      </c>
      <c r="C115" s="124" t="s">
        <v>1183</v>
      </c>
      <c r="D115" s="169" t="s">
        <v>1006</v>
      </c>
      <c r="E115" s="176" t="s">
        <v>256</v>
      </c>
      <c r="F115" s="118" t="s">
        <v>368</v>
      </c>
      <c r="G115" s="117" t="s">
        <v>49</v>
      </c>
      <c r="H115" s="173" t="s">
        <v>50</v>
      </c>
      <c r="I115" s="127"/>
      <c r="J115" s="113"/>
      <c r="K115" s="113"/>
      <c r="L115" s="113"/>
      <c r="M115" s="113"/>
      <c r="N115" s="117"/>
      <c r="O115" s="120"/>
      <c r="P115" s="119"/>
      <c r="Q115" s="112">
        <v>1</v>
      </c>
      <c r="R115" s="112">
        <v>1</v>
      </c>
      <c r="S115" s="147">
        <f t="shared" si="15"/>
        <v>1</v>
      </c>
      <c r="T115" s="150" t="str">
        <f>_xlfn.IFNA(VLOOKUP(S115,Parameter!$D$53:$E$77,2),"")</f>
        <v>RENDAH</v>
      </c>
      <c r="U115" s="130"/>
      <c r="V115" s="124"/>
      <c r="W115" s="124"/>
      <c r="X115" s="124"/>
      <c r="Y115" s="124"/>
      <c r="Z115" s="124"/>
      <c r="AA115" s="126"/>
      <c r="AB115" s="145"/>
      <c r="AC115" s="156">
        <v>46387</v>
      </c>
      <c r="AD115" s="163">
        <v>46102</v>
      </c>
      <c r="AE115" s="115"/>
      <c r="AF115" s="163"/>
      <c r="AG115" s="115"/>
      <c r="AH115" s="163"/>
      <c r="AI115" s="115"/>
      <c r="AJ115" s="163"/>
      <c r="AK115" s="115"/>
      <c r="AL115" s="169">
        <f t="shared" si="19"/>
        <v>1</v>
      </c>
      <c r="AM115" s="112">
        <f t="shared" si="20"/>
        <v>1</v>
      </c>
      <c r="AN115" s="171">
        <f t="shared" si="16"/>
        <v>1</v>
      </c>
      <c r="AO115" s="150" t="str">
        <f>_xlfn.IFNA(VLOOKUP(AN115,Parameter!$D$53:$E$77,2),"")</f>
        <v>RENDAH</v>
      </c>
      <c r="AP115" s="167" t="s">
        <v>379</v>
      </c>
      <c r="AQ115" s="116"/>
    </row>
    <row r="116" spans="1:43" ht="126" x14ac:dyDescent="0.3">
      <c r="A116" s="114" t="s">
        <v>48</v>
      </c>
      <c r="B116" s="112">
        <f t="shared" si="12"/>
        <v>102</v>
      </c>
      <c r="C116" s="124" t="s">
        <v>1184</v>
      </c>
      <c r="D116" s="169" t="s">
        <v>346</v>
      </c>
      <c r="E116" s="176" t="s">
        <v>256</v>
      </c>
      <c r="F116" s="118" t="s">
        <v>368</v>
      </c>
      <c r="G116" s="117" t="s">
        <v>49</v>
      </c>
      <c r="H116" s="173" t="s">
        <v>50</v>
      </c>
      <c r="I116" s="127"/>
      <c r="J116" s="113"/>
      <c r="K116" s="113"/>
      <c r="L116" s="113"/>
      <c r="M116" s="113"/>
      <c r="N116" s="117"/>
      <c r="O116" s="120"/>
      <c r="P116" s="119"/>
      <c r="Q116" s="112">
        <v>1</v>
      </c>
      <c r="R116" s="112">
        <v>1</v>
      </c>
      <c r="S116" s="147">
        <f t="shared" si="15"/>
        <v>1</v>
      </c>
      <c r="T116" s="150" t="str">
        <f>_xlfn.IFNA(VLOOKUP(S116,Parameter!$D$53:$E$77,2),"")</f>
        <v>RENDAH</v>
      </c>
      <c r="U116" s="130"/>
      <c r="V116" s="124"/>
      <c r="W116" s="124"/>
      <c r="X116" s="124"/>
      <c r="Y116" s="124"/>
      <c r="Z116" s="124"/>
      <c r="AA116" s="126"/>
      <c r="AB116" s="145"/>
      <c r="AC116" s="156">
        <v>46387</v>
      </c>
      <c r="AD116" s="163">
        <v>46102</v>
      </c>
      <c r="AE116" s="115"/>
      <c r="AF116" s="163"/>
      <c r="AG116" s="115"/>
      <c r="AH116" s="163"/>
      <c r="AI116" s="115"/>
      <c r="AJ116" s="163"/>
      <c r="AK116" s="115"/>
      <c r="AL116" s="169">
        <f t="shared" si="19"/>
        <v>1</v>
      </c>
      <c r="AM116" s="112">
        <f t="shared" si="20"/>
        <v>1</v>
      </c>
      <c r="AN116" s="171">
        <f t="shared" si="16"/>
        <v>1</v>
      </c>
      <c r="AO116" s="150" t="str">
        <f>_xlfn.IFNA(VLOOKUP(AN116,Parameter!$D$53:$E$77,2),"")</f>
        <v>RENDAH</v>
      </c>
      <c r="AP116" s="167" t="s">
        <v>379</v>
      </c>
      <c r="AQ116" s="116"/>
    </row>
    <row r="117" spans="1:43" ht="144" x14ac:dyDescent="0.3">
      <c r="A117" s="114" t="s">
        <v>48</v>
      </c>
      <c r="B117" s="112">
        <f t="shared" si="12"/>
        <v>103</v>
      </c>
      <c r="C117" s="124" t="s">
        <v>1185</v>
      </c>
      <c r="D117" s="169" t="s">
        <v>346</v>
      </c>
      <c r="E117" s="176" t="s">
        <v>256</v>
      </c>
      <c r="F117" s="118" t="s">
        <v>368</v>
      </c>
      <c r="G117" s="117" t="s">
        <v>49</v>
      </c>
      <c r="H117" s="173" t="s">
        <v>50</v>
      </c>
      <c r="I117" s="127"/>
      <c r="J117" s="113"/>
      <c r="K117" s="113"/>
      <c r="L117" s="113"/>
      <c r="M117" s="113"/>
      <c r="N117" s="117"/>
      <c r="O117" s="120"/>
      <c r="P117" s="119"/>
      <c r="Q117" s="112">
        <v>1</v>
      </c>
      <c r="R117" s="112">
        <v>1</v>
      </c>
      <c r="S117" s="147">
        <f t="shared" si="15"/>
        <v>1</v>
      </c>
      <c r="T117" s="150" t="str">
        <f>_xlfn.IFNA(VLOOKUP(S117,Parameter!$D$53:$E$77,2),"")</f>
        <v>RENDAH</v>
      </c>
      <c r="U117" s="130"/>
      <c r="V117" s="124"/>
      <c r="W117" s="124"/>
      <c r="X117" s="124"/>
      <c r="Y117" s="124"/>
      <c r="Z117" s="124"/>
      <c r="AA117" s="126"/>
      <c r="AB117" s="145"/>
      <c r="AC117" s="156">
        <v>46387</v>
      </c>
      <c r="AD117" s="163">
        <v>46102</v>
      </c>
      <c r="AE117" s="115"/>
      <c r="AF117" s="163"/>
      <c r="AG117" s="115"/>
      <c r="AH117" s="163"/>
      <c r="AI117" s="115"/>
      <c r="AJ117" s="163"/>
      <c r="AK117" s="115"/>
      <c r="AL117" s="169">
        <f t="shared" si="19"/>
        <v>1</v>
      </c>
      <c r="AM117" s="112">
        <f t="shared" si="20"/>
        <v>1</v>
      </c>
      <c r="AN117" s="171">
        <f t="shared" si="16"/>
        <v>1</v>
      </c>
      <c r="AO117" s="150" t="str">
        <f>_xlfn.IFNA(VLOOKUP(AN117,Parameter!$D$53:$E$77,2),"")</f>
        <v>RENDAH</v>
      </c>
      <c r="AP117" s="167" t="s">
        <v>379</v>
      </c>
      <c r="AQ117" s="116"/>
    </row>
    <row r="118" spans="1:43" ht="144" x14ac:dyDescent="0.3">
      <c r="A118" s="114" t="s">
        <v>48</v>
      </c>
      <c r="B118" s="112">
        <f t="shared" si="12"/>
        <v>104</v>
      </c>
      <c r="C118" s="124" t="s">
        <v>1234</v>
      </c>
      <c r="D118" s="169" t="s">
        <v>346</v>
      </c>
      <c r="E118" s="176" t="s">
        <v>256</v>
      </c>
      <c r="F118" s="118" t="s">
        <v>368</v>
      </c>
      <c r="G118" s="117" t="s">
        <v>49</v>
      </c>
      <c r="H118" s="173" t="s">
        <v>190</v>
      </c>
      <c r="I118" s="127"/>
      <c r="J118" s="113"/>
      <c r="K118" s="113"/>
      <c r="L118" s="113"/>
      <c r="M118" s="113"/>
      <c r="N118" s="117"/>
      <c r="O118" s="120"/>
      <c r="P118" s="119"/>
      <c r="Q118" s="112">
        <v>1</v>
      </c>
      <c r="R118" s="112">
        <v>1</v>
      </c>
      <c r="S118" s="147">
        <f t="shared" si="15"/>
        <v>1</v>
      </c>
      <c r="T118" s="150" t="str">
        <f>_xlfn.IFNA(VLOOKUP(S118,Parameter!$D$53:$E$77,2),"")</f>
        <v>RENDAH</v>
      </c>
      <c r="U118" s="130"/>
      <c r="V118" s="124"/>
      <c r="W118" s="124"/>
      <c r="X118" s="124"/>
      <c r="Y118" s="124"/>
      <c r="Z118" s="124"/>
      <c r="AA118" s="126"/>
      <c r="AB118" s="145"/>
      <c r="AC118" s="156">
        <v>46387</v>
      </c>
      <c r="AD118" s="163">
        <v>46102</v>
      </c>
      <c r="AE118" s="115"/>
      <c r="AF118" s="163"/>
      <c r="AG118" s="115"/>
      <c r="AH118" s="163"/>
      <c r="AI118" s="115"/>
      <c r="AJ118" s="163"/>
      <c r="AK118" s="115"/>
      <c r="AL118" s="169">
        <f t="shared" si="19"/>
        <v>1</v>
      </c>
      <c r="AM118" s="112">
        <f t="shared" si="20"/>
        <v>1</v>
      </c>
      <c r="AN118" s="171">
        <f t="shared" si="16"/>
        <v>1</v>
      </c>
      <c r="AO118" s="150" t="str">
        <f>_xlfn.IFNA(VLOOKUP(AN118,Parameter!$D$53:$E$77,2),"")</f>
        <v>RENDAH</v>
      </c>
      <c r="AP118" s="167" t="s">
        <v>379</v>
      </c>
      <c r="AQ118" s="116"/>
    </row>
    <row r="119" spans="1:43" ht="126" x14ac:dyDescent="0.3">
      <c r="A119" s="114" t="s">
        <v>48</v>
      </c>
      <c r="B119" s="112">
        <f t="shared" si="12"/>
        <v>105</v>
      </c>
      <c r="C119" s="124" t="s">
        <v>1186</v>
      </c>
      <c r="D119" s="169" t="s">
        <v>1001</v>
      </c>
      <c r="E119" s="176" t="s">
        <v>256</v>
      </c>
      <c r="F119" s="118" t="s">
        <v>368</v>
      </c>
      <c r="G119" s="117" t="s">
        <v>49</v>
      </c>
      <c r="H119" s="173" t="s">
        <v>50</v>
      </c>
      <c r="I119" s="127"/>
      <c r="J119" s="113"/>
      <c r="K119" s="113"/>
      <c r="L119" s="113"/>
      <c r="M119" s="113"/>
      <c r="N119" s="117"/>
      <c r="O119" s="120"/>
      <c r="P119" s="119"/>
      <c r="Q119" s="112">
        <v>1</v>
      </c>
      <c r="R119" s="112">
        <v>1</v>
      </c>
      <c r="S119" s="147">
        <f t="shared" si="15"/>
        <v>1</v>
      </c>
      <c r="T119" s="150" t="str">
        <f>_xlfn.IFNA(VLOOKUP(S119,Parameter!$D$53:$E$77,2),"")</f>
        <v>RENDAH</v>
      </c>
      <c r="U119" s="130"/>
      <c r="V119" s="124"/>
      <c r="W119" s="124"/>
      <c r="X119" s="124"/>
      <c r="Y119" s="124"/>
      <c r="Z119" s="124"/>
      <c r="AA119" s="126"/>
      <c r="AB119" s="145"/>
      <c r="AC119" s="156">
        <v>46387</v>
      </c>
      <c r="AD119" s="163">
        <v>46102</v>
      </c>
      <c r="AE119" s="115"/>
      <c r="AF119" s="163"/>
      <c r="AG119" s="115"/>
      <c r="AH119" s="163"/>
      <c r="AI119" s="115"/>
      <c r="AJ119" s="163"/>
      <c r="AK119" s="115"/>
      <c r="AL119" s="169">
        <f t="shared" si="19"/>
        <v>1</v>
      </c>
      <c r="AM119" s="112">
        <f t="shared" si="20"/>
        <v>1</v>
      </c>
      <c r="AN119" s="171">
        <f t="shared" si="16"/>
        <v>1</v>
      </c>
      <c r="AO119" s="150" t="str">
        <f>_xlfn.IFNA(VLOOKUP(AN119,Parameter!$D$53:$E$77,2),"")</f>
        <v>RENDAH</v>
      </c>
      <c r="AP119" s="167" t="s">
        <v>379</v>
      </c>
      <c r="AQ119" s="116"/>
    </row>
    <row r="120" spans="1:43" ht="144" x14ac:dyDescent="0.3">
      <c r="A120" s="114" t="s">
        <v>48</v>
      </c>
      <c r="B120" s="112">
        <f t="shared" si="12"/>
        <v>106</v>
      </c>
      <c r="C120" s="124" t="s">
        <v>1187</v>
      </c>
      <c r="D120" s="169" t="s">
        <v>1001</v>
      </c>
      <c r="E120" s="176" t="s">
        <v>256</v>
      </c>
      <c r="F120" s="118" t="s">
        <v>368</v>
      </c>
      <c r="G120" s="117" t="s">
        <v>49</v>
      </c>
      <c r="H120" s="173" t="s">
        <v>50</v>
      </c>
      <c r="I120" s="127"/>
      <c r="J120" s="113"/>
      <c r="K120" s="113"/>
      <c r="L120" s="113"/>
      <c r="M120" s="113"/>
      <c r="N120" s="117"/>
      <c r="O120" s="120"/>
      <c r="P120" s="119"/>
      <c r="Q120" s="112">
        <v>1</v>
      </c>
      <c r="R120" s="112">
        <v>1</v>
      </c>
      <c r="S120" s="147">
        <f t="shared" si="15"/>
        <v>1</v>
      </c>
      <c r="T120" s="150" t="str">
        <f>_xlfn.IFNA(VLOOKUP(S120,Parameter!$D$53:$E$77,2),"")</f>
        <v>RENDAH</v>
      </c>
      <c r="U120" s="130"/>
      <c r="V120" s="124"/>
      <c r="W120" s="124"/>
      <c r="X120" s="124"/>
      <c r="Y120" s="124"/>
      <c r="Z120" s="124"/>
      <c r="AA120" s="126"/>
      <c r="AB120" s="145"/>
      <c r="AC120" s="156">
        <v>46387</v>
      </c>
      <c r="AD120" s="163">
        <v>46102</v>
      </c>
      <c r="AE120" s="115"/>
      <c r="AF120" s="163"/>
      <c r="AG120" s="115"/>
      <c r="AH120" s="163"/>
      <c r="AI120" s="115"/>
      <c r="AJ120" s="163"/>
      <c r="AK120" s="115"/>
      <c r="AL120" s="169">
        <f t="shared" si="19"/>
        <v>1</v>
      </c>
      <c r="AM120" s="112">
        <f t="shared" si="20"/>
        <v>1</v>
      </c>
      <c r="AN120" s="171">
        <f t="shared" si="16"/>
        <v>1</v>
      </c>
      <c r="AO120" s="150" t="str">
        <f>_xlfn.IFNA(VLOOKUP(AN120,Parameter!$D$53:$E$77,2),"")</f>
        <v>RENDAH</v>
      </c>
      <c r="AP120" s="167" t="s">
        <v>379</v>
      </c>
      <c r="AQ120" s="116"/>
    </row>
    <row r="121" spans="1:43" ht="144" x14ac:dyDescent="0.3">
      <c r="A121" s="114" t="s">
        <v>48</v>
      </c>
      <c r="B121" s="112">
        <f t="shared" si="12"/>
        <v>107</v>
      </c>
      <c r="C121" s="124" t="s">
        <v>1188</v>
      </c>
      <c r="D121" s="169" t="s">
        <v>1013</v>
      </c>
      <c r="E121" s="176" t="s">
        <v>256</v>
      </c>
      <c r="F121" s="118" t="s">
        <v>368</v>
      </c>
      <c r="G121" s="117" t="s">
        <v>49</v>
      </c>
      <c r="H121" s="173" t="s">
        <v>50</v>
      </c>
      <c r="I121" s="127"/>
      <c r="J121" s="113"/>
      <c r="K121" s="113"/>
      <c r="L121" s="113"/>
      <c r="M121" s="113"/>
      <c r="N121" s="117"/>
      <c r="O121" s="120"/>
      <c r="P121" s="119"/>
      <c r="Q121" s="112">
        <v>1</v>
      </c>
      <c r="R121" s="112">
        <v>1</v>
      </c>
      <c r="S121" s="147">
        <f t="shared" si="15"/>
        <v>1</v>
      </c>
      <c r="T121" s="150" t="str">
        <f>_xlfn.IFNA(VLOOKUP(S121,Parameter!$D$53:$E$77,2),"")</f>
        <v>RENDAH</v>
      </c>
      <c r="U121" s="130"/>
      <c r="V121" s="124"/>
      <c r="W121" s="124"/>
      <c r="X121" s="124"/>
      <c r="Y121" s="124"/>
      <c r="Z121" s="124"/>
      <c r="AA121" s="126"/>
      <c r="AB121" s="145"/>
      <c r="AC121" s="156">
        <v>46387</v>
      </c>
      <c r="AD121" s="163">
        <v>46102</v>
      </c>
      <c r="AE121" s="115"/>
      <c r="AF121" s="163"/>
      <c r="AG121" s="115"/>
      <c r="AH121" s="163"/>
      <c r="AI121" s="115"/>
      <c r="AJ121" s="163"/>
      <c r="AK121" s="115"/>
      <c r="AL121" s="169">
        <f t="shared" si="19"/>
        <v>1</v>
      </c>
      <c r="AM121" s="112">
        <f t="shared" si="20"/>
        <v>1</v>
      </c>
      <c r="AN121" s="171">
        <f t="shared" si="16"/>
        <v>1</v>
      </c>
      <c r="AO121" s="150" t="str">
        <f>_xlfn.IFNA(VLOOKUP(AN121,Parameter!$D$53:$E$77,2),"")</f>
        <v>RENDAH</v>
      </c>
      <c r="AP121" s="167" t="s">
        <v>379</v>
      </c>
      <c r="AQ121" s="116"/>
    </row>
    <row r="122" spans="1:43" ht="144" x14ac:dyDescent="0.3">
      <c r="A122" s="114" t="s">
        <v>48</v>
      </c>
      <c r="B122" s="112">
        <f t="shared" si="12"/>
        <v>108</v>
      </c>
      <c r="C122" s="124" t="s">
        <v>1189</v>
      </c>
      <c r="D122" s="169" t="s">
        <v>331</v>
      </c>
      <c r="E122" s="176" t="s">
        <v>256</v>
      </c>
      <c r="F122" s="118" t="s">
        <v>368</v>
      </c>
      <c r="G122" s="117" t="s">
        <v>49</v>
      </c>
      <c r="H122" s="173" t="s">
        <v>50</v>
      </c>
      <c r="I122" s="127"/>
      <c r="J122" s="113"/>
      <c r="K122" s="113"/>
      <c r="L122" s="113"/>
      <c r="M122" s="113"/>
      <c r="N122" s="117"/>
      <c r="O122" s="120"/>
      <c r="P122" s="119"/>
      <c r="Q122" s="112">
        <v>1</v>
      </c>
      <c r="R122" s="112">
        <v>1</v>
      </c>
      <c r="S122" s="147">
        <f t="shared" si="15"/>
        <v>1</v>
      </c>
      <c r="T122" s="150" t="str">
        <f>_xlfn.IFNA(VLOOKUP(S122,Parameter!$D$53:$E$77,2),"")</f>
        <v>RENDAH</v>
      </c>
      <c r="U122" s="130"/>
      <c r="V122" s="124"/>
      <c r="W122" s="124"/>
      <c r="X122" s="124"/>
      <c r="Y122" s="124"/>
      <c r="Z122" s="124"/>
      <c r="AA122" s="126"/>
      <c r="AB122" s="145"/>
      <c r="AC122" s="156">
        <v>46387</v>
      </c>
      <c r="AD122" s="163">
        <v>46102</v>
      </c>
      <c r="AE122" s="115"/>
      <c r="AF122" s="163"/>
      <c r="AG122" s="115"/>
      <c r="AH122" s="163"/>
      <c r="AI122" s="115"/>
      <c r="AJ122" s="163"/>
      <c r="AK122" s="115"/>
      <c r="AL122" s="169">
        <f t="shared" si="19"/>
        <v>1</v>
      </c>
      <c r="AM122" s="112">
        <f t="shared" si="20"/>
        <v>1</v>
      </c>
      <c r="AN122" s="171">
        <f t="shared" si="16"/>
        <v>1</v>
      </c>
      <c r="AO122" s="150" t="str">
        <f>_xlfn.IFNA(VLOOKUP(AN122,Parameter!$D$53:$E$77,2),"")</f>
        <v>RENDAH</v>
      </c>
      <c r="AP122" s="167" t="s">
        <v>379</v>
      </c>
      <c r="AQ122" s="116"/>
    </row>
    <row r="123" spans="1:43" ht="144" x14ac:dyDescent="0.3">
      <c r="A123" s="114" t="s">
        <v>48</v>
      </c>
      <c r="B123" s="112">
        <f t="shared" si="12"/>
        <v>109</v>
      </c>
      <c r="C123" s="124" t="s">
        <v>1190</v>
      </c>
      <c r="D123" s="169" t="s">
        <v>1014</v>
      </c>
      <c r="E123" s="176" t="s">
        <v>256</v>
      </c>
      <c r="F123" s="118" t="s">
        <v>368</v>
      </c>
      <c r="G123" s="117" t="s">
        <v>49</v>
      </c>
      <c r="H123" s="173" t="s">
        <v>50</v>
      </c>
      <c r="I123" s="127"/>
      <c r="J123" s="113"/>
      <c r="K123" s="113"/>
      <c r="L123" s="113"/>
      <c r="M123" s="113"/>
      <c r="N123" s="117"/>
      <c r="O123" s="120"/>
      <c r="P123" s="119"/>
      <c r="Q123" s="112">
        <v>1</v>
      </c>
      <c r="R123" s="112">
        <v>1</v>
      </c>
      <c r="S123" s="147">
        <f t="shared" si="15"/>
        <v>1</v>
      </c>
      <c r="T123" s="150" t="str">
        <f>_xlfn.IFNA(VLOOKUP(S123,Parameter!$D$53:$E$77,2),"")</f>
        <v>RENDAH</v>
      </c>
      <c r="U123" s="130"/>
      <c r="V123" s="124"/>
      <c r="W123" s="124"/>
      <c r="X123" s="124"/>
      <c r="Y123" s="124"/>
      <c r="Z123" s="124"/>
      <c r="AA123" s="126"/>
      <c r="AB123" s="145"/>
      <c r="AC123" s="156">
        <v>46387</v>
      </c>
      <c r="AD123" s="163">
        <v>46102</v>
      </c>
      <c r="AE123" s="115"/>
      <c r="AF123" s="163"/>
      <c r="AG123" s="115"/>
      <c r="AH123" s="163"/>
      <c r="AI123" s="115"/>
      <c r="AJ123" s="163"/>
      <c r="AK123" s="115"/>
      <c r="AL123" s="169">
        <f t="shared" si="19"/>
        <v>1</v>
      </c>
      <c r="AM123" s="112">
        <f t="shared" si="20"/>
        <v>1</v>
      </c>
      <c r="AN123" s="171">
        <f t="shared" si="16"/>
        <v>1</v>
      </c>
      <c r="AO123" s="150" t="str">
        <f>_xlfn.IFNA(VLOOKUP(AN123,Parameter!$D$53:$E$77,2),"")</f>
        <v>RENDAH</v>
      </c>
      <c r="AP123" s="167" t="s">
        <v>379</v>
      </c>
      <c r="AQ123" s="116"/>
    </row>
    <row r="124" spans="1:43" ht="144" x14ac:dyDescent="0.3">
      <c r="A124" s="114" t="s">
        <v>48</v>
      </c>
      <c r="B124" s="112">
        <f t="shared" si="12"/>
        <v>110</v>
      </c>
      <c r="C124" s="124" t="s">
        <v>1237</v>
      </c>
      <c r="D124" s="169" t="s">
        <v>1014</v>
      </c>
      <c r="E124" s="176" t="s">
        <v>256</v>
      </c>
      <c r="F124" s="118" t="s">
        <v>368</v>
      </c>
      <c r="G124" s="117" t="s">
        <v>49</v>
      </c>
      <c r="H124" s="173" t="s">
        <v>190</v>
      </c>
      <c r="I124" s="127"/>
      <c r="J124" s="113"/>
      <c r="K124" s="113"/>
      <c r="L124" s="113"/>
      <c r="M124" s="113"/>
      <c r="N124" s="117"/>
      <c r="O124" s="120"/>
      <c r="P124" s="119"/>
      <c r="Q124" s="112">
        <v>1</v>
      </c>
      <c r="R124" s="112">
        <v>1</v>
      </c>
      <c r="S124" s="147">
        <f t="shared" si="15"/>
        <v>1</v>
      </c>
      <c r="T124" s="150" t="str">
        <f>_xlfn.IFNA(VLOOKUP(S124,Parameter!$D$53:$E$77,2),"")</f>
        <v>RENDAH</v>
      </c>
      <c r="U124" s="130"/>
      <c r="V124" s="124"/>
      <c r="W124" s="124"/>
      <c r="X124" s="124"/>
      <c r="Y124" s="124"/>
      <c r="Z124" s="124"/>
      <c r="AA124" s="126"/>
      <c r="AB124" s="145"/>
      <c r="AC124" s="156">
        <v>46387</v>
      </c>
      <c r="AD124" s="163">
        <v>46102</v>
      </c>
      <c r="AE124" s="115"/>
      <c r="AF124" s="163"/>
      <c r="AG124" s="115"/>
      <c r="AH124" s="163"/>
      <c r="AI124" s="115"/>
      <c r="AJ124" s="163"/>
      <c r="AK124" s="115"/>
      <c r="AL124" s="169">
        <f t="shared" si="19"/>
        <v>1</v>
      </c>
      <c r="AM124" s="112">
        <f t="shared" si="20"/>
        <v>1</v>
      </c>
      <c r="AN124" s="171">
        <f t="shared" si="16"/>
        <v>1</v>
      </c>
      <c r="AO124" s="150" t="str">
        <f>_xlfn.IFNA(VLOOKUP(AN124,Parameter!$D$53:$E$77,2),"")</f>
        <v>RENDAH</v>
      </c>
      <c r="AP124" s="167" t="s">
        <v>379</v>
      </c>
      <c r="AQ124" s="116"/>
    </row>
    <row r="125" spans="1:43" ht="252" x14ac:dyDescent="0.3">
      <c r="A125" s="114" t="s">
        <v>48</v>
      </c>
      <c r="B125" s="112">
        <f t="shared" si="12"/>
        <v>111</v>
      </c>
      <c r="C125" s="124" t="s">
        <v>1244</v>
      </c>
      <c r="D125" s="169" t="s">
        <v>1014</v>
      </c>
      <c r="E125" s="176" t="s">
        <v>256</v>
      </c>
      <c r="F125" s="118" t="s">
        <v>368</v>
      </c>
      <c r="G125" s="117" t="s">
        <v>49</v>
      </c>
      <c r="H125" s="173" t="s">
        <v>50</v>
      </c>
      <c r="I125" s="127"/>
      <c r="J125" s="113"/>
      <c r="K125" s="113"/>
      <c r="L125" s="113"/>
      <c r="M125" s="113"/>
      <c r="N125" s="117"/>
      <c r="O125" s="120"/>
      <c r="P125" s="119"/>
      <c r="Q125" s="112">
        <v>1</v>
      </c>
      <c r="R125" s="112">
        <v>1</v>
      </c>
      <c r="S125" s="147">
        <f t="shared" si="15"/>
        <v>1</v>
      </c>
      <c r="T125" s="150" t="str">
        <f>_xlfn.IFNA(VLOOKUP(S125,Parameter!$D$53:$E$77,2),"")</f>
        <v>RENDAH</v>
      </c>
      <c r="U125" s="130"/>
      <c r="V125" s="124"/>
      <c r="W125" s="124"/>
      <c r="X125" s="124"/>
      <c r="Y125" s="124"/>
      <c r="Z125" s="124"/>
      <c r="AA125" s="126"/>
      <c r="AB125" s="145"/>
      <c r="AC125" s="156">
        <v>46387</v>
      </c>
      <c r="AD125" s="165"/>
      <c r="AE125" s="115"/>
      <c r="AF125" s="165"/>
      <c r="AG125" s="115"/>
      <c r="AH125" s="165"/>
      <c r="AI125" s="115"/>
      <c r="AJ125" s="165"/>
      <c r="AK125" s="115"/>
      <c r="AL125" s="169">
        <f t="shared" si="19"/>
        <v>1</v>
      </c>
      <c r="AM125" s="112">
        <f t="shared" si="20"/>
        <v>1</v>
      </c>
      <c r="AN125" s="171">
        <f t="shared" si="16"/>
        <v>1</v>
      </c>
      <c r="AO125" s="150" t="str">
        <f>_xlfn.IFNA(VLOOKUP(AN125,Parameter!$D$53:$E$77,2),"")</f>
        <v>RENDAH</v>
      </c>
      <c r="AP125" s="167" t="s">
        <v>379</v>
      </c>
      <c r="AQ125" s="116"/>
    </row>
    <row r="126" spans="1:43" ht="252" x14ac:dyDescent="0.3">
      <c r="A126" s="114" t="s">
        <v>48</v>
      </c>
      <c r="B126" s="112">
        <f t="shared" si="12"/>
        <v>112</v>
      </c>
      <c r="C126" s="124" t="s">
        <v>1246</v>
      </c>
      <c r="D126" s="169" t="s">
        <v>1014</v>
      </c>
      <c r="E126" s="176" t="s">
        <v>256</v>
      </c>
      <c r="F126" s="118" t="s">
        <v>368</v>
      </c>
      <c r="G126" s="117" t="s">
        <v>49</v>
      </c>
      <c r="H126" s="173" t="s">
        <v>50</v>
      </c>
      <c r="I126" s="127"/>
      <c r="J126" s="113"/>
      <c r="K126" s="113"/>
      <c r="L126" s="113"/>
      <c r="M126" s="113"/>
      <c r="N126" s="117"/>
      <c r="O126" s="120"/>
      <c r="P126" s="119"/>
      <c r="Q126" s="112">
        <v>1</v>
      </c>
      <c r="R126" s="112">
        <v>1</v>
      </c>
      <c r="S126" s="147">
        <f t="shared" si="15"/>
        <v>1</v>
      </c>
      <c r="T126" s="150" t="str">
        <f>_xlfn.IFNA(VLOOKUP(S126,Parameter!$D$53:$E$77,2),"")</f>
        <v>RENDAH</v>
      </c>
      <c r="U126" s="130"/>
      <c r="V126" s="124"/>
      <c r="W126" s="124"/>
      <c r="X126" s="124"/>
      <c r="Y126" s="124"/>
      <c r="Z126" s="124"/>
      <c r="AA126" s="126"/>
      <c r="AB126" s="145"/>
      <c r="AC126" s="156">
        <v>46387</v>
      </c>
      <c r="AD126" s="165"/>
      <c r="AE126" s="115"/>
      <c r="AF126" s="165"/>
      <c r="AG126" s="115"/>
      <c r="AH126" s="165"/>
      <c r="AI126" s="115"/>
      <c r="AJ126" s="165"/>
      <c r="AK126" s="115"/>
      <c r="AL126" s="169">
        <f t="shared" si="19"/>
        <v>1</v>
      </c>
      <c r="AM126" s="112">
        <f t="shared" si="20"/>
        <v>1</v>
      </c>
      <c r="AN126" s="171">
        <f t="shared" si="16"/>
        <v>1</v>
      </c>
      <c r="AO126" s="150" t="str">
        <f>_xlfn.IFNA(VLOOKUP(AN126,Parameter!$D$53:$E$77,2),"")</f>
        <v>RENDAH</v>
      </c>
      <c r="AP126" s="167" t="s">
        <v>379</v>
      </c>
      <c r="AQ126" s="116"/>
    </row>
    <row r="127" spans="1:43" ht="126" x14ac:dyDescent="0.3">
      <c r="A127" s="114" t="s">
        <v>48</v>
      </c>
      <c r="B127" s="112">
        <f t="shared" si="12"/>
        <v>113</v>
      </c>
      <c r="C127" s="124" t="s">
        <v>1191</v>
      </c>
      <c r="D127" s="169" t="s">
        <v>340</v>
      </c>
      <c r="E127" s="176" t="s">
        <v>256</v>
      </c>
      <c r="F127" s="118" t="s">
        <v>368</v>
      </c>
      <c r="G127" s="117" t="s">
        <v>49</v>
      </c>
      <c r="H127" s="173" t="s">
        <v>50</v>
      </c>
      <c r="I127" s="127"/>
      <c r="J127" s="113"/>
      <c r="K127" s="113"/>
      <c r="L127" s="113"/>
      <c r="M127" s="113"/>
      <c r="N127" s="117"/>
      <c r="O127" s="120"/>
      <c r="P127" s="119"/>
      <c r="Q127" s="112">
        <v>1</v>
      </c>
      <c r="R127" s="112">
        <v>1</v>
      </c>
      <c r="S127" s="147">
        <f t="shared" si="15"/>
        <v>1</v>
      </c>
      <c r="T127" s="150" t="str">
        <f>_xlfn.IFNA(VLOOKUP(S127,Parameter!$D$53:$E$77,2),"")</f>
        <v>RENDAH</v>
      </c>
      <c r="U127" s="130"/>
      <c r="V127" s="124"/>
      <c r="W127" s="124"/>
      <c r="X127" s="124"/>
      <c r="Y127" s="124"/>
      <c r="Z127" s="124"/>
      <c r="AA127" s="126"/>
      <c r="AB127" s="145"/>
      <c r="AC127" s="156">
        <v>46387</v>
      </c>
      <c r="AD127" s="163">
        <v>46102</v>
      </c>
      <c r="AE127" s="115"/>
      <c r="AF127" s="163"/>
      <c r="AG127" s="115"/>
      <c r="AH127" s="163"/>
      <c r="AI127" s="115"/>
      <c r="AJ127" s="163"/>
      <c r="AK127" s="115"/>
      <c r="AL127" s="169">
        <f t="shared" si="19"/>
        <v>1</v>
      </c>
      <c r="AM127" s="112">
        <f t="shared" si="20"/>
        <v>1</v>
      </c>
      <c r="AN127" s="171">
        <f t="shared" si="16"/>
        <v>1</v>
      </c>
      <c r="AO127" s="150" t="str">
        <f>_xlfn.IFNA(VLOOKUP(AN127,Parameter!$D$53:$E$77,2),"")</f>
        <v>RENDAH</v>
      </c>
      <c r="AP127" s="167" t="s">
        <v>379</v>
      </c>
      <c r="AQ127" s="116"/>
    </row>
    <row r="128" spans="1:43" ht="144" x14ac:dyDescent="0.3">
      <c r="A128" s="114" t="s">
        <v>48</v>
      </c>
      <c r="B128" s="112">
        <f t="shared" si="12"/>
        <v>114</v>
      </c>
      <c r="C128" s="124" t="s">
        <v>1192</v>
      </c>
      <c r="D128" s="169" t="s">
        <v>1003</v>
      </c>
      <c r="E128" s="176" t="s">
        <v>256</v>
      </c>
      <c r="F128" s="118" t="s">
        <v>368</v>
      </c>
      <c r="G128" s="117" t="s">
        <v>49</v>
      </c>
      <c r="H128" s="173" t="s">
        <v>50</v>
      </c>
      <c r="I128" s="127"/>
      <c r="J128" s="113"/>
      <c r="K128" s="113"/>
      <c r="L128" s="113"/>
      <c r="M128" s="113"/>
      <c r="N128" s="117"/>
      <c r="O128" s="120"/>
      <c r="P128" s="119"/>
      <c r="Q128" s="112">
        <v>1</v>
      </c>
      <c r="R128" s="112">
        <v>1</v>
      </c>
      <c r="S128" s="147">
        <f t="shared" si="15"/>
        <v>1</v>
      </c>
      <c r="T128" s="150" t="str">
        <f>_xlfn.IFNA(VLOOKUP(S128,Parameter!$D$53:$E$77,2),"")</f>
        <v>RENDAH</v>
      </c>
      <c r="U128" s="130"/>
      <c r="V128" s="124"/>
      <c r="W128" s="124"/>
      <c r="X128" s="124"/>
      <c r="Y128" s="124"/>
      <c r="Z128" s="124"/>
      <c r="AA128" s="126"/>
      <c r="AB128" s="145"/>
      <c r="AC128" s="156">
        <v>46387</v>
      </c>
      <c r="AD128" s="163">
        <v>46102</v>
      </c>
      <c r="AE128" s="115"/>
      <c r="AF128" s="163"/>
      <c r="AG128" s="115"/>
      <c r="AH128" s="163"/>
      <c r="AI128" s="115"/>
      <c r="AJ128" s="163"/>
      <c r="AK128" s="115"/>
      <c r="AL128" s="169">
        <f t="shared" si="19"/>
        <v>1</v>
      </c>
      <c r="AM128" s="112">
        <f t="shared" si="20"/>
        <v>1</v>
      </c>
      <c r="AN128" s="171">
        <f t="shared" si="16"/>
        <v>1</v>
      </c>
      <c r="AO128" s="150" t="str">
        <f>_xlfn.IFNA(VLOOKUP(AN128,Parameter!$D$53:$E$77,2),"")</f>
        <v>RENDAH</v>
      </c>
      <c r="AP128" s="167" t="s">
        <v>379</v>
      </c>
      <c r="AQ128" s="116"/>
    </row>
    <row r="129" spans="1:43" ht="162" x14ac:dyDescent="0.3">
      <c r="A129" s="114" t="s">
        <v>48</v>
      </c>
      <c r="B129" s="112">
        <f t="shared" si="12"/>
        <v>115</v>
      </c>
      <c r="C129" s="124" t="s">
        <v>1238</v>
      </c>
      <c r="D129" s="169" t="s">
        <v>1003</v>
      </c>
      <c r="E129" s="176" t="s">
        <v>256</v>
      </c>
      <c r="F129" s="118" t="s">
        <v>368</v>
      </c>
      <c r="G129" s="117" t="s">
        <v>49</v>
      </c>
      <c r="H129" s="173" t="s">
        <v>190</v>
      </c>
      <c r="I129" s="127"/>
      <c r="J129" s="113"/>
      <c r="K129" s="113"/>
      <c r="L129" s="113"/>
      <c r="M129" s="113"/>
      <c r="N129" s="117"/>
      <c r="O129" s="120"/>
      <c r="P129" s="119"/>
      <c r="Q129" s="112">
        <v>1</v>
      </c>
      <c r="R129" s="112">
        <v>1</v>
      </c>
      <c r="S129" s="147">
        <f t="shared" si="15"/>
        <v>1</v>
      </c>
      <c r="T129" s="150" t="str">
        <f>_xlfn.IFNA(VLOOKUP(S129,Parameter!$D$53:$E$77,2),"")</f>
        <v>RENDAH</v>
      </c>
      <c r="U129" s="130"/>
      <c r="V129" s="124"/>
      <c r="W129" s="124"/>
      <c r="X129" s="124"/>
      <c r="Y129" s="124"/>
      <c r="Z129" s="124"/>
      <c r="AA129" s="126"/>
      <c r="AB129" s="145"/>
      <c r="AC129" s="156">
        <v>46387</v>
      </c>
      <c r="AD129" s="163">
        <v>46102</v>
      </c>
      <c r="AE129" s="115"/>
      <c r="AF129" s="163"/>
      <c r="AG129" s="115"/>
      <c r="AH129" s="163"/>
      <c r="AI129" s="115"/>
      <c r="AJ129" s="163"/>
      <c r="AK129" s="115"/>
      <c r="AL129" s="169">
        <f t="shared" si="19"/>
        <v>1</v>
      </c>
      <c r="AM129" s="112">
        <f t="shared" si="20"/>
        <v>1</v>
      </c>
      <c r="AN129" s="171">
        <f t="shared" si="16"/>
        <v>1</v>
      </c>
      <c r="AO129" s="150" t="str">
        <f>_xlfn.IFNA(VLOOKUP(AN129,Parameter!$D$53:$E$77,2),"")</f>
        <v>RENDAH</v>
      </c>
      <c r="AP129" s="167" t="s">
        <v>379</v>
      </c>
      <c r="AQ129" s="116"/>
    </row>
    <row r="130" spans="1:43" ht="324" hidden="1" x14ac:dyDescent="0.3">
      <c r="A130" s="114" t="s">
        <v>48</v>
      </c>
      <c r="B130" s="112">
        <f t="shared" si="12"/>
        <v>116</v>
      </c>
      <c r="C130" s="124" t="s">
        <v>675</v>
      </c>
      <c r="D130" s="169" t="s">
        <v>288</v>
      </c>
      <c r="E130" s="176" t="s">
        <v>256</v>
      </c>
      <c r="F130" s="118" t="s">
        <v>372</v>
      </c>
      <c r="G130" s="117" t="s">
        <v>49</v>
      </c>
      <c r="H130" s="173" t="s">
        <v>50</v>
      </c>
      <c r="I130" s="126" t="s">
        <v>676</v>
      </c>
      <c r="J130" s="111" t="s">
        <v>678</v>
      </c>
      <c r="K130" s="111" t="s">
        <v>677</v>
      </c>
      <c r="L130" s="111" t="s">
        <v>678</v>
      </c>
      <c r="M130" s="111" t="s">
        <v>679</v>
      </c>
      <c r="N130" s="117" t="s">
        <v>382</v>
      </c>
      <c r="O130" s="120" t="s">
        <v>680</v>
      </c>
      <c r="P130" s="119" t="s">
        <v>681</v>
      </c>
      <c r="Q130" s="112">
        <v>5</v>
      </c>
      <c r="R130" s="112">
        <v>4</v>
      </c>
      <c r="S130" s="117">
        <f t="shared" si="15"/>
        <v>20</v>
      </c>
      <c r="T130" s="150" t="str">
        <f>_xlfn.IFNA(VLOOKUP(S130,Parameter!$D$53:$E$77,2),"")</f>
        <v>TINGGI</v>
      </c>
      <c r="U130" s="130" t="s">
        <v>682</v>
      </c>
      <c r="V130" s="124" t="s">
        <v>683</v>
      </c>
      <c r="W130" s="124" t="s">
        <v>684</v>
      </c>
      <c r="X130" s="124" t="s">
        <v>685</v>
      </c>
      <c r="Y130" s="124" t="s">
        <v>337</v>
      </c>
      <c r="Z130" s="124"/>
      <c r="AA130" s="126" t="s">
        <v>686</v>
      </c>
      <c r="AB130" s="111" t="s">
        <v>687</v>
      </c>
      <c r="AC130" s="156">
        <v>46387</v>
      </c>
      <c r="AD130" s="163">
        <v>46102</v>
      </c>
      <c r="AE130" s="115" t="s">
        <v>688</v>
      </c>
      <c r="AF130" s="163"/>
      <c r="AG130" s="115"/>
      <c r="AH130" s="163"/>
      <c r="AI130" s="115"/>
      <c r="AJ130" s="163"/>
      <c r="AK130" s="115"/>
      <c r="AL130" s="169">
        <v>5</v>
      </c>
      <c r="AM130" s="112">
        <v>4</v>
      </c>
      <c r="AN130" s="147">
        <f t="shared" si="16"/>
        <v>20</v>
      </c>
      <c r="AO130" s="150" t="str">
        <f>_xlfn.IFNA(VLOOKUP(AN130,Parameter!$D$53:$E$77,2),"")</f>
        <v>TINGGI</v>
      </c>
      <c r="AP130" s="167" t="s">
        <v>379</v>
      </c>
      <c r="AQ130" s="115"/>
    </row>
    <row r="131" spans="1:43" ht="180" x14ac:dyDescent="0.3">
      <c r="A131" s="114" t="s">
        <v>48</v>
      </c>
      <c r="B131" s="112">
        <f t="shared" si="12"/>
        <v>117</v>
      </c>
      <c r="C131" s="124" t="s">
        <v>1193</v>
      </c>
      <c r="D131" s="169" t="s">
        <v>288</v>
      </c>
      <c r="E131" s="176" t="s">
        <v>256</v>
      </c>
      <c r="F131" s="118" t="s">
        <v>367</v>
      </c>
      <c r="G131" s="117" t="s">
        <v>377</v>
      </c>
      <c r="H131" s="173" t="s">
        <v>50</v>
      </c>
      <c r="I131" s="127"/>
      <c r="J131" s="113"/>
      <c r="K131" s="113"/>
      <c r="L131" s="113"/>
      <c r="M131" s="113"/>
      <c r="N131" s="117" t="s">
        <v>385</v>
      </c>
      <c r="O131" s="120"/>
      <c r="P131" s="119"/>
      <c r="Q131" s="112">
        <v>1</v>
      </c>
      <c r="R131" s="112">
        <v>1</v>
      </c>
      <c r="S131" s="147">
        <f t="shared" si="15"/>
        <v>1</v>
      </c>
      <c r="T131" s="150" t="str">
        <f>_xlfn.IFNA(VLOOKUP(S131,Parameter!$D$53:$E$77,2),"")</f>
        <v>RENDAH</v>
      </c>
      <c r="U131" s="130"/>
      <c r="V131" s="124" t="s">
        <v>386</v>
      </c>
      <c r="W131" s="124" t="s">
        <v>386</v>
      </c>
      <c r="X131" s="124" t="s">
        <v>386</v>
      </c>
      <c r="Y131" s="124" t="s">
        <v>337</v>
      </c>
      <c r="Z131" s="124"/>
      <c r="AA131" s="126" t="s">
        <v>386</v>
      </c>
      <c r="AB131" s="111" t="s">
        <v>386</v>
      </c>
      <c r="AC131" s="156">
        <v>46387</v>
      </c>
      <c r="AD131" s="163">
        <v>46102</v>
      </c>
      <c r="AE131" s="115" t="s">
        <v>386</v>
      </c>
      <c r="AF131" s="163"/>
      <c r="AG131" s="115"/>
      <c r="AH131" s="163"/>
      <c r="AI131" s="115"/>
      <c r="AJ131" s="163"/>
      <c r="AK131" s="115"/>
      <c r="AL131" s="169">
        <f t="shared" ref="AL131:AL161" si="21">Q131</f>
        <v>1</v>
      </c>
      <c r="AM131" s="112">
        <f t="shared" ref="AM131:AM161" si="22">R131</f>
        <v>1</v>
      </c>
      <c r="AN131" s="171">
        <f t="shared" si="16"/>
        <v>1</v>
      </c>
      <c r="AO131" s="150" t="str">
        <f>_xlfn.IFNA(VLOOKUP(AN131,Parameter!$D$53:$E$77,2),"")</f>
        <v>RENDAH</v>
      </c>
      <c r="AP131" s="167" t="s">
        <v>379</v>
      </c>
      <c r="AQ131" s="116"/>
    </row>
    <row r="132" spans="1:43" ht="180" x14ac:dyDescent="0.3">
      <c r="A132" s="114" t="s">
        <v>48</v>
      </c>
      <c r="B132" s="112">
        <f t="shared" si="12"/>
        <v>118</v>
      </c>
      <c r="C132" s="124" t="s">
        <v>1194</v>
      </c>
      <c r="D132" s="169" t="s">
        <v>288</v>
      </c>
      <c r="E132" s="176" t="s">
        <v>256</v>
      </c>
      <c r="F132" s="118" t="s">
        <v>367</v>
      </c>
      <c r="G132" s="117" t="s">
        <v>377</v>
      </c>
      <c r="H132" s="173" t="s">
        <v>50</v>
      </c>
      <c r="I132" s="127"/>
      <c r="J132" s="113"/>
      <c r="K132" s="113"/>
      <c r="L132" s="113"/>
      <c r="M132" s="113"/>
      <c r="N132" s="117" t="s">
        <v>385</v>
      </c>
      <c r="O132" s="120"/>
      <c r="P132" s="119"/>
      <c r="Q132" s="112">
        <v>1</v>
      </c>
      <c r="R132" s="112">
        <v>1</v>
      </c>
      <c r="S132" s="147">
        <f t="shared" si="15"/>
        <v>1</v>
      </c>
      <c r="T132" s="150" t="str">
        <f>_xlfn.IFNA(VLOOKUP(S132,Parameter!$D$53:$E$77,2),"")</f>
        <v>RENDAH</v>
      </c>
      <c r="U132" s="130"/>
      <c r="V132" s="124" t="s">
        <v>386</v>
      </c>
      <c r="W132" s="124" t="s">
        <v>386</v>
      </c>
      <c r="X132" s="124" t="s">
        <v>386</v>
      </c>
      <c r="Y132" s="124" t="s">
        <v>337</v>
      </c>
      <c r="Z132" s="124"/>
      <c r="AA132" s="126" t="s">
        <v>386</v>
      </c>
      <c r="AB132" s="111" t="s">
        <v>386</v>
      </c>
      <c r="AC132" s="156">
        <v>46387</v>
      </c>
      <c r="AD132" s="163">
        <v>46102</v>
      </c>
      <c r="AE132" s="115" t="s">
        <v>386</v>
      </c>
      <c r="AF132" s="163"/>
      <c r="AG132" s="115"/>
      <c r="AH132" s="163"/>
      <c r="AI132" s="115"/>
      <c r="AJ132" s="163"/>
      <c r="AK132" s="115"/>
      <c r="AL132" s="169">
        <f t="shared" si="21"/>
        <v>1</v>
      </c>
      <c r="AM132" s="112">
        <f t="shared" si="22"/>
        <v>1</v>
      </c>
      <c r="AN132" s="171">
        <f t="shared" si="16"/>
        <v>1</v>
      </c>
      <c r="AO132" s="150" t="str">
        <f>_xlfn.IFNA(VLOOKUP(AN132,Parameter!$D$53:$E$77,2),"")</f>
        <v>RENDAH</v>
      </c>
      <c r="AP132" s="167" t="s">
        <v>379</v>
      </c>
      <c r="AQ132" s="116"/>
    </row>
    <row r="133" spans="1:43" ht="162" x14ac:dyDescent="0.3">
      <c r="A133" s="114" t="s">
        <v>48</v>
      </c>
      <c r="B133" s="112">
        <f t="shared" si="12"/>
        <v>119</v>
      </c>
      <c r="C133" s="124" t="s">
        <v>1195</v>
      </c>
      <c r="D133" s="169" t="s">
        <v>323</v>
      </c>
      <c r="E133" s="176" t="s">
        <v>256</v>
      </c>
      <c r="F133" s="118" t="s">
        <v>368</v>
      </c>
      <c r="G133" s="117" t="s">
        <v>49</v>
      </c>
      <c r="H133" s="173" t="s">
        <v>50</v>
      </c>
      <c r="I133" s="127"/>
      <c r="J133" s="113"/>
      <c r="K133" s="113"/>
      <c r="L133" s="113"/>
      <c r="M133" s="113"/>
      <c r="N133" s="117"/>
      <c r="O133" s="120"/>
      <c r="P133" s="119"/>
      <c r="Q133" s="112">
        <v>1</v>
      </c>
      <c r="R133" s="112">
        <v>1</v>
      </c>
      <c r="S133" s="147">
        <f t="shared" si="15"/>
        <v>1</v>
      </c>
      <c r="T133" s="150" t="str">
        <f>_xlfn.IFNA(VLOOKUP(S133,Parameter!$D$53:$E$77,2),"")</f>
        <v>RENDAH</v>
      </c>
      <c r="U133" s="130"/>
      <c r="V133" s="124"/>
      <c r="W133" s="124"/>
      <c r="X133" s="124"/>
      <c r="Y133" s="124"/>
      <c r="Z133" s="124"/>
      <c r="AA133" s="126"/>
      <c r="AB133" s="145"/>
      <c r="AC133" s="156">
        <v>46387</v>
      </c>
      <c r="AD133" s="163">
        <v>46102</v>
      </c>
      <c r="AE133" s="115"/>
      <c r="AF133" s="163"/>
      <c r="AG133" s="115"/>
      <c r="AH133" s="163"/>
      <c r="AI133" s="115"/>
      <c r="AJ133" s="163"/>
      <c r="AK133" s="115"/>
      <c r="AL133" s="169">
        <f t="shared" si="21"/>
        <v>1</v>
      </c>
      <c r="AM133" s="112">
        <f t="shared" si="22"/>
        <v>1</v>
      </c>
      <c r="AN133" s="171">
        <f t="shared" si="16"/>
        <v>1</v>
      </c>
      <c r="AO133" s="150" t="str">
        <f>_xlfn.IFNA(VLOOKUP(AN133,Parameter!$D$53:$E$77,2),"")</f>
        <v>RENDAH</v>
      </c>
      <c r="AP133" s="167" t="s">
        <v>379</v>
      </c>
      <c r="AQ133" s="116"/>
    </row>
    <row r="134" spans="1:43" ht="144" x14ac:dyDescent="0.3">
      <c r="A134" s="114" t="s">
        <v>48</v>
      </c>
      <c r="B134" s="112">
        <f t="shared" si="12"/>
        <v>120</v>
      </c>
      <c r="C134" s="124" t="s">
        <v>1196</v>
      </c>
      <c r="D134" s="169" t="s">
        <v>323</v>
      </c>
      <c r="E134" s="176" t="s">
        <v>256</v>
      </c>
      <c r="F134" s="118" t="s">
        <v>368</v>
      </c>
      <c r="G134" s="117" t="s">
        <v>49</v>
      </c>
      <c r="H134" s="173" t="s">
        <v>50</v>
      </c>
      <c r="I134" s="127"/>
      <c r="J134" s="113"/>
      <c r="K134" s="113"/>
      <c r="L134" s="113"/>
      <c r="M134" s="113"/>
      <c r="N134" s="117"/>
      <c r="O134" s="120"/>
      <c r="P134" s="119"/>
      <c r="Q134" s="112">
        <v>1</v>
      </c>
      <c r="R134" s="112">
        <v>1</v>
      </c>
      <c r="S134" s="147">
        <f t="shared" si="15"/>
        <v>1</v>
      </c>
      <c r="T134" s="150" t="str">
        <f>_xlfn.IFNA(VLOOKUP(S134,Parameter!$D$53:$E$77,2),"")</f>
        <v>RENDAH</v>
      </c>
      <c r="U134" s="130"/>
      <c r="V134" s="124"/>
      <c r="W134" s="124"/>
      <c r="X134" s="124"/>
      <c r="Y134" s="124"/>
      <c r="Z134" s="124"/>
      <c r="AA134" s="126"/>
      <c r="AB134" s="145"/>
      <c r="AC134" s="156">
        <v>46387</v>
      </c>
      <c r="AD134" s="163">
        <v>46102</v>
      </c>
      <c r="AE134" s="115"/>
      <c r="AF134" s="163"/>
      <c r="AG134" s="115"/>
      <c r="AH134" s="163"/>
      <c r="AI134" s="115"/>
      <c r="AJ134" s="163"/>
      <c r="AK134" s="115"/>
      <c r="AL134" s="169">
        <f t="shared" si="21"/>
        <v>1</v>
      </c>
      <c r="AM134" s="112">
        <f t="shared" si="22"/>
        <v>1</v>
      </c>
      <c r="AN134" s="171">
        <f t="shared" si="16"/>
        <v>1</v>
      </c>
      <c r="AO134" s="150" t="str">
        <f>_xlfn.IFNA(VLOOKUP(AN134,Parameter!$D$53:$E$77,2),"")</f>
        <v>RENDAH</v>
      </c>
      <c r="AP134" s="167" t="s">
        <v>379</v>
      </c>
      <c r="AQ134" s="116"/>
    </row>
    <row r="135" spans="1:43" ht="126" x14ac:dyDescent="0.3">
      <c r="A135" s="114" t="s">
        <v>48</v>
      </c>
      <c r="B135" s="112">
        <f t="shared" si="12"/>
        <v>121</v>
      </c>
      <c r="C135" s="124" t="s">
        <v>1197</v>
      </c>
      <c r="D135" s="169" t="s">
        <v>1007</v>
      </c>
      <c r="E135" s="176" t="s">
        <v>256</v>
      </c>
      <c r="F135" s="118" t="s">
        <v>368</v>
      </c>
      <c r="G135" s="117" t="s">
        <v>49</v>
      </c>
      <c r="H135" s="173" t="s">
        <v>50</v>
      </c>
      <c r="I135" s="127"/>
      <c r="J135" s="113"/>
      <c r="K135" s="113"/>
      <c r="L135" s="113"/>
      <c r="M135" s="113"/>
      <c r="N135" s="117"/>
      <c r="O135" s="120"/>
      <c r="P135" s="119"/>
      <c r="Q135" s="112">
        <v>1</v>
      </c>
      <c r="R135" s="112">
        <v>1</v>
      </c>
      <c r="S135" s="147">
        <f t="shared" si="15"/>
        <v>1</v>
      </c>
      <c r="T135" s="150" t="str">
        <f>_xlfn.IFNA(VLOOKUP(S135,Parameter!$D$53:$E$77,2),"")</f>
        <v>RENDAH</v>
      </c>
      <c r="U135" s="130"/>
      <c r="V135" s="124"/>
      <c r="W135" s="124"/>
      <c r="X135" s="124"/>
      <c r="Y135" s="124"/>
      <c r="Z135" s="124"/>
      <c r="AA135" s="126"/>
      <c r="AB135" s="145"/>
      <c r="AC135" s="156">
        <v>46387</v>
      </c>
      <c r="AD135" s="163">
        <v>46102</v>
      </c>
      <c r="AE135" s="115"/>
      <c r="AF135" s="163"/>
      <c r="AG135" s="115"/>
      <c r="AH135" s="163"/>
      <c r="AI135" s="115"/>
      <c r="AJ135" s="163"/>
      <c r="AK135" s="115"/>
      <c r="AL135" s="169">
        <f t="shared" si="21"/>
        <v>1</v>
      </c>
      <c r="AM135" s="112">
        <f t="shared" si="22"/>
        <v>1</v>
      </c>
      <c r="AN135" s="171">
        <f t="shared" si="16"/>
        <v>1</v>
      </c>
      <c r="AO135" s="150" t="str">
        <f>_xlfn.IFNA(VLOOKUP(AN135,Parameter!$D$53:$E$77,2),"")</f>
        <v>RENDAH</v>
      </c>
      <c r="AP135" s="167" t="s">
        <v>379</v>
      </c>
      <c r="AQ135" s="116"/>
    </row>
    <row r="136" spans="1:43" ht="162" x14ac:dyDescent="0.3">
      <c r="A136" s="114" t="s">
        <v>48</v>
      </c>
      <c r="B136" s="112">
        <f t="shared" si="12"/>
        <v>122</v>
      </c>
      <c r="C136" s="124" t="s">
        <v>1198</v>
      </c>
      <c r="D136" s="169" t="s">
        <v>1007</v>
      </c>
      <c r="E136" s="176" t="s">
        <v>256</v>
      </c>
      <c r="F136" s="118" t="s">
        <v>368</v>
      </c>
      <c r="G136" s="117" t="s">
        <v>49</v>
      </c>
      <c r="H136" s="173" t="s">
        <v>50</v>
      </c>
      <c r="I136" s="127"/>
      <c r="J136" s="113"/>
      <c r="K136" s="113"/>
      <c r="L136" s="113"/>
      <c r="M136" s="113"/>
      <c r="N136" s="117"/>
      <c r="O136" s="120"/>
      <c r="P136" s="119"/>
      <c r="Q136" s="112">
        <v>1</v>
      </c>
      <c r="R136" s="112">
        <v>1</v>
      </c>
      <c r="S136" s="147">
        <f t="shared" si="15"/>
        <v>1</v>
      </c>
      <c r="T136" s="150" t="str">
        <f>_xlfn.IFNA(VLOOKUP(S136,Parameter!$D$53:$E$77,2),"")</f>
        <v>RENDAH</v>
      </c>
      <c r="U136" s="130"/>
      <c r="V136" s="124"/>
      <c r="W136" s="124"/>
      <c r="X136" s="124"/>
      <c r="Y136" s="124"/>
      <c r="Z136" s="124"/>
      <c r="AA136" s="126"/>
      <c r="AB136" s="145"/>
      <c r="AC136" s="156">
        <v>46387</v>
      </c>
      <c r="AD136" s="163">
        <v>46102</v>
      </c>
      <c r="AE136" s="115"/>
      <c r="AF136" s="163"/>
      <c r="AG136" s="115"/>
      <c r="AH136" s="163"/>
      <c r="AI136" s="115"/>
      <c r="AJ136" s="163"/>
      <c r="AK136" s="115"/>
      <c r="AL136" s="169">
        <f t="shared" si="21"/>
        <v>1</v>
      </c>
      <c r="AM136" s="112">
        <f t="shared" si="22"/>
        <v>1</v>
      </c>
      <c r="AN136" s="171">
        <f t="shared" si="16"/>
        <v>1</v>
      </c>
      <c r="AO136" s="150" t="str">
        <f>_xlfn.IFNA(VLOOKUP(AN136,Parameter!$D$53:$E$77,2),"")</f>
        <v>RENDAH</v>
      </c>
      <c r="AP136" s="167" t="s">
        <v>379</v>
      </c>
      <c r="AQ136" s="116"/>
    </row>
    <row r="137" spans="1:43" ht="162" x14ac:dyDescent="0.3">
      <c r="A137" s="114" t="s">
        <v>48</v>
      </c>
      <c r="B137" s="112">
        <f t="shared" si="12"/>
        <v>123</v>
      </c>
      <c r="C137" s="124" t="s">
        <v>1199</v>
      </c>
      <c r="D137" s="169" t="s">
        <v>1009</v>
      </c>
      <c r="E137" s="176" t="s">
        <v>256</v>
      </c>
      <c r="F137" s="118" t="s">
        <v>368</v>
      </c>
      <c r="G137" s="117" t="s">
        <v>49</v>
      </c>
      <c r="H137" s="173" t="s">
        <v>50</v>
      </c>
      <c r="I137" s="127"/>
      <c r="J137" s="113"/>
      <c r="K137" s="113"/>
      <c r="L137" s="113"/>
      <c r="M137" s="113"/>
      <c r="N137" s="117"/>
      <c r="O137" s="120"/>
      <c r="P137" s="119"/>
      <c r="Q137" s="112">
        <v>1</v>
      </c>
      <c r="R137" s="112">
        <v>1</v>
      </c>
      <c r="S137" s="147">
        <f t="shared" ref="S137:S200" si="23">Q137*R137</f>
        <v>1</v>
      </c>
      <c r="T137" s="150" t="str">
        <f>_xlfn.IFNA(VLOOKUP(S137,Parameter!$D$53:$E$77,2),"")</f>
        <v>RENDAH</v>
      </c>
      <c r="U137" s="130"/>
      <c r="V137" s="124"/>
      <c r="W137" s="124"/>
      <c r="X137" s="124"/>
      <c r="Y137" s="124"/>
      <c r="Z137" s="124"/>
      <c r="AA137" s="126"/>
      <c r="AB137" s="145"/>
      <c r="AC137" s="156">
        <v>46387</v>
      </c>
      <c r="AD137" s="163">
        <v>46102</v>
      </c>
      <c r="AE137" s="115"/>
      <c r="AF137" s="163"/>
      <c r="AG137" s="115"/>
      <c r="AH137" s="163"/>
      <c r="AI137" s="115"/>
      <c r="AJ137" s="163"/>
      <c r="AK137" s="115"/>
      <c r="AL137" s="169">
        <f t="shared" si="21"/>
        <v>1</v>
      </c>
      <c r="AM137" s="112">
        <f t="shared" si="22"/>
        <v>1</v>
      </c>
      <c r="AN137" s="171">
        <f t="shared" ref="AN137:AN200" si="24">AL137*AM137</f>
        <v>1</v>
      </c>
      <c r="AO137" s="150" t="str">
        <f>_xlfn.IFNA(VLOOKUP(AN137,Parameter!$D$53:$E$77,2),"")</f>
        <v>RENDAH</v>
      </c>
      <c r="AP137" s="167" t="s">
        <v>379</v>
      </c>
      <c r="AQ137" s="116"/>
    </row>
    <row r="138" spans="1:43" ht="144" x14ac:dyDescent="0.3">
      <c r="A138" s="114" t="s">
        <v>48</v>
      </c>
      <c r="B138" s="112">
        <f t="shared" si="12"/>
        <v>124</v>
      </c>
      <c r="C138" s="124" t="s">
        <v>1236</v>
      </c>
      <c r="D138" s="169" t="s">
        <v>1009</v>
      </c>
      <c r="E138" s="176" t="s">
        <v>256</v>
      </c>
      <c r="F138" s="118" t="s">
        <v>368</v>
      </c>
      <c r="G138" s="117" t="s">
        <v>49</v>
      </c>
      <c r="H138" s="173" t="s">
        <v>190</v>
      </c>
      <c r="I138" s="127"/>
      <c r="J138" s="113"/>
      <c r="K138" s="113"/>
      <c r="L138" s="113"/>
      <c r="M138" s="113"/>
      <c r="N138" s="117"/>
      <c r="O138" s="120"/>
      <c r="P138" s="119"/>
      <c r="Q138" s="112">
        <v>1</v>
      </c>
      <c r="R138" s="112">
        <v>1</v>
      </c>
      <c r="S138" s="147">
        <f t="shared" si="23"/>
        <v>1</v>
      </c>
      <c r="T138" s="150" t="str">
        <f>_xlfn.IFNA(VLOOKUP(S138,Parameter!$D$53:$E$77,2),"")</f>
        <v>RENDAH</v>
      </c>
      <c r="U138" s="130"/>
      <c r="V138" s="124"/>
      <c r="W138" s="124"/>
      <c r="X138" s="124"/>
      <c r="Y138" s="124"/>
      <c r="Z138" s="124"/>
      <c r="AA138" s="126"/>
      <c r="AB138" s="145"/>
      <c r="AC138" s="156">
        <v>46387</v>
      </c>
      <c r="AD138" s="163">
        <v>46102</v>
      </c>
      <c r="AE138" s="115"/>
      <c r="AF138" s="163"/>
      <c r="AG138" s="115"/>
      <c r="AH138" s="163"/>
      <c r="AI138" s="115"/>
      <c r="AJ138" s="163"/>
      <c r="AK138" s="115"/>
      <c r="AL138" s="169">
        <f t="shared" si="21"/>
        <v>1</v>
      </c>
      <c r="AM138" s="112">
        <f t="shared" si="22"/>
        <v>1</v>
      </c>
      <c r="AN138" s="171">
        <f t="shared" si="24"/>
        <v>1</v>
      </c>
      <c r="AO138" s="150" t="str">
        <f>_xlfn.IFNA(VLOOKUP(AN138,Parameter!$D$53:$E$77,2),"")</f>
        <v>RENDAH</v>
      </c>
      <c r="AP138" s="167" t="s">
        <v>379</v>
      </c>
      <c r="AQ138" s="116"/>
    </row>
    <row r="139" spans="1:43" ht="180" x14ac:dyDescent="0.3">
      <c r="A139" s="114" t="s">
        <v>48</v>
      </c>
      <c r="B139" s="112">
        <f t="shared" si="12"/>
        <v>125</v>
      </c>
      <c r="C139" s="124" t="s">
        <v>1200</v>
      </c>
      <c r="D139" s="169" t="s">
        <v>999</v>
      </c>
      <c r="E139" s="176" t="s">
        <v>256</v>
      </c>
      <c r="F139" s="118" t="s">
        <v>368</v>
      </c>
      <c r="G139" s="117" t="s">
        <v>49</v>
      </c>
      <c r="H139" s="173" t="s">
        <v>50</v>
      </c>
      <c r="I139" s="127"/>
      <c r="J139" s="113"/>
      <c r="K139" s="113"/>
      <c r="L139" s="113"/>
      <c r="M139" s="113"/>
      <c r="N139" s="117"/>
      <c r="O139" s="120"/>
      <c r="P139" s="119"/>
      <c r="Q139" s="112">
        <v>1</v>
      </c>
      <c r="R139" s="112">
        <v>1</v>
      </c>
      <c r="S139" s="147">
        <f t="shared" si="23"/>
        <v>1</v>
      </c>
      <c r="T139" s="150" t="str">
        <f>_xlfn.IFNA(VLOOKUP(S139,Parameter!$D$53:$E$77,2),"")</f>
        <v>RENDAH</v>
      </c>
      <c r="U139" s="130"/>
      <c r="V139" s="124"/>
      <c r="W139" s="124"/>
      <c r="X139" s="124"/>
      <c r="Y139" s="124"/>
      <c r="Z139" s="124"/>
      <c r="AA139" s="126"/>
      <c r="AB139" s="145"/>
      <c r="AC139" s="156">
        <v>46387</v>
      </c>
      <c r="AD139" s="163">
        <v>46102</v>
      </c>
      <c r="AE139" s="115"/>
      <c r="AF139" s="163"/>
      <c r="AG139" s="115"/>
      <c r="AH139" s="163"/>
      <c r="AI139" s="115"/>
      <c r="AJ139" s="163"/>
      <c r="AK139" s="115"/>
      <c r="AL139" s="169">
        <f t="shared" si="21"/>
        <v>1</v>
      </c>
      <c r="AM139" s="112">
        <f t="shared" si="22"/>
        <v>1</v>
      </c>
      <c r="AN139" s="171">
        <f t="shared" si="24"/>
        <v>1</v>
      </c>
      <c r="AO139" s="150" t="str">
        <f>_xlfn.IFNA(VLOOKUP(AN139,Parameter!$D$53:$E$77,2),"")</f>
        <v>RENDAH</v>
      </c>
      <c r="AP139" s="167" t="s">
        <v>379</v>
      </c>
      <c r="AQ139" s="116"/>
    </row>
    <row r="140" spans="1:43" ht="144" x14ac:dyDescent="0.3">
      <c r="A140" s="114" t="s">
        <v>48</v>
      </c>
      <c r="B140" s="112">
        <f t="shared" si="12"/>
        <v>126</v>
      </c>
      <c r="C140" s="124" t="s">
        <v>1201</v>
      </c>
      <c r="D140" s="169" t="s">
        <v>999</v>
      </c>
      <c r="E140" s="176" t="s">
        <v>256</v>
      </c>
      <c r="F140" s="118" t="s">
        <v>368</v>
      </c>
      <c r="G140" s="117" t="s">
        <v>49</v>
      </c>
      <c r="H140" s="173" t="s">
        <v>50</v>
      </c>
      <c r="I140" s="127"/>
      <c r="J140" s="113"/>
      <c r="K140" s="113"/>
      <c r="L140" s="113"/>
      <c r="M140" s="113"/>
      <c r="N140" s="117"/>
      <c r="O140" s="120"/>
      <c r="P140" s="119"/>
      <c r="Q140" s="112">
        <v>1</v>
      </c>
      <c r="R140" s="112">
        <v>1</v>
      </c>
      <c r="S140" s="147">
        <f t="shared" si="23"/>
        <v>1</v>
      </c>
      <c r="T140" s="150" t="str">
        <f>_xlfn.IFNA(VLOOKUP(S140,Parameter!$D$53:$E$77,2),"")</f>
        <v>RENDAH</v>
      </c>
      <c r="U140" s="130"/>
      <c r="V140" s="124"/>
      <c r="W140" s="124"/>
      <c r="X140" s="124"/>
      <c r="Y140" s="124"/>
      <c r="Z140" s="124"/>
      <c r="AA140" s="126"/>
      <c r="AB140" s="145"/>
      <c r="AC140" s="156">
        <v>46387</v>
      </c>
      <c r="AD140" s="163">
        <v>46102</v>
      </c>
      <c r="AE140" s="115"/>
      <c r="AF140" s="163"/>
      <c r="AG140" s="115"/>
      <c r="AH140" s="163"/>
      <c r="AI140" s="115"/>
      <c r="AJ140" s="163"/>
      <c r="AK140" s="115"/>
      <c r="AL140" s="169">
        <f t="shared" si="21"/>
        <v>1</v>
      </c>
      <c r="AM140" s="112">
        <f t="shared" si="22"/>
        <v>1</v>
      </c>
      <c r="AN140" s="171">
        <f t="shared" si="24"/>
        <v>1</v>
      </c>
      <c r="AO140" s="150" t="str">
        <f>_xlfn.IFNA(VLOOKUP(AN140,Parameter!$D$53:$E$77,2),"")</f>
        <v>RENDAH</v>
      </c>
      <c r="AP140" s="167" t="s">
        <v>379</v>
      </c>
      <c r="AQ140" s="116"/>
    </row>
    <row r="141" spans="1:43" ht="306" hidden="1" x14ac:dyDescent="0.3">
      <c r="A141" s="114" t="s">
        <v>48</v>
      </c>
      <c r="B141" s="112">
        <f t="shared" si="12"/>
        <v>127</v>
      </c>
      <c r="C141" s="124" t="s">
        <v>555</v>
      </c>
      <c r="D141" s="169" t="s">
        <v>318</v>
      </c>
      <c r="E141" s="176" t="s">
        <v>57</v>
      </c>
      <c r="F141" s="118" t="s">
        <v>368</v>
      </c>
      <c r="G141" s="117" t="s">
        <v>49</v>
      </c>
      <c r="H141" s="173" t="s">
        <v>50</v>
      </c>
      <c r="I141" s="127" t="s">
        <v>556</v>
      </c>
      <c r="J141" s="113" t="s">
        <v>557</v>
      </c>
      <c r="K141" s="113" t="s">
        <v>558</v>
      </c>
      <c r="L141" s="113" t="s">
        <v>559</v>
      </c>
      <c r="M141" s="113" t="s">
        <v>560</v>
      </c>
      <c r="N141" s="117" t="s">
        <v>385</v>
      </c>
      <c r="O141" s="120" t="s">
        <v>485</v>
      </c>
      <c r="P141" s="119" t="s">
        <v>561</v>
      </c>
      <c r="Q141" s="112">
        <v>4</v>
      </c>
      <c r="R141" s="112">
        <v>4</v>
      </c>
      <c r="S141" s="147">
        <f t="shared" si="23"/>
        <v>16</v>
      </c>
      <c r="T141" s="150" t="str">
        <f>_xlfn.IFNA(VLOOKUP(S141,Parameter!$D$53:$E$77,2),"")</f>
        <v>SEDANG-TINGGI</v>
      </c>
      <c r="U141" s="130" t="s">
        <v>562</v>
      </c>
      <c r="V141" s="124" t="s">
        <v>563</v>
      </c>
      <c r="W141" s="124" t="s">
        <v>564</v>
      </c>
      <c r="X141" s="124" t="s">
        <v>579</v>
      </c>
      <c r="Y141" s="124" t="s">
        <v>317</v>
      </c>
      <c r="Z141" s="124"/>
      <c r="AA141" s="126" t="s">
        <v>565</v>
      </c>
      <c r="AB141" s="145" t="s">
        <v>492</v>
      </c>
      <c r="AC141" s="156">
        <v>46387</v>
      </c>
      <c r="AD141" s="163">
        <v>46102</v>
      </c>
      <c r="AE141" s="115" t="s">
        <v>566</v>
      </c>
      <c r="AF141" s="163"/>
      <c r="AG141" s="115"/>
      <c r="AH141" s="163"/>
      <c r="AI141" s="115"/>
      <c r="AJ141" s="163"/>
      <c r="AK141" s="115"/>
      <c r="AL141" s="169">
        <f t="shared" si="21"/>
        <v>4</v>
      </c>
      <c r="AM141" s="112">
        <f t="shared" si="22"/>
        <v>4</v>
      </c>
      <c r="AN141" s="171">
        <f t="shared" si="24"/>
        <v>16</v>
      </c>
      <c r="AO141" s="150" t="str">
        <f>_xlfn.IFNA(VLOOKUP(AN141,Parameter!$D$53:$E$77,2),"")</f>
        <v>SEDANG-TINGGI</v>
      </c>
      <c r="AP141" s="167" t="s">
        <v>379</v>
      </c>
      <c r="AQ141" s="116"/>
    </row>
    <row r="142" spans="1:43" ht="144" x14ac:dyDescent="0.3">
      <c r="A142" s="114" t="s">
        <v>48</v>
      </c>
      <c r="B142" s="112">
        <f t="shared" si="12"/>
        <v>128</v>
      </c>
      <c r="C142" s="124" t="s">
        <v>1202</v>
      </c>
      <c r="D142" s="169" t="s">
        <v>318</v>
      </c>
      <c r="E142" s="176" t="s">
        <v>256</v>
      </c>
      <c r="F142" s="118" t="s">
        <v>367</v>
      </c>
      <c r="G142" s="117" t="s">
        <v>377</v>
      </c>
      <c r="H142" s="173" t="s">
        <v>50</v>
      </c>
      <c r="I142" s="127"/>
      <c r="J142" s="113"/>
      <c r="K142" s="113"/>
      <c r="L142" s="113"/>
      <c r="M142" s="113"/>
      <c r="N142" s="117" t="s">
        <v>385</v>
      </c>
      <c r="O142" s="120"/>
      <c r="P142" s="119"/>
      <c r="Q142" s="112">
        <v>1</v>
      </c>
      <c r="R142" s="112">
        <v>1</v>
      </c>
      <c r="S142" s="147">
        <f t="shared" si="23"/>
        <v>1</v>
      </c>
      <c r="T142" s="150" t="str">
        <f>_xlfn.IFNA(VLOOKUP(S142,Parameter!$D$53:$E$77,2),"")</f>
        <v>RENDAH</v>
      </c>
      <c r="U142" s="130"/>
      <c r="V142" s="124" t="s">
        <v>386</v>
      </c>
      <c r="W142" s="124" t="s">
        <v>386</v>
      </c>
      <c r="X142" s="124" t="s">
        <v>386</v>
      </c>
      <c r="Y142" s="124" t="s">
        <v>317</v>
      </c>
      <c r="Z142" s="124" t="s">
        <v>747</v>
      </c>
      <c r="AA142" s="126" t="s">
        <v>386</v>
      </c>
      <c r="AB142" s="111" t="s">
        <v>386</v>
      </c>
      <c r="AC142" s="156">
        <v>46387</v>
      </c>
      <c r="AD142" s="163">
        <v>46102</v>
      </c>
      <c r="AE142" s="115" t="s">
        <v>386</v>
      </c>
      <c r="AF142" s="163"/>
      <c r="AG142" s="115"/>
      <c r="AH142" s="163"/>
      <c r="AI142" s="115"/>
      <c r="AJ142" s="163"/>
      <c r="AK142" s="115"/>
      <c r="AL142" s="169">
        <f t="shared" si="21"/>
        <v>1</v>
      </c>
      <c r="AM142" s="112">
        <f t="shared" si="22"/>
        <v>1</v>
      </c>
      <c r="AN142" s="171">
        <f t="shared" si="24"/>
        <v>1</v>
      </c>
      <c r="AO142" s="150" t="str">
        <f>_xlfn.IFNA(VLOOKUP(AN142,Parameter!$D$53:$E$77,2),"")</f>
        <v>RENDAH</v>
      </c>
      <c r="AP142" s="167" t="s">
        <v>379</v>
      </c>
      <c r="AQ142" s="116"/>
    </row>
    <row r="143" spans="1:43" ht="144" x14ac:dyDescent="0.3">
      <c r="A143" s="114" t="s">
        <v>48</v>
      </c>
      <c r="B143" s="112">
        <f t="shared" si="12"/>
        <v>129</v>
      </c>
      <c r="C143" s="124" t="s">
        <v>1203</v>
      </c>
      <c r="D143" s="169" t="s">
        <v>318</v>
      </c>
      <c r="E143" s="176" t="s">
        <v>256</v>
      </c>
      <c r="F143" s="118" t="s">
        <v>367</v>
      </c>
      <c r="G143" s="117" t="s">
        <v>377</v>
      </c>
      <c r="H143" s="173" t="s">
        <v>50</v>
      </c>
      <c r="I143" s="127"/>
      <c r="J143" s="113"/>
      <c r="K143" s="113"/>
      <c r="L143" s="113"/>
      <c r="M143" s="113"/>
      <c r="N143" s="117" t="s">
        <v>385</v>
      </c>
      <c r="O143" s="120"/>
      <c r="P143" s="119"/>
      <c r="Q143" s="112">
        <v>1</v>
      </c>
      <c r="R143" s="112">
        <v>1</v>
      </c>
      <c r="S143" s="147">
        <f t="shared" si="23"/>
        <v>1</v>
      </c>
      <c r="T143" s="150" t="str">
        <f>_xlfn.IFNA(VLOOKUP(S143,Parameter!$D$53:$E$77,2),"")</f>
        <v>RENDAH</v>
      </c>
      <c r="U143" s="130"/>
      <c r="V143" s="124" t="s">
        <v>386</v>
      </c>
      <c r="W143" s="124" t="s">
        <v>386</v>
      </c>
      <c r="X143" s="124" t="s">
        <v>386</v>
      </c>
      <c r="Y143" s="124" t="s">
        <v>317</v>
      </c>
      <c r="Z143" s="124"/>
      <c r="AA143" s="126" t="s">
        <v>386</v>
      </c>
      <c r="AB143" s="111" t="s">
        <v>386</v>
      </c>
      <c r="AC143" s="156">
        <v>46387</v>
      </c>
      <c r="AD143" s="163">
        <v>46102</v>
      </c>
      <c r="AE143" s="115" t="s">
        <v>386</v>
      </c>
      <c r="AF143" s="163"/>
      <c r="AG143" s="115"/>
      <c r="AH143" s="163"/>
      <c r="AI143" s="115"/>
      <c r="AJ143" s="163"/>
      <c r="AK143" s="115"/>
      <c r="AL143" s="169">
        <f t="shared" si="21"/>
        <v>1</v>
      </c>
      <c r="AM143" s="112">
        <f t="shared" si="22"/>
        <v>1</v>
      </c>
      <c r="AN143" s="171">
        <f t="shared" si="24"/>
        <v>1</v>
      </c>
      <c r="AO143" s="150" t="str">
        <f>_xlfn.IFNA(VLOOKUP(AN143,Parameter!$D$53:$E$77,2),"")</f>
        <v>RENDAH</v>
      </c>
      <c r="AP143" s="167" t="s">
        <v>379</v>
      </c>
      <c r="AQ143" s="116"/>
    </row>
    <row r="144" spans="1:43" ht="144" x14ac:dyDescent="0.3">
      <c r="A144" s="114" t="s">
        <v>48</v>
      </c>
      <c r="B144" s="112">
        <f t="shared" si="12"/>
        <v>130</v>
      </c>
      <c r="C144" s="124" t="s">
        <v>1204</v>
      </c>
      <c r="D144" s="169" t="s">
        <v>277</v>
      </c>
      <c r="E144" s="176" t="s">
        <v>256</v>
      </c>
      <c r="F144" s="118" t="s">
        <v>367</v>
      </c>
      <c r="G144" s="117" t="s">
        <v>377</v>
      </c>
      <c r="H144" s="173" t="s">
        <v>50</v>
      </c>
      <c r="I144" s="127"/>
      <c r="J144" s="113"/>
      <c r="K144" s="113"/>
      <c r="L144" s="113"/>
      <c r="M144" s="113"/>
      <c r="N144" s="117" t="s">
        <v>385</v>
      </c>
      <c r="O144" s="120"/>
      <c r="P144" s="119"/>
      <c r="Q144" s="112">
        <v>1</v>
      </c>
      <c r="R144" s="112">
        <v>1</v>
      </c>
      <c r="S144" s="147">
        <f t="shared" si="23"/>
        <v>1</v>
      </c>
      <c r="T144" s="150" t="str">
        <f>_xlfn.IFNA(VLOOKUP(S144,Parameter!$D$53:$E$77,2),"")</f>
        <v>RENDAH</v>
      </c>
      <c r="U144" s="130"/>
      <c r="V144" s="124" t="s">
        <v>386</v>
      </c>
      <c r="W144" s="124" t="s">
        <v>386</v>
      </c>
      <c r="X144" s="124" t="s">
        <v>386</v>
      </c>
      <c r="Y144" s="124" t="s">
        <v>337</v>
      </c>
      <c r="Z144" s="124" t="s">
        <v>747</v>
      </c>
      <c r="AA144" s="126" t="s">
        <v>386</v>
      </c>
      <c r="AB144" s="111" t="s">
        <v>386</v>
      </c>
      <c r="AC144" s="156">
        <v>46387</v>
      </c>
      <c r="AD144" s="163">
        <v>46102</v>
      </c>
      <c r="AE144" s="115" t="s">
        <v>386</v>
      </c>
      <c r="AF144" s="163"/>
      <c r="AG144" s="115"/>
      <c r="AH144" s="163"/>
      <c r="AI144" s="115"/>
      <c r="AJ144" s="163"/>
      <c r="AK144" s="115"/>
      <c r="AL144" s="169">
        <f t="shared" si="21"/>
        <v>1</v>
      </c>
      <c r="AM144" s="112">
        <f t="shared" si="22"/>
        <v>1</v>
      </c>
      <c r="AN144" s="171">
        <f t="shared" si="24"/>
        <v>1</v>
      </c>
      <c r="AO144" s="150" t="str">
        <f>_xlfn.IFNA(VLOOKUP(AN144,Parameter!$D$53:$E$77,2),"")</f>
        <v>RENDAH</v>
      </c>
      <c r="AP144" s="167" t="s">
        <v>379</v>
      </c>
      <c r="AQ144" s="116"/>
    </row>
    <row r="145" spans="1:43" ht="288" hidden="1" x14ac:dyDescent="0.3">
      <c r="A145" s="114" t="s">
        <v>48</v>
      </c>
      <c r="B145" s="112">
        <f t="shared" si="12"/>
        <v>131</v>
      </c>
      <c r="C145" s="124" t="s">
        <v>507</v>
      </c>
      <c r="D145" s="169" t="s">
        <v>258</v>
      </c>
      <c r="E145" s="176" t="s">
        <v>189</v>
      </c>
      <c r="F145" s="118" t="s">
        <v>372</v>
      </c>
      <c r="G145" s="117" t="s">
        <v>377</v>
      </c>
      <c r="H145" s="173" t="s">
        <v>50</v>
      </c>
      <c r="I145" s="127" t="s">
        <v>508</v>
      </c>
      <c r="J145" s="113" t="s">
        <v>509</v>
      </c>
      <c r="K145" s="113" t="s">
        <v>510</v>
      </c>
      <c r="L145" s="113" t="s">
        <v>511</v>
      </c>
      <c r="M145" s="113" t="s">
        <v>512</v>
      </c>
      <c r="N145" s="117" t="s">
        <v>382</v>
      </c>
      <c r="O145" s="120" t="s">
        <v>501</v>
      </c>
      <c r="P145" s="119" t="s">
        <v>513</v>
      </c>
      <c r="Q145" s="112">
        <v>4</v>
      </c>
      <c r="R145" s="112">
        <v>4</v>
      </c>
      <c r="S145" s="147">
        <f t="shared" si="23"/>
        <v>16</v>
      </c>
      <c r="T145" s="150" t="str">
        <f>_xlfn.IFNA(VLOOKUP(S145,Parameter!$D$53:$E$77,2),"")</f>
        <v>SEDANG-TINGGI</v>
      </c>
      <c r="U145" s="130" t="s">
        <v>514</v>
      </c>
      <c r="V145" s="124" t="s">
        <v>504</v>
      </c>
      <c r="W145" s="124" t="s">
        <v>515</v>
      </c>
      <c r="X145" s="124" t="s">
        <v>516</v>
      </c>
      <c r="Y145" s="124" t="s">
        <v>337</v>
      </c>
      <c r="Z145" s="124"/>
      <c r="AA145" s="126" t="s">
        <v>386</v>
      </c>
      <c r="AB145" s="111" t="s">
        <v>386</v>
      </c>
      <c r="AC145" s="156">
        <v>46387</v>
      </c>
      <c r="AD145" s="163">
        <v>46102</v>
      </c>
      <c r="AE145" s="115" t="s">
        <v>517</v>
      </c>
      <c r="AF145" s="163"/>
      <c r="AG145" s="115"/>
      <c r="AH145" s="163"/>
      <c r="AI145" s="115"/>
      <c r="AJ145" s="163"/>
      <c r="AK145" s="115"/>
      <c r="AL145" s="169">
        <f t="shared" si="21"/>
        <v>4</v>
      </c>
      <c r="AM145" s="112">
        <f t="shared" si="22"/>
        <v>4</v>
      </c>
      <c r="AN145" s="171">
        <f t="shared" si="24"/>
        <v>16</v>
      </c>
      <c r="AO145" s="150" t="str">
        <f>_xlfn.IFNA(VLOOKUP(AN145,Parameter!$D$53:$E$77,2),"")</f>
        <v>SEDANG-TINGGI</v>
      </c>
      <c r="AP145" s="167" t="s">
        <v>379</v>
      </c>
      <c r="AQ145" s="116"/>
    </row>
    <row r="146" spans="1:43" ht="409.6" hidden="1" x14ac:dyDescent="0.3">
      <c r="A146" s="114" t="s">
        <v>48</v>
      </c>
      <c r="B146" s="112">
        <f t="shared" si="12"/>
        <v>132</v>
      </c>
      <c r="C146" s="124" t="s">
        <v>519</v>
      </c>
      <c r="D146" s="169" t="s">
        <v>258</v>
      </c>
      <c r="E146" s="176" t="s">
        <v>189</v>
      </c>
      <c r="F146" s="118" t="s">
        <v>372</v>
      </c>
      <c r="G146" s="117" t="s">
        <v>377</v>
      </c>
      <c r="H146" s="173" t="s">
        <v>50</v>
      </c>
      <c r="I146" s="127" t="s">
        <v>520</v>
      </c>
      <c r="J146" s="113" t="s">
        <v>521</v>
      </c>
      <c r="K146" s="113" t="s">
        <v>522</v>
      </c>
      <c r="L146" s="113" t="s">
        <v>523</v>
      </c>
      <c r="M146" s="113" t="s">
        <v>524</v>
      </c>
      <c r="N146" s="117" t="s">
        <v>385</v>
      </c>
      <c r="O146" s="120" t="s">
        <v>501</v>
      </c>
      <c r="P146" s="119" t="s">
        <v>525</v>
      </c>
      <c r="Q146" s="112">
        <v>4</v>
      </c>
      <c r="R146" s="112">
        <v>4</v>
      </c>
      <c r="S146" s="147">
        <f t="shared" si="23"/>
        <v>16</v>
      </c>
      <c r="T146" s="150" t="str">
        <f>_xlfn.IFNA(VLOOKUP(S146,Parameter!$D$53:$E$77,2),"")</f>
        <v>SEDANG-TINGGI</v>
      </c>
      <c r="U146" s="130" t="s">
        <v>526</v>
      </c>
      <c r="V146" s="124" t="s">
        <v>504</v>
      </c>
      <c r="W146" s="124" t="s">
        <v>527</v>
      </c>
      <c r="X146" s="124" t="s">
        <v>528</v>
      </c>
      <c r="Y146" s="124" t="s">
        <v>345</v>
      </c>
      <c r="Z146" s="124"/>
      <c r="AA146" s="126" t="s">
        <v>386</v>
      </c>
      <c r="AB146" s="111" t="s">
        <v>529</v>
      </c>
      <c r="AC146" s="156">
        <v>46387</v>
      </c>
      <c r="AD146" s="163">
        <v>46102</v>
      </c>
      <c r="AE146" s="115" t="s">
        <v>530</v>
      </c>
      <c r="AF146" s="163"/>
      <c r="AG146" s="115"/>
      <c r="AH146" s="163"/>
      <c r="AI146" s="115"/>
      <c r="AJ146" s="163"/>
      <c r="AK146" s="115"/>
      <c r="AL146" s="169">
        <f t="shared" si="21"/>
        <v>4</v>
      </c>
      <c r="AM146" s="112">
        <f t="shared" si="22"/>
        <v>4</v>
      </c>
      <c r="AN146" s="171">
        <f t="shared" si="24"/>
        <v>16</v>
      </c>
      <c r="AO146" s="150" t="str">
        <f>_xlfn.IFNA(VLOOKUP(AN146,Parameter!$D$53:$E$77,2),"")</f>
        <v>SEDANG-TINGGI</v>
      </c>
      <c r="AP146" s="167" t="s">
        <v>379</v>
      </c>
      <c r="AQ146" s="116"/>
    </row>
    <row r="147" spans="1:43" ht="144" hidden="1" x14ac:dyDescent="0.3">
      <c r="A147" s="114" t="s">
        <v>48</v>
      </c>
      <c r="B147" s="112">
        <f t="shared" si="12"/>
        <v>133</v>
      </c>
      <c r="C147" s="124" t="s">
        <v>464</v>
      </c>
      <c r="D147" s="169" t="s">
        <v>258</v>
      </c>
      <c r="E147" s="176" t="s">
        <v>189</v>
      </c>
      <c r="F147" s="118" t="s">
        <v>372</v>
      </c>
      <c r="G147" s="117" t="s">
        <v>49</v>
      </c>
      <c r="H147" s="173" t="s">
        <v>50</v>
      </c>
      <c r="I147" s="127" t="s">
        <v>465</v>
      </c>
      <c r="J147" s="113" t="s">
        <v>466</v>
      </c>
      <c r="K147" s="113" t="s">
        <v>467</v>
      </c>
      <c r="L147" s="113" t="s">
        <v>468</v>
      </c>
      <c r="M147" s="113" t="s">
        <v>469</v>
      </c>
      <c r="N147" s="117" t="s">
        <v>382</v>
      </c>
      <c r="O147" s="120" t="s">
        <v>470</v>
      </c>
      <c r="P147" s="119" t="s">
        <v>471</v>
      </c>
      <c r="Q147" s="112">
        <v>5</v>
      </c>
      <c r="R147" s="112">
        <v>3</v>
      </c>
      <c r="S147" s="147">
        <f t="shared" si="23"/>
        <v>15</v>
      </c>
      <c r="T147" s="150" t="str">
        <f>_xlfn.IFNA(VLOOKUP(S147,Parameter!$D$53:$E$77,2),"")</f>
        <v>SEDANG-TINGGI</v>
      </c>
      <c r="U147" s="130" t="s">
        <v>472</v>
      </c>
      <c r="V147" s="124" t="s">
        <v>473</v>
      </c>
      <c r="W147" s="124" t="s">
        <v>474</v>
      </c>
      <c r="X147" s="124" t="s">
        <v>475</v>
      </c>
      <c r="Y147" s="124" t="s">
        <v>337</v>
      </c>
      <c r="Z147" s="124"/>
      <c r="AA147" s="126" t="s">
        <v>477</v>
      </c>
      <c r="AB147" s="145" t="s">
        <v>476</v>
      </c>
      <c r="AC147" s="156">
        <v>46387</v>
      </c>
      <c r="AD147" s="163">
        <v>46102</v>
      </c>
      <c r="AE147" s="115" t="s">
        <v>478</v>
      </c>
      <c r="AF147" s="163"/>
      <c r="AG147" s="115"/>
      <c r="AH147" s="163"/>
      <c r="AI147" s="115"/>
      <c r="AJ147" s="163"/>
      <c r="AK147" s="115"/>
      <c r="AL147" s="169">
        <f t="shared" si="21"/>
        <v>5</v>
      </c>
      <c r="AM147" s="112">
        <f t="shared" si="22"/>
        <v>3</v>
      </c>
      <c r="AN147" s="171">
        <f t="shared" si="24"/>
        <v>15</v>
      </c>
      <c r="AO147" s="150" t="str">
        <f>_xlfn.IFNA(VLOOKUP(AN147,Parameter!$D$53:$E$77,2),"")</f>
        <v>SEDANG-TINGGI</v>
      </c>
      <c r="AP147" s="167" t="s">
        <v>379</v>
      </c>
      <c r="AQ147" s="116"/>
    </row>
    <row r="148" spans="1:43" ht="360" hidden="1" x14ac:dyDescent="0.3">
      <c r="A148" s="114" t="s">
        <v>48</v>
      </c>
      <c r="B148" s="112">
        <f t="shared" si="12"/>
        <v>134</v>
      </c>
      <c r="C148" s="124" t="s">
        <v>495</v>
      </c>
      <c r="D148" s="169" t="s">
        <v>258</v>
      </c>
      <c r="E148" s="176" t="s">
        <v>189</v>
      </c>
      <c r="F148" s="118" t="s">
        <v>372</v>
      </c>
      <c r="G148" s="117" t="s">
        <v>377</v>
      </c>
      <c r="H148" s="173" t="s">
        <v>50</v>
      </c>
      <c r="I148" s="127" t="s">
        <v>496</v>
      </c>
      <c r="J148" s="113" t="s">
        <v>497</v>
      </c>
      <c r="K148" s="113" t="s">
        <v>498</v>
      </c>
      <c r="L148" s="113" t="s">
        <v>499</v>
      </c>
      <c r="M148" s="113" t="s">
        <v>500</v>
      </c>
      <c r="N148" s="117" t="s">
        <v>382</v>
      </c>
      <c r="O148" s="120" t="s">
        <v>501</v>
      </c>
      <c r="P148" s="119" t="s">
        <v>502</v>
      </c>
      <c r="Q148" s="112">
        <v>4</v>
      </c>
      <c r="R148" s="112">
        <v>3</v>
      </c>
      <c r="S148" s="147">
        <f t="shared" si="23"/>
        <v>12</v>
      </c>
      <c r="T148" s="150" t="str">
        <f>_xlfn.IFNA(VLOOKUP(S148,Parameter!$D$53:$E$77,2),"")</f>
        <v>SEDANG</v>
      </c>
      <c r="U148" s="130" t="s">
        <v>503</v>
      </c>
      <c r="V148" s="124" t="s">
        <v>504</v>
      </c>
      <c r="W148" s="124" t="s">
        <v>505</v>
      </c>
      <c r="X148" s="124" t="s">
        <v>506</v>
      </c>
      <c r="Y148" s="124" t="s">
        <v>337</v>
      </c>
      <c r="Z148" s="124"/>
      <c r="AA148" s="126" t="s">
        <v>386</v>
      </c>
      <c r="AB148" s="111" t="s">
        <v>386</v>
      </c>
      <c r="AC148" s="156">
        <v>46387</v>
      </c>
      <c r="AD148" s="163">
        <v>46102</v>
      </c>
      <c r="AE148" s="115" t="s">
        <v>518</v>
      </c>
      <c r="AF148" s="163"/>
      <c r="AG148" s="115"/>
      <c r="AH148" s="163"/>
      <c r="AI148" s="115"/>
      <c r="AJ148" s="163"/>
      <c r="AK148" s="115"/>
      <c r="AL148" s="169">
        <f t="shared" si="21"/>
        <v>4</v>
      </c>
      <c r="AM148" s="112">
        <f t="shared" si="22"/>
        <v>3</v>
      </c>
      <c r="AN148" s="171">
        <f t="shared" si="24"/>
        <v>12</v>
      </c>
      <c r="AO148" s="150" t="str">
        <f>_xlfn.IFNA(VLOOKUP(AN148,Parameter!$D$53:$E$77,2),"")</f>
        <v>SEDANG</v>
      </c>
      <c r="AP148" s="167" t="s">
        <v>379</v>
      </c>
      <c r="AQ148" s="116"/>
    </row>
    <row r="149" spans="1:43" ht="288" hidden="1" x14ac:dyDescent="0.3">
      <c r="A149" s="114" t="s">
        <v>48</v>
      </c>
      <c r="B149" s="112">
        <f t="shared" si="12"/>
        <v>135</v>
      </c>
      <c r="C149" s="124" t="s">
        <v>732</v>
      </c>
      <c r="D149" s="169" t="s">
        <v>258</v>
      </c>
      <c r="E149" s="176" t="s">
        <v>256</v>
      </c>
      <c r="F149" s="118" t="s">
        <v>367</v>
      </c>
      <c r="G149" s="117" t="s">
        <v>49</v>
      </c>
      <c r="H149" s="173" t="s">
        <v>50</v>
      </c>
      <c r="I149" s="126" t="s">
        <v>733</v>
      </c>
      <c r="J149" s="111" t="s">
        <v>734</v>
      </c>
      <c r="K149" s="111" t="s">
        <v>735</v>
      </c>
      <c r="L149" s="111" t="s">
        <v>736</v>
      </c>
      <c r="M149" s="111" t="s">
        <v>737</v>
      </c>
      <c r="N149" s="117" t="s">
        <v>382</v>
      </c>
      <c r="O149" s="120" t="s">
        <v>738</v>
      </c>
      <c r="P149" s="119" t="s">
        <v>739</v>
      </c>
      <c r="Q149" s="112">
        <v>4</v>
      </c>
      <c r="R149" s="112">
        <v>3</v>
      </c>
      <c r="S149" s="117">
        <f t="shared" si="23"/>
        <v>12</v>
      </c>
      <c r="T149" s="150" t="str">
        <f>_xlfn.IFNA(VLOOKUP(S149,Parameter!$D$53:$E$77,2),"")</f>
        <v>SEDANG</v>
      </c>
      <c r="U149" s="130" t="s">
        <v>740</v>
      </c>
      <c r="V149" s="124" t="s">
        <v>683</v>
      </c>
      <c r="W149" s="124" t="s">
        <v>741</v>
      </c>
      <c r="X149" s="124" t="s">
        <v>742</v>
      </c>
      <c r="Y149" s="124" t="s">
        <v>337</v>
      </c>
      <c r="Z149" s="124"/>
      <c r="AA149" s="126" t="s">
        <v>744</v>
      </c>
      <c r="AB149" s="111" t="s">
        <v>745</v>
      </c>
      <c r="AC149" s="156">
        <v>46387</v>
      </c>
      <c r="AD149" s="163">
        <v>46102</v>
      </c>
      <c r="AE149" s="115" t="s">
        <v>743</v>
      </c>
      <c r="AF149" s="163"/>
      <c r="AG149" s="115"/>
      <c r="AH149" s="163"/>
      <c r="AI149" s="115"/>
      <c r="AJ149" s="163"/>
      <c r="AK149" s="115"/>
      <c r="AL149" s="169">
        <f t="shared" si="21"/>
        <v>4</v>
      </c>
      <c r="AM149" s="112">
        <f t="shared" si="22"/>
        <v>3</v>
      </c>
      <c r="AN149" s="147">
        <f t="shared" si="24"/>
        <v>12</v>
      </c>
      <c r="AO149" s="150" t="str">
        <f>_xlfn.IFNA(VLOOKUP(AN149,Parameter!$D$53:$E$77,2),"")</f>
        <v>SEDANG</v>
      </c>
      <c r="AP149" s="167" t="s">
        <v>379</v>
      </c>
      <c r="AQ149" s="115"/>
    </row>
    <row r="150" spans="1:43" ht="270" hidden="1" x14ac:dyDescent="0.3">
      <c r="A150" s="114" t="s">
        <v>48</v>
      </c>
      <c r="B150" s="112">
        <f t="shared" si="12"/>
        <v>136</v>
      </c>
      <c r="C150" s="124" t="s">
        <v>935</v>
      </c>
      <c r="D150" s="169" t="s">
        <v>278</v>
      </c>
      <c r="E150" s="176" t="s">
        <v>256</v>
      </c>
      <c r="F150" s="118" t="s">
        <v>367</v>
      </c>
      <c r="G150" s="117" t="s">
        <v>49</v>
      </c>
      <c r="H150" s="173" t="s">
        <v>50</v>
      </c>
      <c r="I150" s="127" t="s">
        <v>936</v>
      </c>
      <c r="J150" s="113" t="s">
        <v>937</v>
      </c>
      <c r="K150" s="113" t="s">
        <v>938</v>
      </c>
      <c r="L150" s="113" t="s">
        <v>939</v>
      </c>
      <c r="M150" s="113" t="s">
        <v>940</v>
      </c>
      <c r="N150" s="117" t="s">
        <v>363</v>
      </c>
      <c r="O150" s="120" t="s">
        <v>941</v>
      </c>
      <c r="P150" s="119" t="s">
        <v>914</v>
      </c>
      <c r="Q150" s="112">
        <v>3</v>
      </c>
      <c r="R150" s="112">
        <v>4</v>
      </c>
      <c r="S150" s="147">
        <f t="shared" si="23"/>
        <v>12</v>
      </c>
      <c r="T150" s="150" t="str">
        <f>_xlfn.IFNA(VLOOKUP(S150,Parameter!$D$53:$E$77,2),"")</f>
        <v>SEDANG</v>
      </c>
      <c r="U150" s="130" t="s">
        <v>942</v>
      </c>
      <c r="V150" s="124" t="s">
        <v>943</v>
      </c>
      <c r="W150" s="124" t="s">
        <v>944</v>
      </c>
      <c r="X150" s="124" t="s">
        <v>945</v>
      </c>
      <c r="Y150" s="124" t="s">
        <v>327</v>
      </c>
      <c r="Z150" s="124"/>
      <c r="AA150" s="126" t="s">
        <v>947</v>
      </c>
      <c r="AB150" s="111" t="s">
        <v>398</v>
      </c>
      <c r="AC150" s="156">
        <v>46387</v>
      </c>
      <c r="AD150" s="163">
        <v>46102</v>
      </c>
      <c r="AE150" s="115" t="s">
        <v>946</v>
      </c>
      <c r="AF150" s="163"/>
      <c r="AG150" s="115"/>
      <c r="AH150" s="163"/>
      <c r="AI150" s="115"/>
      <c r="AJ150" s="163"/>
      <c r="AK150" s="115"/>
      <c r="AL150" s="169">
        <f t="shared" si="21"/>
        <v>3</v>
      </c>
      <c r="AM150" s="112">
        <f t="shared" si="22"/>
        <v>4</v>
      </c>
      <c r="AN150" s="171">
        <f t="shared" si="24"/>
        <v>12</v>
      </c>
      <c r="AO150" s="150" t="str">
        <f>_xlfn.IFNA(VLOOKUP(AN150,Parameter!$D$53:$E$77,2),"")</f>
        <v>SEDANG</v>
      </c>
      <c r="AP150" s="167" t="s">
        <v>379</v>
      </c>
      <c r="AQ150" s="116"/>
    </row>
    <row r="151" spans="1:43" ht="252" hidden="1" x14ac:dyDescent="0.3">
      <c r="A151" s="114" t="s">
        <v>48</v>
      </c>
      <c r="B151" s="112">
        <f t="shared" si="12"/>
        <v>137</v>
      </c>
      <c r="C151" s="124" t="s">
        <v>702</v>
      </c>
      <c r="D151" s="169" t="s">
        <v>330</v>
      </c>
      <c r="E151" s="176" t="s">
        <v>256</v>
      </c>
      <c r="F151" s="118" t="s">
        <v>368</v>
      </c>
      <c r="G151" s="117" t="s">
        <v>49</v>
      </c>
      <c r="H151" s="173" t="s">
        <v>50</v>
      </c>
      <c r="I151" s="126" t="s">
        <v>704</v>
      </c>
      <c r="J151" s="111" t="s">
        <v>705</v>
      </c>
      <c r="K151" s="111" t="s">
        <v>706</v>
      </c>
      <c r="L151" s="111" t="s">
        <v>707</v>
      </c>
      <c r="M151" s="111" t="s">
        <v>708</v>
      </c>
      <c r="N151" s="117" t="s">
        <v>382</v>
      </c>
      <c r="O151" s="120" t="s">
        <v>485</v>
      </c>
      <c r="P151" s="119" t="s">
        <v>709</v>
      </c>
      <c r="Q151" s="112">
        <v>4</v>
      </c>
      <c r="R151" s="112">
        <v>3</v>
      </c>
      <c r="S151" s="117">
        <f t="shared" si="23"/>
        <v>12</v>
      </c>
      <c r="T151" s="150" t="str">
        <f>_xlfn.IFNA(VLOOKUP(S151,Parameter!$D$53:$E$77,2),"")</f>
        <v>SEDANG</v>
      </c>
      <c r="U151" s="130" t="s">
        <v>710</v>
      </c>
      <c r="V151" s="124" t="s">
        <v>711</v>
      </c>
      <c r="W151" s="124" t="s">
        <v>712</v>
      </c>
      <c r="X151" s="124" t="s">
        <v>713</v>
      </c>
      <c r="Y151" s="124" t="s">
        <v>290</v>
      </c>
      <c r="Z151" s="124"/>
      <c r="AA151" s="126" t="s">
        <v>716</v>
      </c>
      <c r="AB151" s="111" t="s">
        <v>715</v>
      </c>
      <c r="AC151" s="156">
        <v>46387</v>
      </c>
      <c r="AD151" s="163">
        <v>46102</v>
      </c>
      <c r="AE151" s="115" t="s">
        <v>714</v>
      </c>
      <c r="AF151" s="163"/>
      <c r="AG151" s="115"/>
      <c r="AH151" s="163"/>
      <c r="AI151" s="115"/>
      <c r="AJ151" s="163"/>
      <c r="AK151" s="115"/>
      <c r="AL151" s="169">
        <f t="shared" si="21"/>
        <v>4</v>
      </c>
      <c r="AM151" s="112">
        <f t="shared" si="22"/>
        <v>3</v>
      </c>
      <c r="AN151" s="147">
        <f t="shared" si="24"/>
        <v>12</v>
      </c>
      <c r="AO151" s="150" t="str">
        <f>_xlfn.IFNA(VLOOKUP(AN151,Parameter!$D$53:$E$77,2),"")</f>
        <v>SEDANG</v>
      </c>
      <c r="AP151" s="167" t="s">
        <v>379</v>
      </c>
      <c r="AQ151" s="115"/>
    </row>
    <row r="152" spans="1:43" ht="306" hidden="1" x14ac:dyDescent="0.3">
      <c r="A152" s="114" t="s">
        <v>48</v>
      </c>
      <c r="B152" s="112">
        <f t="shared" si="12"/>
        <v>138</v>
      </c>
      <c r="C152" s="124" t="s">
        <v>543</v>
      </c>
      <c r="D152" s="169" t="s">
        <v>300</v>
      </c>
      <c r="E152" s="176" t="s">
        <v>256</v>
      </c>
      <c r="F152" s="118" t="s">
        <v>368</v>
      </c>
      <c r="G152" s="117" t="s">
        <v>49</v>
      </c>
      <c r="H152" s="173" t="s">
        <v>50</v>
      </c>
      <c r="I152" s="127" t="s">
        <v>544</v>
      </c>
      <c r="J152" s="113" t="s">
        <v>545</v>
      </c>
      <c r="K152" s="113" t="s">
        <v>546</v>
      </c>
      <c r="L152" s="113" t="s">
        <v>547</v>
      </c>
      <c r="M152" s="113" t="s">
        <v>548</v>
      </c>
      <c r="N152" s="117" t="s">
        <v>384</v>
      </c>
      <c r="O152" s="120" t="s">
        <v>485</v>
      </c>
      <c r="P152" s="119" t="s">
        <v>549</v>
      </c>
      <c r="Q152" s="112">
        <v>4</v>
      </c>
      <c r="R152" s="112">
        <v>4</v>
      </c>
      <c r="S152" s="147">
        <f t="shared" si="23"/>
        <v>16</v>
      </c>
      <c r="T152" s="150" t="str">
        <f>_xlfn.IFNA(VLOOKUP(S152,Parameter!$D$53:$E$77,2),"")</f>
        <v>SEDANG-TINGGI</v>
      </c>
      <c r="U152" s="130" t="s">
        <v>550</v>
      </c>
      <c r="V152" s="124" t="s">
        <v>551</v>
      </c>
      <c r="W152" s="124" t="s">
        <v>552</v>
      </c>
      <c r="X152" s="124" t="s">
        <v>580</v>
      </c>
      <c r="Y152" s="124" t="s">
        <v>297</v>
      </c>
      <c r="Z152" s="124"/>
      <c r="AA152" s="126" t="s">
        <v>553</v>
      </c>
      <c r="AB152" s="145" t="s">
        <v>492</v>
      </c>
      <c r="AC152" s="156">
        <v>46387</v>
      </c>
      <c r="AD152" s="163">
        <v>46102</v>
      </c>
      <c r="AE152" s="115" t="s">
        <v>554</v>
      </c>
      <c r="AF152" s="163"/>
      <c r="AG152" s="115"/>
      <c r="AH152" s="163"/>
      <c r="AI152" s="115"/>
      <c r="AJ152" s="163"/>
      <c r="AK152" s="115"/>
      <c r="AL152" s="169">
        <f t="shared" si="21"/>
        <v>4</v>
      </c>
      <c r="AM152" s="112">
        <f t="shared" si="22"/>
        <v>4</v>
      </c>
      <c r="AN152" s="171">
        <f t="shared" si="24"/>
        <v>16</v>
      </c>
      <c r="AO152" s="150" t="str">
        <f>_xlfn.IFNA(VLOOKUP(AN152,Parameter!$D$53:$E$77,2),"")</f>
        <v>SEDANG-TINGGI</v>
      </c>
      <c r="AP152" s="167" t="s">
        <v>379</v>
      </c>
      <c r="AQ152" s="116"/>
    </row>
    <row r="153" spans="1:43" ht="306" hidden="1" x14ac:dyDescent="0.3">
      <c r="A153" s="114" t="s">
        <v>48</v>
      </c>
      <c r="B153" s="112">
        <f t="shared" si="12"/>
        <v>139</v>
      </c>
      <c r="C153" s="124" t="s">
        <v>975</v>
      </c>
      <c r="D153" s="169" t="s">
        <v>335</v>
      </c>
      <c r="E153" s="176" t="s">
        <v>256</v>
      </c>
      <c r="F153" s="118" t="s">
        <v>373</v>
      </c>
      <c r="G153" s="117" t="s">
        <v>49</v>
      </c>
      <c r="H153" s="173" t="s">
        <v>50</v>
      </c>
      <c r="I153" s="127" t="s">
        <v>976</v>
      </c>
      <c r="J153" s="113" t="s">
        <v>977</v>
      </c>
      <c r="K153" s="113" t="s">
        <v>978</v>
      </c>
      <c r="L153" s="113" t="s">
        <v>979</v>
      </c>
      <c r="M153" s="113" t="s">
        <v>980</v>
      </c>
      <c r="N153" s="117" t="s">
        <v>361</v>
      </c>
      <c r="O153" s="120" t="s">
        <v>738</v>
      </c>
      <c r="P153" s="119" t="s">
        <v>981</v>
      </c>
      <c r="Q153" s="112">
        <v>4</v>
      </c>
      <c r="R153" s="112">
        <v>4</v>
      </c>
      <c r="S153" s="147">
        <f t="shared" si="23"/>
        <v>16</v>
      </c>
      <c r="T153" s="150" t="str">
        <f>_xlfn.IFNA(VLOOKUP(S153,Parameter!$D$53:$E$77,2),"")</f>
        <v>SEDANG-TINGGI</v>
      </c>
      <c r="U153" s="130" t="s">
        <v>982</v>
      </c>
      <c r="V153" s="124" t="s">
        <v>983</v>
      </c>
      <c r="W153" s="124" t="s">
        <v>984</v>
      </c>
      <c r="X153" s="124" t="s">
        <v>985</v>
      </c>
      <c r="Y153" s="124" t="s">
        <v>279</v>
      </c>
      <c r="Z153" s="124" t="s">
        <v>333</v>
      </c>
      <c r="AA153" s="126" t="s">
        <v>987</v>
      </c>
      <c r="AB153" s="111" t="s">
        <v>988</v>
      </c>
      <c r="AC153" s="156">
        <v>46387</v>
      </c>
      <c r="AD153" s="163">
        <v>46102</v>
      </c>
      <c r="AE153" s="115" t="s">
        <v>986</v>
      </c>
      <c r="AF153" s="163"/>
      <c r="AG153" s="115"/>
      <c r="AH153" s="163"/>
      <c r="AI153" s="115"/>
      <c r="AJ153" s="163"/>
      <c r="AK153" s="115"/>
      <c r="AL153" s="169">
        <f t="shared" si="21"/>
        <v>4</v>
      </c>
      <c r="AM153" s="112">
        <f t="shared" si="22"/>
        <v>4</v>
      </c>
      <c r="AN153" s="171">
        <f t="shared" si="24"/>
        <v>16</v>
      </c>
      <c r="AO153" s="150" t="str">
        <f>_xlfn.IFNA(VLOOKUP(AN153,Parameter!$D$53:$E$77,2),"")</f>
        <v>SEDANG-TINGGI</v>
      </c>
      <c r="AP153" s="167" t="s">
        <v>379</v>
      </c>
      <c r="AQ153" s="116"/>
    </row>
    <row r="154" spans="1:43" ht="288" hidden="1" x14ac:dyDescent="0.3">
      <c r="A154" s="114" t="s">
        <v>48</v>
      </c>
      <c r="B154" s="112">
        <f t="shared" si="12"/>
        <v>140</v>
      </c>
      <c r="C154" s="124" t="s">
        <v>962</v>
      </c>
      <c r="D154" s="169" t="s">
        <v>335</v>
      </c>
      <c r="E154" s="176" t="s">
        <v>256</v>
      </c>
      <c r="F154" s="118" t="s">
        <v>373</v>
      </c>
      <c r="G154" s="117" t="s">
        <v>49</v>
      </c>
      <c r="H154" s="173" t="s">
        <v>50</v>
      </c>
      <c r="I154" s="127" t="s">
        <v>963</v>
      </c>
      <c r="J154" s="113" t="s">
        <v>964</v>
      </c>
      <c r="K154" s="113" t="s">
        <v>965</v>
      </c>
      <c r="L154" s="113" t="s">
        <v>966</v>
      </c>
      <c r="M154" s="113" t="s">
        <v>967</v>
      </c>
      <c r="N154" s="117" t="s">
        <v>382</v>
      </c>
      <c r="O154" s="120" t="s">
        <v>501</v>
      </c>
      <c r="P154" s="119" t="s">
        <v>968</v>
      </c>
      <c r="Q154" s="112">
        <v>4</v>
      </c>
      <c r="R154" s="112">
        <v>4</v>
      </c>
      <c r="S154" s="147">
        <f t="shared" si="23"/>
        <v>16</v>
      </c>
      <c r="T154" s="150" t="str">
        <f>_xlfn.IFNA(VLOOKUP(S154,Parameter!$D$53:$E$77,2),"")</f>
        <v>SEDANG-TINGGI</v>
      </c>
      <c r="U154" s="130" t="s">
        <v>969</v>
      </c>
      <c r="V154" s="124" t="s">
        <v>970</v>
      </c>
      <c r="W154" s="124" t="s">
        <v>971</v>
      </c>
      <c r="X154" s="124" t="s">
        <v>972</v>
      </c>
      <c r="Y154" s="124" t="s">
        <v>337</v>
      </c>
      <c r="Z154" s="124" t="s">
        <v>333</v>
      </c>
      <c r="AA154" s="126" t="s">
        <v>974</v>
      </c>
      <c r="AB154" s="111" t="s">
        <v>386</v>
      </c>
      <c r="AC154" s="156">
        <v>46387</v>
      </c>
      <c r="AD154" s="163">
        <v>46102</v>
      </c>
      <c r="AE154" s="115" t="s">
        <v>973</v>
      </c>
      <c r="AF154" s="163"/>
      <c r="AG154" s="115"/>
      <c r="AH154" s="163"/>
      <c r="AI154" s="115"/>
      <c r="AJ154" s="163"/>
      <c r="AK154" s="115"/>
      <c r="AL154" s="169">
        <f t="shared" si="21"/>
        <v>4</v>
      </c>
      <c r="AM154" s="112">
        <f t="shared" si="22"/>
        <v>4</v>
      </c>
      <c r="AN154" s="171">
        <f t="shared" si="24"/>
        <v>16</v>
      </c>
      <c r="AO154" s="150" t="str">
        <f>_xlfn.IFNA(VLOOKUP(AN154,Parameter!$D$53:$E$77,2),"")</f>
        <v>SEDANG-TINGGI</v>
      </c>
      <c r="AP154" s="167" t="s">
        <v>379</v>
      </c>
      <c r="AQ154" s="116"/>
    </row>
    <row r="155" spans="1:43" ht="144" x14ac:dyDescent="0.3">
      <c r="A155" s="114" t="s">
        <v>48</v>
      </c>
      <c r="B155" s="112">
        <f t="shared" si="12"/>
        <v>141</v>
      </c>
      <c r="C155" s="124" t="s">
        <v>1233</v>
      </c>
      <c r="D155" s="169" t="s">
        <v>335</v>
      </c>
      <c r="E155" s="176" t="s">
        <v>256</v>
      </c>
      <c r="F155" s="118" t="s">
        <v>368</v>
      </c>
      <c r="G155" s="117" t="s">
        <v>49</v>
      </c>
      <c r="H155" s="173" t="s">
        <v>190</v>
      </c>
      <c r="I155" s="127"/>
      <c r="J155" s="113"/>
      <c r="K155" s="113"/>
      <c r="L155" s="113"/>
      <c r="M155" s="113"/>
      <c r="N155" s="117"/>
      <c r="O155" s="120"/>
      <c r="P155" s="119"/>
      <c r="Q155" s="112">
        <v>1</v>
      </c>
      <c r="R155" s="112">
        <v>1</v>
      </c>
      <c r="S155" s="147">
        <f t="shared" si="23"/>
        <v>1</v>
      </c>
      <c r="T155" s="150" t="str">
        <f>_xlfn.IFNA(VLOOKUP(S155,Parameter!$D$53:$E$77,2),"")</f>
        <v>RENDAH</v>
      </c>
      <c r="U155" s="130"/>
      <c r="V155" s="124"/>
      <c r="W155" s="124"/>
      <c r="X155" s="124"/>
      <c r="Y155" s="124"/>
      <c r="Z155" s="124"/>
      <c r="AA155" s="126"/>
      <c r="AB155" s="145"/>
      <c r="AC155" s="156">
        <v>46387</v>
      </c>
      <c r="AD155" s="163">
        <v>46102</v>
      </c>
      <c r="AE155" s="115"/>
      <c r="AF155" s="163"/>
      <c r="AG155" s="115"/>
      <c r="AH155" s="163"/>
      <c r="AI155" s="115"/>
      <c r="AJ155" s="163"/>
      <c r="AK155" s="115"/>
      <c r="AL155" s="169">
        <f t="shared" si="21"/>
        <v>1</v>
      </c>
      <c r="AM155" s="112">
        <f t="shared" si="22"/>
        <v>1</v>
      </c>
      <c r="AN155" s="171">
        <f t="shared" si="24"/>
        <v>1</v>
      </c>
      <c r="AO155" s="150" t="str">
        <f>_xlfn.IFNA(VLOOKUP(AN155,Parameter!$D$53:$E$77,2),"")</f>
        <v>RENDAH</v>
      </c>
      <c r="AP155" s="167" t="s">
        <v>379</v>
      </c>
      <c r="AQ155" s="116"/>
    </row>
    <row r="156" spans="1:43" ht="252" x14ac:dyDescent="0.3">
      <c r="A156" s="114" t="s">
        <v>48</v>
      </c>
      <c r="B156" s="112">
        <f t="shared" si="12"/>
        <v>142</v>
      </c>
      <c r="C156" s="124" t="s">
        <v>1245</v>
      </c>
      <c r="D156" s="169" t="s">
        <v>335</v>
      </c>
      <c r="E156" s="176" t="s">
        <v>256</v>
      </c>
      <c r="F156" s="118" t="s">
        <v>368</v>
      </c>
      <c r="G156" s="117" t="s">
        <v>49</v>
      </c>
      <c r="H156" s="173" t="s">
        <v>50</v>
      </c>
      <c r="I156" s="127"/>
      <c r="J156" s="113"/>
      <c r="K156" s="113"/>
      <c r="L156" s="113"/>
      <c r="M156" s="113"/>
      <c r="N156" s="117"/>
      <c r="O156" s="120"/>
      <c r="P156" s="119"/>
      <c r="Q156" s="112">
        <v>1</v>
      </c>
      <c r="R156" s="112">
        <v>1</v>
      </c>
      <c r="S156" s="147">
        <f t="shared" si="23"/>
        <v>1</v>
      </c>
      <c r="T156" s="150" t="str">
        <f>_xlfn.IFNA(VLOOKUP(S156,Parameter!$D$53:$E$77,2),"")</f>
        <v>RENDAH</v>
      </c>
      <c r="U156" s="130"/>
      <c r="V156" s="124"/>
      <c r="W156" s="124"/>
      <c r="X156" s="124"/>
      <c r="Y156" s="124"/>
      <c r="Z156" s="124"/>
      <c r="AA156" s="126"/>
      <c r="AB156" s="145"/>
      <c r="AC156" s="156">
        <v>46387</v>
      </c>
      <c r="AD156" s="165"/>
      <c r="AE156" s="115"/>
      <c r="AF156" s="165"/>
      <c r="AG156" s="115"/>
      <c r="AH156" s="165"/>
      <c r="AI156" s="115"/>
      <c r="AJ156" s="165"/>
      <c r="AK156" s="115"/>
      <c r="AL156" s="169">
        <f t="shared" si="21"/>
        <v>1</v>
      </c>
      <c r="AM156" s="112">
        <f t="shared" si="22"/>
        <v>1</v>
      </c>
      <c r="AN156" s="171">
        <f t="shared" si="24"/>
        <v>1</v>
      </c>
      <c r="AO156" s="150" t="str">
        <f>_xlfn.IFNA(VLOOKUP(AN156,Parameter!$D$53:$E$77,2),"")</f>
        <v>RENDAH</v>
      </c>
      <c r="AP156" s="167" t="s">
        <v>379</v>
      </c>
      <c r="AQ156" s="116"/>
    </row>
    <row r="157" spans="1:43" ht="324" hidden="1" x14ac:dyDescent="0.3">
      <c r="A157" s="114" t="s">
        <v>48</v>
      </c>
      <c r="B157" s="112">
        <f t="shared" si="12"/>
        <v>143</v>
      </c>
      <c r="C157" s="124" t="s">
        <v>1679</v>
      </c>
      <c r="D157" s="169" t="s">
        <v>348</v>
      </c>
      <c r="E157" s="176" t="s">
        <v>189</v>
      </c>
      <c r="F157" s="118" t="s">
        <v>372</v>
      </c>
      <c r="G157" s="117" t="s">
        <v>49</v>
      </c>
      <c r="H157" s="173" t="s">
        <v>50</v>
      </c>
      <c r="I157" s="127" t="s">
        <v>1680</v>
      </c>
      <c r="J157" s="113" t="s">
        <v>1681</v>
      </c>
      <c r="K157" s="113" t="s">
        <v>1682</v>
      </c>
      <c r="L157" s="113" t="s">
        <v>1683</v>
      </c>
      <c r="M157" s="113" t="s">
        <v>1684</v>
      </c>
      <c r="N157" s="117" t="s">
        <v>382</v>
      </c>
      <c r="O157" s="120" t="s">
        <v>738</v>
      </c>
      <c r="P157" s="119" t="s">
        <v>1685</v>
      </c>
      <c r="Q157" s="112">
        <v>4</v>
      </c>
      <c r="R157" s="112">
        <v>4</v>
      </c>
      <c r="S157" s="147">
        <f t="shared" si="23"/>
        <v>16</v>
      </c>
      <c r="T157" s="150" t="str">
        <f>_xlfn.IFNA(VLOOKUP(S157,Parameter!$D$53:$E$77,2),"")</f>
        <v>SEDANG-TINGGI</v>
      </c>
      <c r="U157" s="130" t="s">
        <v>1686</v>
      </c>
      <c r="V157" s="124" t="s">
        <v>1687</v>
      </c>
      <c r="W157" s="124" t="s">
        <v>1688</v>
      </c>
      <c r="X157" s="124" t="s">
        <v>1689</v>
      </c>
      <c r="Y157" s="124" t="s">
        <v>254</v>
      </c>
      <c r="Z157" s="124" t="s">
        <v>337</v>
      </c>
      <c r="AA157" s="126" t="s">
        <v>1692</v>
      </c>
      <c r="AB157" s="111" t="s">
        <v>1691</v>
      </c>
      <c r="AC157" s="156">
        <v>46387</v>
      </c>
      <c r="AD157" s="163">
        <v>46102</v>
      </c>
      <c r="AE157" s="115" t="s">
        <v>1690</v>
      </c>
      <c r="AF157" s="163"/>
      <c r="AG157" s="115"/>
      <c r="AH157" s="163"/>
      <c r="AI157" s="115"/>
      <c r="AJ157" s="163"/>
      <c r="AK157" s="115"/>
      <c r="AL157" s="169">
        <f t="shared" si="21"/>
        <v>4</v>
      </c>
      <c r="AM157" s="112">
        <f t="shared" si="22"/>
        <v>4</v>
      </c>
      <c r="AN157" s="171">
        <f t="shared" si="24"/>
        <v>16</v>
      </c>
      <c r="AO157" s="150" t="str">
        <f>_xlfn.IFNA(VLOOKUP(AN157,Parameter!$D$53:$E$77,2),"")</f>
        <v>SEDANG-TINGGI</v>
      </c>
      <c r="AP157" s="167" t="s">
        <v>379</v>
      </c>
      <c r="AQ157" s="116"/>
    </row>
    <row r="158" spans="1:43" ht="144" x14ac:dyDescent="0.3">
      <c r="A158" s="114" t="s">
        <v>48</v>
      </c>
      <c r="B158" s="112">
        <f t="shared" si="12"/>
        <v>144</v>
      </c>
      <c r="C158" s="124" t="s">
        <v>1205</v>
      </c>
      <c r="D158" s="169" t="s">
        <v>314</v>
      </c>
      <c r="E158" s="176" t="s">
        <v>256</v>
      </c>
      <c r="F158" s="118" t="s">
        <v>368</v>
      </c>
      <c r="G158" s="117" t="s">
        <v>49</v>
      </c>
      <c r="H158" s="173" t="s">
        <v>50</v>
      </c>
      <c r="I158" s="127"/>
      <c r="J158" s="113"/>
      <c r="K158" s="113"/>
      <c r="L158" s="113"/>
      <c r="M158" s="113"/>
      <c r="N158" s="117"/>
      <c r="O158" s="120"/>
      <c r="P158" s="119"/>
      <c r="Q158" s="112">
        <v>1</v>
      </c>
      <c r="R158" s="112">
        <v>1</v>
      </c>
      <c r="S158" s="147">
        <f t="shared" si="23"/>
        <v>1</v>
      </c>
      <c r="T158" s="150" t="str">
        <f>_xlfn.IFNA(VLOOKUP(S158,Parameter!$D$53:$E$77,2),"")</f>
        <v>RENDAH</v>
      </c>
      <c r="U158" s="130"/>
      <c r="V158" s="124"/>
      <c r="W158" s="124"/>
      <c r="X158" s="124"/>
      <c r="Y158" s="124"/>
      <c r="Z158" s="124"/>
      <c r="AA158" s="126"/>
      <c r="AB158" s="145"/>
      <c r="AC158" s="156">
        <v>46387</v>
      </c>
      <c r="AD158" s="163">
        <v>46102</v>
      </c>
      <c r="AE158" s="115"/>
      <c r="AF158" s="163"/>
      <c r="AG158" s="115"/>
      <c r="AH158" s="163"/>
      <c r="AI158" s="115"/>
      <c r="AJ158" s="163"/>
      <c r="AK158" s="115"/>
      <c r="AL158" s="169">
        <f t="shared" si="21"/>
        <v>1</v>
      </c>
      <c r="AM158" s="112">
        <f t="shared" si="22"/>
        <v>1</v>
      </c>
      <c r="AN158" s="171">
        <f t="shared" si="24"/>
        <v>1</v>
      </c>
      <c r="AO158" s="150" t="str">
        <f>_xlfn.IFNA(VLOOKUP(AN158,Parameter!$D$53:$E$77,2),"")</f>
        <v>RENDAH</v>
      </c>
      <c r="AP158" s="167" t="s">
        <v>379</v>
      </c>
      <c r="AQ158" s="116"/>
    </row>
    <row r="159" spans="1:43" ht="108" x14ac:dyDescent="0.3">
      <c r="A159" s="114" t="s">
        <v>48</v>
      </c>
      <c r="B159" s="112">
        <f t="shared" si="12"/>
        <v>145</v>
      </c>
      <c r="C159" s="124" t="s">
        <v>1206</v>
      </c>
      <c r="D159" s="169" t="s">
        <v>304</v>
      </c>
      <c r="E159" s="176" t="s">
        <v>256</v>
      </c>
      <c r="F159" s="118" t="s">
        <v>367</v>
      </c>
      <c r="G159" s="117" t="s">
        <v>377</v>
      </c>
      <c r="H159" s="173" t="s">
        <v>50</v>
      </c>
      <c r="I159" s="127"/>
      <c r="J159" s="113"/>
      <c r="K159" s="113"/>
      <c r="L159" s="113"/>
      <c r="M159" s="113"/>
      <c r="N159" s="117" t="s">
        <v>385</v>
      </c>
      <c r="O159" s="120"/>
      <c r="P159" s="119"/>
      <c r="Q159" s="112">
        <v>1</v>
      </c>
      <c r="R159" s="112">
        <v>1</v>
      </c>
      <c r="S159" s="147">
        <f t="shared" si="23"/>
        <v>1</v>
      </c>
      <c r="T159" s="150" t="str">
        <f>_xlfn.IFNA(VLOOKUP(S159,Parameter!$D$53:$E$77,2),"")</f>
        <v>RENDAH</v>
      </c>
      <c r="U159" s="130"/>
      <c r="V159" s="124" t="s">
        <v>386</v>
      </c>
      <c r="W159" s="124" t="s">
        <v>386</v>
      </c>
      <c r="X159" s="124" t="s">
        <v>386</v>
      </c>
      <c r="Y159" s="124" t="s">
        <v>279</v>
      </c>
      <c r="Z159" s="124"/>
      <c r="AA159" s="126" t="s">
        <v>386</v>
      </c>
      <c r="AB159" s="111" t="s">
        <v>386</v>
      </c>
      <c r="AC159" s="156">
        <v>46387</v>
      </c>
      <c r="AD159" s="163">
        <v>46102</v>
      </c>
      <c r="AE159" s="115" t="s">
        <v>386</v>
      </c>
      <c r="AF159" s="163"/>
      <c r="AG159" s="115"/>
      <c r="AH159" s="163"/>
      <c r="AI159" s="115"/>
      <c r="AJ159" s="163"/>
      <c r="AK159" s="115"/>
      <c r="AL159" s="169">
        <f t="shared" si="21"/>
        <v>1</v>
      </c>
      <c r="AM159" s="112">
        <f t="shared" si="22"/>
        <v>1</v>
      </c>
      <c r="AN159" s="171">
        <f t="shared" si="24"/>
        <v>1</v>
      </c>
      <c r="AO159" s="150" t="str">
        <f>_xlfn.IFNA(VLOOKUP(AN159,Parameter!$D$53:$E$77,2),"")</f>
        <v>RENDAH</v>
      </c>
      <c r="AP159" s="167" t="s">
        <v>379</v>
      </c>
      <c r="AQ159" s="116"/>
    </row>
    <row r="160" spans="1:43" ht="144" x14ac:dyDescent="0.3">
      <c r="A160" s="114" t="s">
        <v>48</v>
      </c>
      <c r="B160" s="112">
        <f t="shared" si="12"/>
        <v>146</v>
      </c>
      <c r="C160" s="124" t="s">
        <v>1207</v>
      </c>
      <c r="D160" s="169" t="s">
        <v>1000</v>
      </c>
      <c r="E160" s="176" t="s">
        <v>256</v>
      </c>
      <c r="F160" s="118" t="s">
        <v>367</v>
      </c>
      <c r="G160" s="117" t="s">
        <v>377</v>
      </c>
      <c r="H160" s="173" t="s">
        <v>50</v>
      </c>
      <c r="I160" s="127"/>
      <c r="J160" s="113"/>
      <c r="K160" s="113"/>
      <c r="L160" s="113"/>
      <c r="M160" s="113"/>
      <c r="N160" s="117" t="s">
        <v>385</v>
      </c>
      <c r="O160" s="120"/>
      <c r="P160" s="119"/>
      <c r="Q160" s="112">
        <v>1</v>
      </c>
      <c r="R160" s="112">
        <v>1</v>
      </c>
      <c r="S160" s="147">
        <f t="shared" si="23"/>
        <v>1</v>
      </c>
      <c r="T160" s="150" t="str">
        <f>_xlfn.IFNA(VLOOKUP(S160,Parameter!$D$53:$E$77,2),"")</f>
        <v>RENDAH</v>
      </c>
      <c r="U160" s="130"/>
      <c r="V160" s="124" t="s">
        <v>386</v>
      </c>
      <c r="W160" s="124" t="s">
        <v>386</v>
      </c>
      <c r="X160" s="124" t="s">
        <v>386</v>
      </c>
      <c r="Y160" s="124" t="s">
        <v>747</v>
      </c>
      <c r="Z160" s="124" t="s">
        <v>297</v>
      </c>
      <c r="AA160" s="126" t="s">
        <v>386</v>
      </c>
      <c r="AB160" s="111" t="s">
        <v>386</v>
      </c>
      <c r="AC160" s="156">
        <v>46387</v>
      </c>
      <c r="AD160" s="163">
        <v>46102</v>
      </c>
      <c r="AE160" s="115" t="s">
        <v>386</v>
      </c>
      <c r="AF160" s="163"/>
      <c r="AG160" s="115"/>
      <c r="AH160" s="163"/>
      <c r="AI160" s="115"/>
      <c r="AJ160" s="163"/>
      <c r="AK160" s="115"/>
      <c r="AL160" s="169">
        <f t="shared" si="21"/>
        <v>1</v>
      </c>
      <c r="AM160" s="112">
        <f t="shared" si="22"/>
        <v>1</v>
      </c>
      <c r="AN160" s="171">
        <f t="shared" si="24"/>
        <v>1</v>
      </c>
      <c r="AO160" s="150" t="str">
        <f>_xlfn.IFNA(VLOOKUP(AN160,Parameter!$D$53:$E$77,2),"")</f>
        <v>RENDAH</v>
      </c>
      <c r="AP160" s="167" t="s">
        <v>379</v>
      </c>
      <c r="AQ160" s="116"/>
    </row>
    <row r="161" spans="1:43" ht="108" x14ac:dyDescent="0.3">
      <c r="A161" s="114" t="s">
        <v>48</v>
      </c>
      <c r="B161" s="112">
        <f t="shared" si="12"/>
        <v>147</v>
      </c>
      <c r="C161" s="124" t="s">
        <v>1208</v>
      </c>
      <c r="D161" s="169" t="s">
        <v>1000</v>
      </c>
      <c r="E161" s="176" t="s">
        <v>256</v>
      </c>
      <c r="F161" s="118" t="s">
        <v>367</v>
      </c>
      <c r="G161" s="117" t="s">
        <v>377</v>
      </c>
      <c r="H161" s="173" t="s">
        <v>50</v>
      </c>
      <c r="I161" s="127"/>
      <c r="J161" s="113"/>
      <c r="K161" s="113"/>
      <c r="L161" s="113"/>
      <c r="M161" s="113"/>
      <c r="N161" s="117" t="s">
        <v>385</v>
      </c>
      <c r="O161" s="120"/>
      <c r="P161" s="119"/>
      <c r="Q161" s="112">
        <v>1</v>
      </c>
      <c r="R161" s="112">
        <v>1</v>
      </c>
      <c r="S161" s="147">
        <f t="shared" si="23"/>
        <v>1</v>
      </c>
      <c r="T161" s="150" t="str">
        <f>_xlfn.IFNA(VLOOKUP(S161,Parameter!$D$53:$E$77,2),"")</f>
        <v>RENDAH</v>
      </c>
      <c r="U161" s="130"/>
      <c r="V161" s="124" t="s">
        <v>386</v>
      </c>
      <c r="W161" s="124" t="s">
        <v>386</v>
      </c>
      <c r="X161" s="124" t="s">
        <v>386</v>
      </c>
      <c r="Y161" s="124" t="s">
        <v>747</v>
      </c>
      <c r="Z161" s="124"/>
      <c r="AA161" s="126" t="s">
        <v>386</v>
      </c>
      <c r="AB161" s="111" t="s">
        <v>386</v>
      </c>
      <c r="AC161" s="156">
        <v>46387</v>
      </c>
      <c r="AD161" s="163">
        <v>46102</v>
      </c>
      <c r="AE161" s="115" t="s">
        <v>386</v>
      </c>
      <c r="AF161" s="163"/>
      <c r="AG161" s="115"/>
      <c r="AH161" s="163"/>
      <c r="AI161" s="115"/>
      <c r="AJ161" s="163"/>
      <c r="AK161" s="115"/>
      <c r="AL161" s="169">
        <f t="shared" si="21"/>
        <v>1</v>
      </c>
      <c r="AM161" s="112">
        <f t="shared" si="22"/>
        <v>1</v>
      </c>
      <c r="AN161" s="171">
        <f t="shared" si="24"/>
        <v>1</v>
      </c>
      <c r="AO161" s="150" t="str">
        <f>_xlfn.IFNA(VLOOKUP(AN161,Parameter!$D$53:$E$77,2),"")</f>
        <v>RENDAH</v>
      </c>
      <c r="AP161" s="167" t="s">
        <v>379</v>
      </c>
      <c r="AQ161" s="116"/>
    </row>
    <row r="162" spans="1:43" ht="324" hidden="1" x14ac:dyDescent="0.3">
      <c r="A162" s="114" t="s">
        <v>48</v>
      </c>
      <c r="B162" s="112">
        <f t="shared" si="12"/>
        <v>148</v>
      </c>
      <c r="C162" s="124" t="s">
        <v>479</v>
      </c>
      <c r="D162" s="169" t="s">
        <v>399</v>
      </c>
      <c r="E162" s="176" t="s">
        <v>256</v>
      </c>
      <c r="F162" s="118" t="s">
        <v>368</v>
      </c>
      <c r="G162" s="117" t="s">
        <v>49</v>
      </c>
      <c r="H162" s="173" t="s">
        <v>50</v>
      </c>
      <c r="I162" s="127" t="s">
        <v>480</v>
      </c>
      <c r="J162" s="113" t="s">
        <v>481</v>
      </c>
      <c r="K162" s="113" t="s">
        <v>482</v>
      </c>
      <c r="L162" s="113" t="s">
        <v>483</v>
      </c>
      <c r="M162" s="113" t="s">
        <v>484</v>
      </c>
      <c r="N162" s="117" t="s">
        <v>385</v>
      </c>
      <c r="O162" s="120" t="s">
        <v>485</v>
      </c>
      <c r="P162" s="119" t="s">
        <v>486</v>
      </c>
      <c r="Q162" s="112">
        <v>5</v>
      </c>
      <c r="R162" s="112">
        <v>5</v>
      </c>
      <c r="S162" s="147">
        <f t="shared" si="23"/>
        <v>25</v>
      </c>
      <c r="T162" s="150" t="str">
        <f>_xlfn.IFNA(VLOOKUP(S162,Parameter!$D$53:$E$77,2),"")</f>
        <v>TINGGI</v>
      </c>
      <c r="U162" s="130" t="s">
        <v>487</v>
      </c>
      <c r="V162" s="124" t="s">
        <v>488</v>
      </c>
      <c r="W162" s="124" t="s">
        <v>489</v>
      </c>
      <c r="X162" s="124" t="s">
        <v>490</v>
      </c>
      <c r="Y162" s="124" t="s">
        <v>310</v>
      </c>
      <c r="Z162" s="124"/>
      <c r="AA162" s="126" t="s">
        <v>491</v>
      </c>
      <c r="AB162" s="145" t="s">
        <v>492</v>
      </c>
      <c r="AC162" s="156">
        <v>46387</v>
      </c>
      <c r="AD162" s="163">
        <v>46102</v>
      </c>
      <c r="AE162" s="115" t="s">
        <v>493</v>
      </c>
      <c r="AF162" s="163"/>
      <c r="AG162" s="115"/>
      <c r="AH162" s="163"/>
      <c r="AI162" s="115"/>
      <c r="AJ162" s="163"/>
      <c r="AK162" s="115"/>
      <c r="AL162" s="169">
        <v>4</v>
      </c>
      <c r="AM162" s="112">
        <v>4</v>
      </c>
      <c r="AN162" s="171">
        <f t="shared" si="24"/>
        <v>16</v>
      </c>
      <c r="AO162" s="150" t="str">
        <f>_xlfn.IFNA(VLOOKUP(AN162,Parameter!$D$53:$E$77,2),"")</f>
        <v>SEDANG-TINGGI</v>
      </c>
      <c r="AP162" s="167" t="s">
        <v>379</v>
      </c>
      <c r="AQ162" s="116"/>
    </row>
    <row r="163" spans="1:43" ht="306" hidden="1" x14ac:dyDescent="0.3">
      <c r="A163" s="114" t="s">
        <v>48</v>
      </c>
      <c r="B163" s="112">
        <f t="shared" si="12"/>
        <v>149</v>
      </c>
      <c r="C163" s="124" t="s">
        <v>853</v>
      </c>
      <c r="D163" s="169" t="s">
        <v>399</v>
      </c>
      <c r="E163" s="176" t="s">
        <v>256</v>
      </c>
      <c r="F163" s="118" t="s">
        <v>368</v>
      </c>
      <c r="G163" s="117" t="s">
        <v>49</v>
      </c>
      <c r="H163" s="173" t="s">
        <v>50</v>
      </c>
      <c r="I163" s="127" t="s">
        <v>851</v>
      </c>
      <c r="J163" s="113" t="s">
        <v>852</v>
      </c>
      <c r="K163" s="113" t="s">
        <v>854</v>
      </c>
      <c r="L163" s="113" t="s">
        <v>855</v>
      </c>
      <c r="M163" s="113" t="s">
        <v>856</v>
      </c>
      <c r="N163" s="117" t="s">
        <v>382</v>
      </c>
      <c r="O163" s="120" t="s">
        <v>843</v>
      </c>
      <c r="P163" s="119" t="s">
        <v>857</v>
      </c>
      <c r="Q163" s="112">
        <v>4</v>
      </c>
      <c r="R163" s="112">
        <v>5</v>
      </c>
      <c r="S163" s="147">
        <f t="shared" si="23"/>
        <v>20</v>
      </c>
      <c r="T163" s="150" t="str">
        <f>_xlfn.IFNA(VLOOKUP(S163,Parameter!$D$53:$E$77,2),"")</f>
        <v>TINGGI</v>
      </c>
      <c r="U163" s="130" t="s">
        <v>858</v>
      </c>
      <c r="V163" s="124" t="s">
        <v>859</v>
      </c>
      <c r="W163" s="124" t="s">
        <v>860</v>
      </c>
      <c r="X163" s="124" t="s">
        <v>861</v>
      </c>
      <c r="Y163" s="124" t="s">
        <v>262</v>
      </c>
      <c r="Z163" s="124"/>
      <c r="AA163" s="126" t="s">
        <v>864</v>
      </c>
      <c r="AB163" s="111" t="s">
        <v>862</v>
      </c>
      <c r="AC163" s="156">
        <v>46387</v>
      </c>
      <c r="AD163" s="163">
        <v>46102</v>
      </c>
      <c r="AE163" s="115" t="s">
        <v>863</v>
      </c>
      <c r="AF163" s="163"/>
      <c r="AG163" s="115"/>
      <c r="AH163" s="163"/>
      <c r="AI163" s="115"/>
      <c r="AJ163" s="163"/>
      <c r="AK163" s="115"/>
      <c r="AL163" s="169">
        <f t="shared" ref="AL163:AM168" si="25">Q163</f>
        <v>4</v>
      </c>
      <c r="AM163" s="112">
        <f t="shared" si="25"/>
        <v>5</v>
      </c>
      <c r="AN163" s="171">
        <f t="shared" si="24"/>
        <v>20</v>
      </c>
      <c r="AO163" s="150" t="str">
        <f>_xlfn.IFNA(VLOOKUP(AN163,Parameter!$D$53:$E$77,2),"")</f>
        <v>TINGGI</v>
      </c>
      <c r="AP163" s="167" t="s">
        <v>379</v>
      </c>
      <c r="AQ163" s="116"/>
    </row>
    <row r="164" spans="1:43" ht="144" x14ac:dyDescent="0.3">
      <c r="A164" s="114" t="s">
        <v>48</v>
      </c>
      <c r="B164" s="112">
        <f t="shared" si="12"/>
        <v>150</v>
      </c>
      <c r="C164" s="124" t="s">
        <v>1209</v>
      </c>
      <c r="D164" s="169" t="s">
        <v>399</v>
      </c>
      <c r="E164" s="176" t="s">
        <v>256</v>
      </c>
      <c r="F164" s="118" t="s">
        <v>367</v>
      </c>
      <c r="G164" s="117" t="s">
        <v>377</v>
      </c>
      <c r="H164" s="173" t="s">
        <v>50</v>
      </c>
      <c r="I164" s="127"/>
      <c r="J164" s="113"/>
      <c r="K164" s="113"/>
      <c r="L164" s="113"/>
      <c r="M164" s="113"/>
      <c r="N164" s="117" t="s">
        <v>385</v>
      </c>
      <c r="O164" s="120"/>
      <c r="P164" s="119"/>
      <c r="Q164" s="112">
        <v>1</v>
      </c>
      <c r="R164" s="112">
        <v>1</v>
      </c>
      <c r="S164" s="147">
        <f t="shared" si="23"/>
        <v>1</v>
      </c>
      <c r="T164" s="150" t="str">
        <f>_xlfn.IFNA(VLOOKUP(S164,Parameter!$D$53:$E$77,2),"")</f>
        <v>RENDAH</v>
      </c>
      <c r="U164" s="130"/>
      <c r="V164" s="124" t="s">
        <v>386</v>
      </c>
      <c r="W164" s="124" t="s">
        <v>386</v>
      </c>
      <c r="X164" s="124" t="s">
        <v>386</v>
      </c>
      <c r="Y164" s="124" t="s">
        <v>254</v>
      </c>
      <c r="Z164" s="124"/>
      <c r="AA164" s="126" t="s">
        <v>386</v>
      </c>
      <c r="AB164" s="111" t="s">
        <v>386</v>
      </c>
      <c r="AC164" s="156">
        <v>46387</v>
      </c>
      <c r="AD164" s="163">
        <v>46102</v>
      </c>
      <c r="AE164" s="115" t="s">
        <v>386</v>
      </c>
      <c r="AF164" s="163"/>
      <c r="AG164" s="115"/>
      <c r="AH164" s="163"/>
      <c r="AI164" s="115"/>
      <c r="AJ164" s="163"/>
      <c r="AK164" s="115"/>
      <c r="AL164" s="169">
        <f t="shared" si="25"/>
        <v>1</v>
      </c>
      <c r="AM164" s="112">
        <f t="shared" si="25"/>
        <v>1</v>
      </c>
      <c r="AN164" s="171">
        <f t="shared" si="24"/>
        <v>1</v>
      </c>
      <c r="AO164" s="150" t="str">
        <f>_xlfn.IFNA(VLOOKUP(AN164,Parameter!$D$53:$E$77,2),"")</f>
        <v>RENDAH</v>
      </c>
      <c r="AP164" s="167" t="s">
        <v>379</v>
      </c>
      <c r="AQ164" s="116"/>
    </row>
    <row r="165" spans="1:43" ht="288" hidden="1" x14ac:dyDescent="0.3">
      <c r="A165" s="114" t="s">
        <v>48</v>
      </c>
      <c r="B165" s="112">
        <f t="shared" si="12"/>
        <v>151</v>
      </c>
      <c r="C165" s="124" t="s">
        <v>1419</v>
      </c>
      <c r="D165" s="169" t="s">
        <v>307</v>
      </c>
      <c r="E165" s="176" t="s">
        <v>52</v>
      </c>
      <c r="F165" s="118" t="s">
        <v>368</v>
      </c>
      <c r="G165" s="117" t="s">
        <v>377</v>
      </c>
      <c r="H165" s="173" t="s">
        <v>50</v>
      </c>
      <c r="I165" s="127" t="s">
        <v>1420</v>
      </c>
      <c r="J165" s="113" t="s">
        <v>1421</v>
      </c>
      <c r="K165" s="113" t="s">
        <v>1422</v>
      </c>
      <c r="L165" s="113" t="s">
        <v>1423</v>
      </c>
      <c r="M165" s="113" t="s">
        <v>1424</v>
      </c>
      <c r="N165" s="117" t="s">
        <v>385</v>
      </c>
      <c r="O165" s="120" t="s">
        <v>485</v>
      </c>
      <c r="P165" s="119" t="s">
        <v>1425</v>
      </c>
      <c r="Q165" s="112">
        <v>4</v>
      </c>
      <c r="R165" s="112">
        <v>4</v>
      </c>
      <c r="S165" s="147">
        <f t="shared" si="23"/>
        <v>16</v>
      </c>
      <c r="T165" s="150" t="str">
        <f>_xlfn.IFNA(VLOOKUP(S165,Parameter!$D$53:$E$77,2),"")</f>
        <v>SEDANG-TINGGI</v>
      </c>
      <c r="U165" s="130" t="s">
        <v>1426</v>
      </c>
      <c r="V165" s="124" t="s">
        <v>1427</v>
      </c>
      <c r="W165" s="124" t="s">
        <v>1428</v>
      </c>
      <c r="X165" s="124" t="s">
        <v>1429</v>
      </c>
      <c r="Y165" s="124" t="s">
        <v>297</v>
      </c>
      <c r="Z165" s="124"/>
      <c r="AA165" s="126" t="s">
        <v>1432</v>
      </c>
      <c r="AB165" s="145" t="s">
        <v>1430</v>
      </c>
      <c r="AC165" s="156">
        <v>46387</v>
      </c>
      <c r="AD165" s="163">
        <v>46102</v>
      </c>
      <c r="AE165" s="115" t="s">
        <v>1431</v>
      </c>
      <c r="AF165" s="163"/>
      <c r="AG165" s="115"/>
      <c r="AH165" s="163"/>
      <c r="AI165" s="115"/>
      <c r="AJ165" s="163"/>
      <c r="AK165" s="115"/>
      <c r="AL165" s="169">
        <f t="shared" si="25"/>
        <v>4</v>
      </c>
      <c r="AM165" s="112">
        <f t="shared" si="25"/>
        <v>4</v>
      </c>
      <c r="AN165" s="171">
        <f t="shared" si="24"/>
        <v>16</v>
      </c>
      <c r="AO165" s="150" t="str">
        <f>_xlfn.IFNA(VLOOKUP(AN165,Parameter!$D$53:$E$77,2),"")</f>
        <v>SEDANG-TINGGI</v>
      </c>
      <c r="AP165" s="167" t="s">
        <v>379</v>
      </c>
      <c r="AQ165" s="116"/>
    </row>
    <row r="166" spans="1:43" ht="324" hidden="1" x14ac:dyDescent="0.3">
      <c r="A166" s="114" t="s">
        <v>48</v>
      </c>
      <c r="B166" s="112">
        <f t="shared" si="12"/>
        <v>152</v>
      </c>
      <c r="C166" s="124" t="s">
        <v>1275</v>
      </c>
      <c r="D166" s="169" t="s">
        <v>286</v>
      </c>
      <c r="E166" s="176" t="s">
        <v>256</v>
      </c>
      <c r="F166" s="118" t="s">
        <v>367</v>
      </c>
      <c r="G166" s="117" t="s">
        <v>49</v>
      </c>
      <c r="H166" s="173" t="s">
        <v>190</v>
      </c>
      <c r="I166" s="127" t="s">
        <v>1276</v>
      </c>
      <c r="J166" s="113" t="s">
        <v>1277</v>
      </c>
      <c r="K166" s="113" t="s">
        <v>1278</v>
      </c>
      <c r="L166" s="113" t="s">
        <v>1284</v>
      </c>
      <c r="M166" s="113" t="s">
        <v>1285</v>
      </c>
      <c r="N166" s="117" t="s">
        <v>384</v>
      </c>
      <c r="O166" s="120" t="s">
        <v>1254</v>
      </c>
      <c r="P166" s="119" t="s">
        <v>1286</v>
      </c>
      <c r="Q166" s="112">
        <v>4</v>
      </c>
      <c r="R166" s="112">
        <v>3</v>
      </c>
      <c r="S166" s="147">
        <f t="shared" si="23"/>
        <v>12</v>
      </c>
      <c r="T166" s="150" t="str">
        <f>_xlfn.IFNA(VLOOKUP(S166,Parameter!$D$53:$E$77,2),"")</f>
        <v>SEDANG</v>
      </c>
      <c r="U166" s="130" t="s">
        <v>1287</v>
      </c>
      <c r="V166" s="124" t="s">
        <v>1288</v>
      </c>
      <c r="W166" s="124" t="s">
        <v>1289</v>
      </c>
      <c r="X166" s="124" t="s">
        <v>1291</v>
      </c>
      <c r="Y166" s="124" t="s">
        <v>279</v>
      </c>
      <c r="Z166" s="124"/>
      <c r="AA166" s="126" t="s">
        <v>1293</v>
      </c>
      <c r="AB166" s="145" t="s">
        <v>1292</v>
      </c>
      <c r="AC166" s="156">
        <v>46387</v>
      </c>
      <c r="AD166" s="163">
        <v>46102</v>
      </c>
      <c r="AE166" s="115" t="s">
        <v>1283</v>
      </c>
      <c r="AF166" s="163"/>
      <c r="AG166" s="115"/>
      <c r="AH166" s="163"/>
      <c r="AI166" s="115"/>
      <c r="AJ166" s="163"/>
      <c r="AK166" s="115"/>
      <c r="AL166" s="169">
        <f t="shared" si="25"/>
        <v>4</v>
      </c>
      <c r="AM166" s="112">
        <f t="shared" si="25"/>
        <v>3</v>
      </c>
      <c r="AN166" s="171">
        <f t="shared" si="24"/>
        <v>12</v>
      </c>
      <c r="AO166" s="150" t="str">
        <f>_xlfn.IFNA(VLOOKUP(AN166,Parameter!$D$53:$E$77,2),"")</f>
        <v>SEDANG</v>
      </c>
      <c r="AP166" s="167" t="s">
        <v>379</v>
      </c>
      <c r="AQ166" s="116"/>
    </row>
    <row r="167" spans="1:43" ht="162" x14ac:dyDescent="0.3">
      <c r="A167" s="114" t="s">
        <v>48</v>
      </c>
      <c r="B167" s="112">
        <f t="shared" si="12"/>
        <v>153</v>
      </c>
      <c r="C167" s="124" t="s">
        <v>1210</v>
      </c>
      <c r="D167" s="169" t="s">
        <v>286</v>
      </c>
      <c r="E167" s="176" t="s">
        <v>256</v>
      </c>
      <c r="F167" s="118" t="s">
        <v>368</v>
      </c>
      <c r="G167" s="117" t="s">
        <v>49</v>
      </c>
      <c r="H167" s="173" t="s">
        <v>50</v>
      </c>
      <c r="I167" s="127"/>
      <c r="J167" s="113"/>
      <c r="K167" s="113"/>
      <c r="L167" s="113"/>
      <c r="M167" s="113"/>
      <c r="N167" s="117"/>
      <c r="O167" s="120"/>
      <c r="P167" s="119"/>
      <c r="Q167" s="112">
        <v>1</v>
      </c>
      <c r="R167" s="112">
        <v>1</v>
      </c>
      <c r="S167" s="147">
        <f t="shared" si="23"/>
        <v>1</v>
      </c>
      <c r="T167" s="150" t="str">
        <f>_xlfn.IFNA(VLOOKUP(S167,Parameter!$D$53:$E$77,2),"")</f>
        <v>RENDAH</v>
      </c>
      <c r="U167" s="130"/>
      <c r="V167" s="124"/>
      <c r="W167" s="124"/>
      <c r="X167" s="124"/>
      <c r="Y167" s="124"/>
      <c r="Z167" s="124"/>
      <c r="AA167" s="126"/>
      <c r="AB167" s="145"/>
      <c r="AC167" s="156">
        <v>46387</v>
      </c>
      <c r="AD167" s="163">
        <v>46102</v>
      </c>
      <c r="AE167" s="115"/>
      <c r="AF167" s="163"/>
      <c r="AG167" s="115"/>
      <c r="AH167" s="163"/>
      <c r="AI167" s="115"/>
      <c r="AJ167" s="163"/>
      <c r="AK167" s="115"/>
      <c r="AL167" s="169">
        <f t="shared" si="25"/>
        <v>1</v>
      </c>
      <c r="AM167" s="112">
        <f t="shared" si="25"/>
        <v>1</v>
      </c>
      <c r="AN167" s="171">
        <f t="shared" si="24"/>
        <v>1</v>
      </c>
      <c r="AO167" s="150" t="str">
        <f>_xlfn.IFNA(VLOOKUP(AN167,Parameter!$D$53:$E$77,2),"")</f>
        <v>RENDAH</v>
      </c>
      <c r="AP167" s="167" t="s">
        <v>379</v>
      </c>
      <c r="AQ167" s="116"/>
    </row>
    <row r="168" spans="1:43" ht="126" x14ac:dyDescent="0.3">
      <c r="A168" s="114" t="s">
        <v>48</v>
      </c>
      <c r="B168" s="112">
        <f t="shared" si="12"/>
        <v>154</v>
      </c>
      <c r="C168" s="124" t="s">
        <v>1211</v>
      </c>
      <c r="D168" s="169" t="s">
        <v>286</v>
      </c>
      <c r="E168" s="176" t="s">
        <v>256</v>
      </c>
      <c r="F168" s="118" t="s">
        <v>368</v>
      </c>
      <c r="G168" s="117" t="s">
        <v>49</v>
      </c>
      <c r="H168" s="173" t="s">
        <v>50</v>
      </c>
      <c r="I168" s="127"/>
      <c r="J168" s="113"/>
      <c r="K168" s="113"/>
      <c r="L168" s="113"/>
      <c r="M168" s="113"/>
      <c r="N168" s="117"/>
      <c r="O168" s="120"/>
      <c r="P168" s="119"/>
      <c r="Q168" s="112">
        <v>1</v>
      </c>
      <c r="R168" s="112">
        <v>1</v>
      </c>
      <c r="S168" s="147">
        <f t="shared" si="23"/>
        <v>1</v>
      </c>
      <c r="T168" s="150" t="str">
        <f>_xlfn.IFNA(VLOOKUP(S168,Parameter!$D$53:$E$77,2),"")</f>
        <v>RENDAH</v>
      </c>
      <c r="U168" s="130"/>
      <c r="V168" s="124"/>
      <c r="W168" s="124"/>
      <c r="X168" s="124"/>
      <c r="Y168" s="124"/>
      <c r="Z168" s="124"/>
      <c r="AA168" s="126"/>
      <c r="AB168" s="145"/>
      <c r="AC168" s="156">
        <v>46387</v>
      </c>
      <c r="AD168" s="163">
        <v>46102</v>
      </c>
      <c r="AE168" s="115"/>
      <c r="AF168" s="163"/>
      <c r="AG168" s="115"/>
      <c r="AH168" s="163"/>
      <c r="AI168" s="115"/>
      <c r="AJ168" s="163"/>
      <c r="AK168" s="115"/>
      <c r="AL168" s="169">
        <f t="shared" si="25"/>
        <v>1</v>
      </c>
      <c r="AM168" s="112">
        <f t="shared" si="25"/>
        <v>1</v>
      </c>
      <c r="AN168" s="171">
        <f t="shared" si="24"/>
        <v>1</v>
      </c>
      <c r="AO168" s="150" t="str">
        <f>_xlfn.IFNA(VLOOKUP(AN168,Parameter!$D$53:$E$77,2),"")</f>
        <v>RENDAH</v>
      </c>
      <c r="AP168" s="167" t="s">
        <v>379</v>
      </c>
      <c r="AQ168" s="116"/>
    </row>
    <row r="169" spans="1:43" ht="324" hidden="1" x14ac:dyDescent="0.3">
      <c r="A169" s="114" t="s">
        <v>48</v>
      </c>
      <c r="B169" s="112">
        <f t="shared" si="12"/>
        <v>155</v>
      </c>
      <c r="C169" s="124" t="s">
        <v>595</v>
      </c>
      <c r="D169" s="169" t="s">
        <v>315</v>
      </c>
      <c r="E169" s="176" t="s">
        <v>57</v>
      </c>
      <c r="F169" s="118" t="s">
        <v>368</v>
      </c>
      <c r="G169" s="117" t="s">
        <v>377</v>
      </c>
      <c r="H169" s="173" t="s">
        <v>50</v>
      </c>
      <c r="I169" s="127" t="s">
        <v>596</v>
      </c>
      <c r="J169" s="113" t="s">
        <v>597</v>
      </c>
      <c r="K169" s="113" t="s">
        <v>598</v>
      </c>
      <c r="L169" s="113" t="s">
        <v>599</v>
      </c>
      <c r="M169" s="113" t="s">
        <v>600</v>
      </c>
      <c r="N169" s="117" t="s">
        <v>385</v>
      </c>
      <c r="O169" s="120" t="s">
        <v>485</v>
      </c>
      <c r="P169" s="119" t="s">
        <v>601</v>
      </c>
      <c r="Q169" s="112">
        <v>5</v>
      </c>
      <c r="R169" s="112">
        <v>4</v>
      </c>
      <c r="S169" s="147">
        <f t="shared" si="23"/>
        <v>20</v>
      </c>
      <c r="T169" s="150" t="str">
        <f>_xlfn.IFNA(VLOOKUP(S169,Parameter!$D$53:$E$77,2),"")</f>
        <v>TINGGI</v>
      </c>
      <c r="U169" s="130" t="s">
        <v>602</v>
      </c>
      <c r="V169" s="124" t="s">
        <v>603</v>
      </c>
      <c r="W169" s="124" t="s">
        <v>604</v>
      </c>
      <c r="X169" s="124" t="s">
        <v>605</v>
      </c>
      <c r="Y169" s="124" t="s">
        <v>310</v>
      </c>
      <c r="Z169" s="124"/>
      <c r="AA169" s="126" t="s">
        <v>606</v>
      </c>
      <c r="AB169" s="145" t="s">
        <v>492</v>
      </c>
      <c r="AC169" s="156">
        <v>46387</v>
      </c>
      <c r="AD169" s="163">
        <v>46102</v>
      </c>
      <c r="AE169" s="115" t="s">
        <v>607</v>
      </c>
      <c r="AF169" s="163"/>
      <c r="AG169" s="115"/>
      <c r="AH169" s="163"/>
      <c r="AI169" s="115"/>
      <c r="AJ169" s="163"/>
      <c r="AK169" s="115"/>
      <c r="AL169" s="169">
        <f t="shared" ref="AL169:AL176" si="26">Q169</f>
        <v>5</v>
      </c>
      <c r="AM169" s="112">
        <v>3</v>
      </c>
      <c r="AN169" s="171">
        <f t="shared" si="24"/>
        <v>15</v>
      </c>
      <c r="AO169" s="150" t="str">
        <f>_xlfn.IFNA(VLOOKUP(AN169,Parameter!$D$53:$E$77,2),"")</f>
        <v>SEDANG-TINGGI</v>
      </c>
      <c r="AP169" s="167" t="s">
        <v>379</v>
      </c>
      <c r="AQ169" s="116"/>
    </row>
    <row r="170" spans="1:43" ht="396" hidden="1" x14ac:dyDescent="0.3">
      <c r="A170" s="114" t="s">
        <v>48</v>
      </c>
      <c r="B170" s="112">
        <f t="shared" si="12"/>
        <v>156</v>
      </c>
      <c r="C170" s="124" t="s">
        <v>663</v>
      </c>
      <c r="D170" s="169" t="s">
        <v>356</v>
      </c>
      <c r="E170" s="176" t="s">
        <v>256</v>
      </c>
      <c r="F170" s="118" t="s">
        <v>368</v>
      </c>
      <c r="G170" s="117" t="s">
        <v>49</v>
      </c>
      <c r="H170" s="173" t="s">
        <v>50</v>
      </c>
      <c r="I170" s="127" t="s">
        <v>662</v>
      </c>
      <c r="J170" s="113" t="s">
        <v>664</v>
      </c>
      <c r="K170" s="113" t="s">
        <v>665</v>
      </c>
      <c r="L170" s="113" t="s">
        <v>666</v>
      </c>
      <c r="M170" s="113" t="s">
        <v>667</v>
      </c>
      <c r="N170" s="117" t="s">
        <v>385</v>
      </c>
      <c r="O170" s="120" t="s">
        <v>485</v>
      </c>
      <c r="P170" s="119" t="s">
        <v>668</v>
      </c>
      <c r="Q170" s="112">
        <v>4</v>
      </c>
      <c r="R170" s="112">
        <v>3</v>
      </c>
      <c r="S170" s="147">
        <f t="shared" si="23"/>
        <v>12</v>
      </c>
      <c r="T170" s="150" t="str">
        <f>_xlfn.IFNA(VLOOKUP(S170,Parameter!$D$53:$E$77,2),"")</f>
        <v>SEDANG</v>
      </c>
      <c r="U170" s="130" t="s">
        <v>669</v>
      </c>
      <c r="V170" s="124" t="s">
        <v>670</v>
      </c>
      <c r="W170" s="124" t="s">
        <v>671</v>
      </c>
      <c r="X170" s="124" t="s">
        <v>672</v>
      </c>
      <c r="Y170" s="124" t="s">
        <v>297</v>
      </c>
      <c r="Z170" s="124"/>
      <c r="AA170" s="126" t="s">
        <v>674</v>
      </c>
      <c r="AB170" s="145" t="s">
        <v>492</v>
      </c>
      <c r="AC170" s="156">
        <v>46387</v>
      </c>
      <c r="AD170" s="163">
        <v>46102</v>
      </c>
      <c r="AE170" s="115" t="s">
        <v>673</v>
      </c>
      <c r="AF170" s="163"/>
      <c r="AG170" s="115"/>
      <c r="AH170" s="163"/>
      <c r="AI170" s="115"/>
      <c r="AJ170" s="163"/>
      <c r="AK170" s="115"/>
      <c r="AL170" s="169">
        <f t="shared" si="26"/>
        <v>4</v>
      </c>
      <c r="AM170" s="112">
        <f t="shared" ref="AM170:AM176" si="27">R170</f>
        <v>3</v>
      </c>
      <c r="AN170" s="171">
        <f t="shared" si="24"/>
        <v>12</v>
      </c>
      <c r="AO170" s="150" t="str">
        <f>_xlfn.IFNA(VLOOKUP(AN170,Parameter!$D$53:$E$77,2),"")</f>
        <v>SEDANG</v>
      </c>
      <c r="AP170" s="167" t="s">
        <v>379</v>
      </c>
      <c r="AQ170" s="116"/>
    </row>
    <row r="171" spans="1:43" ht="144" x14ac:dyDescent="0.3">
      <c r="A171" s="114" t="s">
        <v>48</v>
      </c>
      <c r="B171" s="112">
        <f t="shared" si="12"/>
        <v>157</v>
      </c>
      <c r="C171" s="124" t="s">
        <v>1212</v>
      </c>
      <c r="D171" s="169" t="s">
        <v>266</v>
      </c>
      <c r="E171" s="176" t="s">
        <v>256</v>
      </c>
      <c r="F171" s="118" t="s">
        <v>368</v>
      </c>
      <c r="G171" s="117" t="s">
        <v>49</v>
      </c>
      <c r="H171" s="173" t="s">
        <v>50</v>
      </c>
      <c r="I171" s="127"/>
      <c r="J171" s="113"/>
      <c r="K171" s="113"/>
      <c r="L171" s="113"/>
      <c r="M171" s="113"/>
      <c r="N171" s="117"/>
      <c r="O171" s="120"/>
      <c r="P171" s="119"/>
      <c r="Q171" s="112">
        <v>1</v>
      </c>
      <c r="R171" s="112">
        <v>1</v>
      </c>
      <c r="S171" s="147">
        <f t="shared" si="23"/>
        <v>1</v>
      </c>
      <c r="T171" s="150" t="str">
        <f>_xlfn.IFNA(VLOOKUP(S171,Parameter!$D$53:$E$77,2),"")</f>
        <v>RENDAH</v>
      </c>
      <c r="U171" s="130"/>
      <c r="V171" s="124"/>
      <c r="W171" s="124"/>
      <c r="X171" s="124"/>
      <c r="Y171" s="124"/>
      <c r="Z171" s="124"/>
      <c r="AA171" s="126"/>
      <c r="AB171" s="145"/>
      <c r="AC171" s="156">
        <v>46387</v>
      </c>
      <c r="AD171" s="163">
        <v>46102</v>
      </c>
      <c r="AE171" s="115"/>
      <c r="AF171" s="163"/>
      <c r="AG171" s="115"/>
      <c r="AH171" s="163"/>
      <c r="AI171" s="115"/>
      <c r="AJ171" s="163"/>
      <c r="AK171" s="115"/>
      <c r="AL171" s="169">
        <f t="shared" si="26"/>
        <v>1</v>
      </c>
      <c r="AM171" s="112">
        <f t="shared" si="27"/>
        <v>1</v>
      </c>
      <c r="AN171" s="171">
        <f t="shared" si="24"/>
        <v>1</v>
      </c>
      <c r="AO171" s="150" t="str">
        <f>_xlfn.IFNA(VLOOKUP(AN171,Parameter!$D$53:$E$77,2),"")</f>
        <v>RENDAH</v>
      </c>
      <c r="AP171" s="167" t="s">
        <v>379</v>
      </c>
      <c r="AQ171" s="116"/>
    </row>
    <row r="172" spans="1:43" ht="306" hidden="1" x14ac:dyDescent="0.3">
      <c r="A172" s="114" t="s">
        <v>48</v>
      </c>
      <c r="B172" s="112">
        <f t="shared" si="12"/>
        <v>158</v>
      </c>
      <c r="C172" s="124" t="s">
        <v>837</v>
      </c>
      <c r="D172" s="169" t="s">
        <v>342</v>
      </c>
      <c r="E172" s="176" t="s">
        <v>256</v>
      </c>
      <c r="F172" s="118" t="s">
        <v>368</v>
      </c>
      <c r="G172" s="117" t="s">
        <v>49</v>
      </c>
      <c r="H172" s="173" t="s">
        <v>50</v>
      </c>
      <c r="I172" s="127" t="s">
        <v>838</v>
      </c>
      <c r="J172" s="113" t="s">
        <v>839</v>
      </c>
      <c r="K172" s="113" t="s">
        <v>840</v>
      </c>
      <c r="L172" s="113" t="s">
        <v>841</v>
      </c>
      <c r="M172" s="113" t="s">
        <v>842</v>
      </c>
      <c r="N172" s="117" t="s">
        <v>382</v>
      </c>
      <c r="O172" s="120" t="s">
        <v>843</v>
      </c>
      <c r="P172" s="119" t="s">
        <v>844</v>
      </c>
      <c r="Q172" s="112">
        <v>4</v>
      </c>
      <c r="R172" s="112">
        <v>4</v>
      </c>
      <c r="S172" s="147">
        <f t="shared" si="23"/>
        <v>16</v>
      </c>
      <c r="T172" s="150" t="str">
        <f>_xlfn.IFNA(VLOOKUP(S172,Parameter!$D$53:$E$77,2),"")</f>
        <v>SEDANG-TINGGI</v>
      </c>
      <c r="U172" s="130" t="s">
        <v>845</v>
      </c>
      <c r="V172" s="124" t="s">
        <v>846</v>
      </c>
      <c r="W172" s="124" t="s">
        <v>847</v>
      </c>
      <c r="X172" s="124" t="s">
        <v>848</v>
      </c>
      <c r="Y172" s="124" t="s">
        <v>262</v>
      </c>
      <c r="Z172" s="124"/>
      <c r="AA172" s="126" t="s">
        <v>850</v>
      </c>
      <c r="AB172" s="111" t="s">
        <v>835</v>
      </c>
      <c r="AC172" s="156">
        <v>46387</v>
      </c>
      <c r="AD172" s="163">
        <v>46102</v>
      </c>
      <c r="AE172" s="115" t="s">
        <v>849</v>
      </c>
      <c r="AF172" s="163"/>
      <c r="AG172" s="115"/>
      <c r="AH172" s="163"/>
      <c r="AI172" s="115"/>
      <c r="AJ172" s="163"/>
      <c r="AK172" s="115"/>
      <c r="AL172" s="169">
        <f t="shared" si="26"/>
        <v>4</v>
      </c>
      <c r="AM172" s="112">
        <f t="shared" si="27"/>
        <v>4</v>
      </c>
      <c r="AN172" s="171">
        <f t="shared" si="24"/>
        <v>16</v>
      </c>
      <c r="AO172" s="150" t="str">
        <f>_xlfn.IFNA(VLOOKUP(AN172,Parameter!$D$53:$E$77,2),"")</f>
        <v>SEDANG-TINGGI</v>
      </c>
      <c r="AP172" s="167" t="s">
        <v>379</v>
      </c>
      <c r="AQ172" s="116"/>
    </row>
    <row r="173" spans="1:43" ht="126" x14ac:dyDescent="0.3">
      <c r="A173" s="114" t="s">
        <v>48</v>
      </c>
      <c r="B173" s="112">
        <f t="shared" si="12"/>
        <v>159</v>
      </c>
      <c r="C173" s="124" t="s">
        <v>1213</v>
      </c>
      <c r="D173" s="169" t="s">
        <v>296</v>
      </c>
      <c r="E173" s="176" t="s">
        <v>256</v>
      </c>
      <c r="F173" s="118" t="s">
        <v>368</v>
      </c>
      <c r="G173" s="117" t="s">
        <v>49</v>
      </c>
      <c r="H173" s="173" t="s">
        <v>50</v>
      </c>
      <c r="I173" s="127"/>
      <c r="J173" s="113"/>
      <c r="K173" s="113"/>
      <c r="L173" s="113"/>
      <c r="M173" s="113"/>
      <c r="N173" s="117"/>
      <c r="O173" s="120"/>
      <c r="P173" s="119"/>
      <c r="Q173" s="112">
        <v>1</v>
      </c>
      <c r="R173" s="112">
        <v>1</v>
      </c>
      <c r="S173" s="147">
        <f t="shared" si="23"/>
        <v>1</v>
      </c>
      <c r="T173" s="150" t="str">
        <f>_xlfn.IFNA(VLOOKUP(S173,Parameter!$D$53:$E$77,2),"")</f>
        <v>RENDAH</v>
      </c>
      <c r="U173" s="130"/>
      <c r="V173" s="124"/>
      <c r="W173" s="124"/>
      <c r="X173" s="124"/>
      <c r="Y173" s="124"/>
      <c r="Z173" s="124"/>
      <c r="AA173" s="126"/>
      <c r="AB173" s="145"/>
      <c r="AC173" s="156">
        <v>46387</v>
      </c>
      <c r="AD173" s="163">
        <v>46102</v>
      </c>
      <c r="AE173" s="115"/>
      <c r="AF173" s="163"/>
      <c r="AG173" s="115"/>
      <c r="AH173" s="163"/>
      <c r="AI173" s="115"/>
      <c r="AJ173" s="163"/>
      <c r="AK173" s="115"/>
      <c r="AL173" s="169">
        <f t="shared" si="26"/>
        <v>1</v>
      </c>
      <c r="AM173" s="112">
        <f t="shared" si="27"/>
        <v>1</v>
      </c>
      <c r="AN173" s="171">
        <f t="shared" si="24"/>
        <v>1</v>
      </c>
      <c r="AO173" s="150" t="str">
        <f>_xlfn.IFNA(VLOOKUP(AN173,Parameter!$D$53:$E$77,2),"")</f>
        <v>RENDAH</v>
      </c>
      <c r="AP173" s="167" t="s">
        <v>379</v>
      </c>
      <c r="AQ173" s="116"/>
    </row>
    <row r="174" spans="1:43" ht="288" x14ac:dyDescent="0.3">
      <c r="A174" s="114" t="s">
        <v>48</v>
      </c>
      <c r="B174" s="112">
        <f t="shared" si="12"/>
        <v>160</v>
      </c>
      <c r="C174" s="124" t="s">
        <v>1248</v>
      </c>
      <c r="D174" s="169" t="s">
        <v>296</v>
      </c>
      <c r="E174" s="176" t="s">
        <v>256</v>
      </c>
      <c r="F174" s="118" t="s">
        <v>368</v>
      </c>
      <c r="G174" s="117" t="s">
        <v>49</v>
      </c>
      <c r="H174" s="173" t="s">
        <v>50</v>
      </c>
      <c r="I174" s="127"/>
      <c r="J174" s="113"/>
      <c r="K174" s="113"/>
      <c r="L174" s="113"/>
      <c r="M174" s="113"/>
      <c r="N174" s="117"/>
      <c r="O174" s="120"/>
      <c r="P174" s="119"/>
      <c r="Q174" s="112">
        <v>1</v>
      </c>
      <c r="R174" s="112">
        <v>1</v>
      </c>
      <c r="S174" s="147">
        <f t="shared" si="23"/>
        <v>1</v>
      </c>
      <c r="T174" s="150" t="str">
        <f>_xlfn.IFNA(VLOOKUP(S174,Parameter!$D$53:$E$77,2),"")</f>
        <v>RENDAH</v>
      </c>
      <c r="U174" s="130"/>
      <c r="V174" s="124"/>
      <c r="W174" s="124"/>
      <c r="X174" s="124"/>
      <c r="Y174" s="124"/>
      <c r="Z174" s="124"/>
      <c r="AA174" s="126"/>
      <c r="AB174" s="145"/>
      <c r="AC174" s="156">
        <v>46387</v>
      </c>
      <c r="AD174" s="165"/>
      <c r="AE174" s="115"/>
      <c r="AF174" s="165"/>
      <c r="AG174" s="115"/>
      <c r="AH174" s="165"/>
      <c r="AI174" s="115"/>
      <c r="AJ174" s="165"/>
      <c r="AK174" s="115"/>
      <c r="AL174" s="169">
        <f t="shared" si="26"/>
        <v>1</v>
      </c>
      <c r="AM174" s="112">
        <f t="shared" si="27"/>
        <v>1</v>
      </c>
      <c r="AN174" s="171">
        <f t="shared" si="24"/>
        <v>1</v>
      </c>
      <c r="AO174" s="150" t="str">
        <f>_xlfn.IFNA(VLOOKUP(AN174,Parameter!$D$53:$E$77,2),"")</f>
        <v>RENDAH</v>
      </c>
      <c r="AP174" s="167" t="s">
        <v>379</v>
      </c>
      <c r="AQ174" s="116"/>
    </row>
    <row r="175" spans="1:43" ht="234" hidden="1" x14ac:dyDescent="0.3">
      <c r="A175" s="114" t="s">
        <v>48</v>
      </c>
      <c r="B175" s="112">
        <f t="shared" si="12"/>
        <v>161</v>
      </c>
      <c r="C175" s="124" t="s">
        <v>620</v>
      </c>
      <c r="D175" s="169" t="s">
        <v>311</v>
      </c>
      <c r="E175" s="176" t="s">
        <v>57</v>
      </c>
      <c r="F175" s="118" t="s">
        <v>368</v>
      </c>
      <c r="G175" s="117" t="s">
        <v>49</v>
      </c>
      <c r="H175" s="173" t="s">
        <v>50</v>
      </c>
      <c r="I175" s="127" t="s">
        <v>621</v>
      </c>
      <c r="J175" s="113" t="s">
        <v>622</v>
      </c>
      <c r="K175" s="113" t="s">
        <v>623</v>
      </c>
      <c r="L175" s="113" t="s">
        <v>624</v>
      </c>
      <c r="M175" s="113" t="s">
        <v>625</v>
      </c>
      <c r="N175" s="117" t="s">
        <v>384</v>
      </c>
      <c r="O175" s="120" t="s">
        <v>485</v>
      </c>
      <c r="P175" s="119" t="s">
        <v>626</v>
      </c>
      <c r="Q175" s="112">
        <v>4</v>
      </c>
      <c r="R175" s="112">
        <v>4</v>
      </c>
      <c r="S175" s="147">
        <f t="shared" si="23"/>
        <v>16</v>
      </c>
      <c r="T175" s="150" t="str">
        <f>_xlfn.IFNA(VLOOKUP(S175,Parameter!$D$53:$E$77,2),"")</f>
        <v>SEDANG-TINGGI</v>
      </c>
      <c r="U175" s="130" t="s">
        <v>627</v>
      </c>
      <c r="V175" s="124" t="s">
        <v>628</v>
      </c>
      <c r="W175" s="124" t="s">
        <v>629</v>
      </c>
      <c r="X175" s="124" t="s">
        <v>630</v>
      </c>
      <c r="Y175" s="124" t="s">
        <v>310</v>
      </c>
      <c r="Z175" s="124"/>
      <c r="AA175" s="126" t="s">
        <v>632</v>
      </c>
      <c r="AB175" s="145" t="s">
        <v>492</v>
      </c>
      <c r="AC175" s="156">
        <v>46387</v>
      </c>
      <c r="AD175" s="163">
        <v>46102</v>
      </c>
      <c r="AE175" s="115" t="s">
        <v>631</v>
      </c>
      <c r="AF175" s="163"/>
      <c r="AG175" s="115"/>
      <c r="AH175" s="163"/>
      <c r="AI175" s="115"/>
      <c r="AJ175" s="163"/>
      <c r="AK175" s="115"/>
      <c r="AL175" s="169">
        <f t="shared" si="26"/>
        <v>4</v>
      </c>
      <c r="AM175" s="112">
        <f t="shared" si="27"/>
        <v>4</v>
      </c>
      <c r="AN175" s="171">
        <f t="shared" si="24"/>
        <v>16</v>
      </c>
      <c r="AO175" s="150" t="str">
        <f>_xlfn.IFNA(VLOOKUP(AN175,Parameter!$D$53:$E$77,2),"")</f>
        <v>SEDANG-TINGGI</v>
      </c>
      <c r="AP175" s="167" t="s">
        <v>379</v>
      </c>
      <c r="AQ175" s="116"/>
    </row>
    <row r="176" spans="1:43" ht="306" hidden="1" x14ac:dyDescent="0.3">
      <c r="A176" s="114" t="s">
        <v>48</v>
      </c>
      <c r="B176" s="112">
        <f t="shared" si="12"/>
        <v>162</v>
      </c>
      <c r="C176" s="124" t="s">
        <v>608</v>
      </c>
      <c r="D176" s="169" t="s">
        <v>311</v>
      </c>
      <c r="E176" s="176" t="s">
        <v>57</v>
      </c>
      <c r="F176" s="118" t="s">
        <v>368</v>
      </c>
      <c r="G176" s="117" t="s">
        <v>49</v>
      </c>
      <c r="H176" s="173" t="s">
        <v>50</v>
      </c>
      <c r="I176" s="127" t="s">
        <v>609</v>
      </c>
      <c r="J176" s="113" t="s">
        <v>610</v>
      </c>
      <c r="K176" s="113" t="s">
        <v>611</v>
      </c>
      <c r="L176" s="113" t="s">
        <v>612</v>
      </c>
      <c r="M176" s="113" t="s">
        <v>613</v>
      </c>
      <c r="N176" s="117" t="s">
        <v>384</v>
      </c>
      <c r="O176" s="120" t="s">
        <v>485</v>
      </c>
      <c r="P176" s="119" t="s">
        <v>614</v>
      </c>
      <c r="Q176" s="112">
        <v>3</v>
      </c>
      <c r="R176" s="112">
        <v>5</v>
      </c>
      <c r="S176" s="147">
        <f t="shared" si="23"/>
        <v>15</v>
      </c>
      <c r="T176" s="150" t="str">
        <f>_xlfn.IFNA(VLOOKUP(S176,Parameter!$D$53:$E$77,2),"")</f>
        <v>SEDANG-TINGGI</v>
      </c>
      <c r="U176" s="130" t="s">
        <v>615</v>
      </c>
      <c r="V176" s="124" t="s">
        <v>551</v>
      </c>
      <c r="W176" s="124" t="s">
        <v>616</v>
      </c>
      <c r="X176" s="124" t="s">
        <v>617</v>
      </c>
      <c r="Y176" s="124" t="s">
        <v>310</v>
      </c>
      <c r="Z176" s="124"/>
      <c r="AA176" s="126" t="s">
        <v>619</v>
      </c>
      <c r="AB176" s="145" t="s">
        <v>492</v>
      </c>
      <c r="AC176" s="156">
        <v>46387</v>
      </c>
      <c r="AD176" s="163">
        <v>46102</v>
      </c>
      <c r="AE176" s="115" t="s">
        <v>618</v>
      </c>
      <c r="AF176" s="163"/>
      <c r="AG176" s="115"/>
      <c r="AH176" s="163"/>
      <c r="AI176" s="115"/>
      <c r="AJ176" s="163"/>
      <c r="AK176" s="115"/>
      <c r="AL176" s="169">
        <f t="shared" si="26"/>
        <v>3</v>
      </c>
      <c r="AM176" s="112">
        <f t="shared" si="27"/>
        <v>5</v>
      </c>
      <c r="AN176" s="171">
        <f t="shared" si="24"/>
        <v>15</v>
      </c>
      <c r="AO176" s="150" t="str">
        <f>_xlfn.IFNA(VLOOKUP(AN176,Parameter!$D$53:$E$77,2),"")</f>
        <v>SEDANG-TINGGI</v>
      </c>
      <c r="AP176" s="167" t="s">
        <v>379</v>
      </c>
      <c r="AQ176" s="116"/>
    </row>
    <row r="177" spans="1:43" ht="234" hidden="1" x14ac:dyDescent="0.3">
      <c r="A177" s="114" t="s">
        <v>48</v>
      </c>
      <c r="B177" s="112">
        <f t="shared" si="12"/>
        <v>163</v>
      </c>
      <c r="C177" s="124" t="s">
        <v>531</v>
      </c>
      <c r="D177" s="169" t="s">
        <v>298</v>
      </c>
      <c r="E177" s="176" t="s">
        <v>57</v>
      </c>
      <c r="F177" s="118" t="s">
        <v>368</v>
      </c>
      <c r="G177" s="117" t="s">
        <v>49</v>
      </c>
      <c r="H177" s="173" t="s">
        <v>50</v>
      </c>
      <c r="I177" s="127" t="s">
        <v>532</v>
      </c>
      <c r="J177" s="113" t="s">
        <v>533</v>
      </c>
      <c r="K177" s="113" t="s">
        <v>534</v>
      </c>
      <c r="L177" s="113" t="s">
        <v>535</v>
      </c>
      <c r="M177" s="113" t="s">
        <v>536</v>
      </c>
      <c r="N177" s="117" t="s">
        <v>384</v>
      </c>
      <c r="O177" s="120" t="s">
        <v>485</v>
      </c>
      <c r="P177" s="119" t="s">
        <v>537</v>
      </c>
      <c r="Q177" s="112">
        <v>4</v>
      </c>
      <c r="R177" s="112">
        <v>4</v>
      </c>
      <c r="S177" s="147">
        <f t="shared" si="23"/>
        <v>16</v>
      </c>
      <c r="T177" s="150" t="str">
        <f>_xlfn.IFNA(VLOOKUP(S177,Parameter!$D$53:$E$77,2),"")</f>
        <v>SEDANG-TINGGI</v>
      </c>
      <c r="U177" s="130" t="s">
        <v>538</v>
      </c>
      <c r="V177" s="124" t="s">
        <v>539</v>
      </c>
      <c r="W177" s="124" t="s">
        <v>540</v>
      </c>
      <c r="X177" s="124" t="s">
        <v>581</v>
      </c>
      <c r="Y177" s="124" t="s">
        <v>297</v>
      </c>
      <c r="Z177" s="124"/>
      <c r="AA177" s="126" t="s">
        <v>541</v>
      </c>
      <c r="AB177" s="145" t="s">
        <v>492</v>
      </c>
      <c r="AC177" s="156">
        <v>46387</v>
      </c>
      <c r="AD177" s="163">
        <v>46102</v>
      </c>
      <c r="AE177" s="115" t="s">
        <v>542</v>
      </c>
      <c r="AF177" s="163"/>
      <c r="AG177" s="115"/>
      <c r="AH177" s="163"/>
      <c r="AI177" s="115"/>
      <c r="AJ177" s="163"/>
      <c r="AK177" s="115"/>
      <c r="AL177" s="169">
        <v>4</v>
      </c>
      <c r="AM177" s="112">
        <v>3</v>
      </c>
      <c r="AN177" s="171">
        <f t="shared" si="24"/>
        <v>12</v>
      </c>
      <c r="AO177" s="150" t="str">
        <f>_xlfn.IFNA(VLOOKUP(AN177,Parameter!$D$53:$E$77,2),"")</f>
        <v>SEDANG</v>
      </c>
      <c r="AP177" s="167" t="s">
        <v>379</v>
      </c>
      <c r="AQ177" s="116"/>
    </row>
    <row r="178" spans="1:43" ht="270" hidden="1" x14ac:dyDescent="0.3">
      <c r="A178" s="114" t="s">
        <v>48</v>
      </c>
      <c r="B178" s="112">
        <f t="shared" si="12"/>
        <v>164</v>
      </c>
      <c r="C178" s="124" t="s">
        <v>822</v>
      </c>
      <c r="D178" s="169" t="s">
        <v>265</v>
      </c>
      <c r="E178" s="176" t="s">
        <v>260</v>
      </c>
      <c r="F178" s="118" t="s">
        <v>368</v>
      </c>
      <c r="G178" s="117" t="s">
        <v>49</v>
      </c>
      <c r="H178" s="173" t="s">
        <v>50</v>
      </c>
      <c r="I178" s="127" t="s">
        <v>823</v>
      </c>
      <c r="J178" s="113" t="s">
        <v>824</v>
      </c>
      <c r="K178" s="113" t="s">
        <v>825</v>
      </c>
      <c r="L178" s="113" t="s">
        <v>826</v>
      </c>
      <c r="M178" s="113" t="s">
        <v>827</v>
      </c>
      <c r="N178" s="117" t="s">
        <v>382</v>
      </c>
      <c r="O178" s="120" t="s">
        <v>828</v>
      </c>
      <c r="P178" s="119" t="s">
        <v>829</v>
      </c>
      <c r="Q178" s="112">
        <v>4</v>
      </c>
      <c r="R178" s="112">
        <v>5</v>
      </c>
      <c r="S178" s="147">
        <f t="shared" si="23"/>
        <v>20</v>
      </c>
      <c r="T178" s="150" t="str">
        <f>_xlfn.IFNA(VLOOKUP(S178,Parameter!$D$53:$E$77,2),"")</f>
        <v>TINGGI</v>
      </c>
      <c r="U178" s="130" t="s">
        <v>830</v>
      </c>
      <c r="V178" s="124" t="s">
        <v>832</v>
      </c>
      <c r="W178" s="124" t="s">
        <v>831</v>
      </c>
      <c r="X178" s="124" t="s">
        <v>833</v>
      </c>
      <c r="Y178" s="124" t="s">
        <v>262</v>
      </c>
      <c r="Z178" s="124"/>
      <c r="AA178" s="126" t="s">
        <v>836</v>
      </c>
      <c r="AB178" s="111" t="s">
        <v>835</v>
      </c>
      <c r="AC178" s="156">
        <v>46387</v>
      </c>
      <c r="AD178" s="163">
        <v>46102</v>
      </c>
      <c r="AE178" s="115" t="s">
        <v>834</v>
      </c>
      <c r="AF178" s="163"/>
      <c r="AG178" s="115"/>
      <c r="AH178" s="163"/>
      <c r="AI178" s="115"/>
      <c r="AJ178" s="163"/>
      <c r="AK178" s="115"/>
      <c r="AL178" s="169">
        <f t="shared" ref="AL178:AL203" si="28">Q178</f>
        <v>4</v>
      </c>
      <c r="AM178" s="112">
        <f t="shared" ref="AM178:AM203" si="29">R178</f>
        <v>5</v>
      </c>
      <c r="AN178" s="171">
        <f t="shared" si="24"/>
        <v>20</v>
      </c>
      <c r="AO178" s="150" t="str">
        <f>_xlfn.IFNA(VLOOKUP(AN178,Parameter!$D$53:$E$77,2),"")</f>
        <v>TINGGI</v>
      </c>
      <c r="AP178" s="167" t="s">
        <v>379</v>
      </c>
      <c r="AQ178" s="116"/>
    </row>
    <row r="179" spans="1:43" ht="144" x14ac:dyDescent="0.3">
      <c r="A179" s="114" t="s">
        <v>48</v>
      </c>
      <c r="B179" s="112">
        <f t="shared" si="12"/>
        <v>165</v>
      </c>
      <c r="C179" s="124" t="s">
        <v>1214</v>
      </c>
      <c r="D179" s="169" t="s">
        <v>332</v>
      </c>
      <c r="E179" s="176" t="s">
        <v>256</v>
      </c>
      <c r="F179" s="118" t="s">
        <v>368</v>
      </c>
      <c r="G179" s="117" t="s">
        <v>49</v>
      </c>
      <c r="H179" s="173" t="s">
        <v>50</v>
      </c>
      <c r="I179" s="127"/>
      <c r="J179" s="113"/>
      <c r="K179" s="113"/>
      <c r="L179" s="113"/>
      <c r="M179" s="113"/>
      <c r="N179" s="117"/>
      <c r="O179" s="120"/>
      <c r="P179" s="119"/>
      <c r="Q179" s="112">
        <v>1</v>
      </c>
      <c r="R179" s="112">
        <v>1</v>
      </c>
      <c r="S179" s="147">
        <f t="shared" si="23"/>
        <v>1</v>
      </c>
      <c r="T179" s="150" t="str">
        <f>_xlfn.IFNA(VLOOKUP(S179,Parameter!$D$53:$E$77,2),"")</f>
        <v>RENDAH</v>
      </c>
      <c r="U179" s="130"/>
      <c r="V179" s="124"/>
      <c r="W179" s="124"/>
      <c r="X179" s="124"/>
      <c r="Y179" s="124"/>
      <c r="Z179" s="124"/>
      <c r="AA179" s="126"/>
      <c r="AB179" s="145"/>
      <c r="AC179" s="156">
        <v>46387</v>
      </c>
      <c r="AD179" s="163">
        <v>46102</v>
      </c>
      <c r="AE179" s="115"/>
      <c r="AF179" s="163"/>
      <c r="AG179" s="115"/>
      <c r="AH179" s="163"/>
      <c r="AI179" s="115"/>
      <c r="AJ179" s="163"/>
      <c r="AK179" s="115"/>
      <c r="AL179" s="169">
        <f t="shared" si="28"/>
        <v>1</v>
      </c>
      <c r="AM179" s="112">
        <f t="shared" si="29"/>
        <v>1</v>
      </c>
      <c r="AN179" s="171">
        <f t="shared" si="24"/>
        <v>1</v>
      </c>
      <c r="AO179" s="150" t="str">
        <f>_xlfn.IFNA(VLOOKUP(AN179,Parameter!$D$53:$E$77,2),"")</f>
        <v>RENDAH</v>
      </c>
      <c r="AP179" s="167" t="s">
        <v>379</v>
      </c>
      <c r="AQ179" s="116"/>
    </row>
    <row r="180" spans="1:43" ht="126" x14ac:dyDescent="0.3">
      <c r="A180" s="114" t="s">
        <v>48</v>
      </c>
      <c r="B180" s="112">
        <f t="shared" si="12"/>
        <v>166</v>
      </c>
      <c r="C180" s="124" t="s">
        <v>1215</v>
      </c>
      <c r="D180" s="169" t="s">
        <v>284</v>
      </c>
      <c r="E180" s="176" t="s">
        <v>256</v>
      </c>
      <c r="F180" s="118" t="s">
        <v>367</v>
      </c>
      <c r="G180" s="117" t="s">
        <v>377</v>
      </c>
      <c r="H180" s="173" t="s">
        <v>50</v>
      </c>
      <c r="I180" s="127"/>
      <c r="J180" s="113"/>
      <c r="K180" s="113"/>
      <c r="L180" s="113"/>
      <c r="M180" s="113"/>
      <c r="N180" s="117" t="s">
        <v>385</v>
      </c>
      <c r="O180" s="120"/>
      <c r="P180" s="119"/>
      <c r="Q180" s="112">
        <v>1</v>
      </c>
      <c r="R180" s="112">
        <v>1</v>
      </c>
      <c r="S180" s="147">
        <f t="shared" si="23"/>
        <v>1</v>
      </c>
      <c r="T180" s="150" t="str">
        <f>_xlfn.IFNA(VLOOKUP(S180,Parameter!$D$53:$E$77,2),"")</f>
        <v>RENDAH</v>
      </c>
      <c r="U180" s="130"/>
      <c r="V180" s="124" t="s">
        <v>386</v>
      </c>
      <c r="W180" s="124" t="s">
        <v>386</v>
      </c>
      <c r="X180" s="124" t="s">
        <v>386</v>
      </c>
      <c r="Y180" s="124" t="s">
        <v>279</v>
      </c>
      <c r="Z180" s="124" t="s">
        <v>333</v>
      </c>
      <c r="AA180" s="126" t="s">
        <v>386</v>
      </c>
      <c r="AB180" s="111" t="s">
        <v>386</v>
      </c>
      <c r="AC180" s="156">
        <v>46387</v>
      </c>
      <c r="AD180" s="163">
        <v>46102</v>
      </c>
      <c r="AE180" s="115" t="s">
        <v>386</v>
      </c>
      <c r="AF180" s="163"/>
      <c r="AG180" s="115"/>
      <c r="AH180" s="163"/>
      <c r="AI180" s="115"/>
      <c r="AJ180" s="163"/>
      <c r="AK180" s="115"/>
      <c r="AL180" s="169">
        <f t="shared" si="28"/>
        <v>1</v>
      </c>
      <c r="AM180" s="112">
        <f t="shared" si="29"/>
        <v>1</v>
      </c>
      <c r="AN180" s="171">
        <f t="shared" si="24"/>
        <v>1</v>
      </c>
      <c r="AO180" s="150" t="str">
        <f>_xlfn.IFNA(VLOOKUP(AN180,Parameter!$D$53:$E$77,2),"")</f>
        <v>RENDAH</v>
      </c>
      <c r="AP180" s="167" t="s">
        <v>379</v>
      </c>
      <c r="AQ180" s="116"/>
    </row>
    <row r="181" spans="1:43" ht="144" x14ac:dyDescent="0.3">
      <c r="A181" s="114" t="s">
        <v>48</v>
      </c>
      <c r="B181" s="112">
        <f t="shared" si="12"/>
        <v>167</v>
      </c>
      <c r="C181" s="124" t="s">
        <v>1216</v>
      </c>
      <c r="D181" s="169" t="s">
        <v>285</v>
      </c>
      <c r="E181" s="176" t="s">
        <v>256</v>
      </c>
      <c r="F181" s="118" t="s">
        <v>368</v>
      </c>
      <c r="G181" s="117" t="s">
        <v>49</v>
      </c>
      <c r="H181" s="173" t="s">
        <v>50</v>
      </c>
      <c r="I181" s="127"/>
      <c r="J181" s="113"/>
      <c r="K181" s="113"/>
      <c r="L181" s="113"/>
      <c r="M181" s="113"/>
      <c r="N181" s="117"/>
      <c r="O181" s="120"/>
      <c r="P181" s="119"/>
      <c r="Q181" s="112">
        <v>1</v>
      </c>
      <c r="R181" s="112">
        <v>1</v>
      </c>
      <c r="S181" s="147">
        <f t="shared" si="23"/>
        <v>1</v>
      </c>
      <c r="T181" s="150" t="str">
        <f>_xlfn.IFNA(VLOOKUP(S181,Parameter!$D$53:$E$77,2),"")</f>
        <v>RENDAH</v>
      </c>
      <c r="U181" s="130"/>
      <c r="V181" s="124"/>
      <c r="W181" s="124"/>
      <c r="X181" s="124"/>
      <c r="Y181" s="124"/>
      <c r="Z181" s="124"/>
      <c r="AA181" s="126"/>
      <c r="AB181" s="145"/>
      <c r="AC181" s="156">
        <v>46387</v>
      </c>
      <c r="AD181" s="163">
        <v>46102</v>
      </c>
      <c r="AE181" s="115"/>
      <c r="AF181" s="163"/>
      <c r="AG181" s="115"/>
      <c r="AH181" s="163"/>
      <c r="AI181" s="115"/>
      <c r="AJ181" s="163"/>
      <c r="AK181" s="115"/>
      <c r="AL181" s="169">
        <f t="shared" si="28"/>
        <v>1</v>
      </c>
      <c r="AM181" s="112">
        <f t="shared" si="29"/>
        <v>1</v>
      </c>
      <c r="AN181" s="171">
        <f t="shared" si="24"/>
        <v>1</v>
      </c>
      <c r="AO181" s="150" t="str">
        <f>_xlfn.IFNA(VLOOKUP(AN181,Parameter!$D$53:$E$77,2),"")</f>
        <v>RENDAH</v>
      </c>
      <c r="AP181" s="167" t="s">
        <v>379</v>
      </c>
      <c r="AQ181" s="116"/>
    </row>
    <row r="182" spans="1:43" ht="180" x14ac:dyDescent="0.3">
      <c r="A182" s="114" t="s">
        <v>48</v>
      </c>
      <c r="B182" s="112">
        <f t="shared" si="12"/>
        <v>168</v>
      </c>
      <c r="C182" s="124" t="s">
        <v>1217</v>
      </c>
      <c r="D182" s="169" t="s">
        <v>995</v>
      </c>
      <c r="E182" s="176" t="s">
        <v>256</v>
      </c>
      <c r="F182" s="118" t="s">
        <v>367</v>
      </c>
      <c r="G182" s="117" t="s">
        <v>377</v>
      </c>
      <c r="H182" s="173" t="s">
        <v>50</v>
      </c>
      <c r="I182" s="127"/>
      <c r="J182" s="113"/>
      <c r="K182" s="113"/>
      <c r="L182" s="113"/>
      <c r="M182" s="113"/>
      <c r="N182" s="117" t="s">
        <v>385</v>
      </c>
      <c r="O182" s="120"/>
      <c r="P182" s="119"/>
      <c r="Q182" s="112">
        <v>1</v>
      </c>
      <c r="R182" s="112">
        <v>1</v>
      </c>
      <c r="S182" s="147">
        <f t="shared" si="23"/>
        <v>1</v>
      </c>
      <c r="T182" s="150" t="str">
        <f>_xlfn.IFNA(VLOOKUP(S182,Parameter!$D$53:$E$77,2),"")</f>
        <v>RENDAH</v>
      </c>
      <c r="U182" s="130"/>
      <c r="V182" s="124" t="s">
        <v>386</v>
      </c>
      <c r="W182" s="124" t="s">
        <v>386</v>
      </c>
      <c r="X182" s="124" t="s">
        <v>386</v>
      </c>
      <c r="Y182" s="124" t="s">
        <v>337</v>
      </c>
      <c r="Z182" s="124"/>
      <c r="AA182" s="126" t="s">
        <v>386</v>
      </c>
      <c r="AB182" s="111" t="s">
        <v>386</v>
      </c>
      <c r="AC182" s="156">
        <v>46387</v>
      </c>
      <c r="AD182" s="163">
        <v>46102</v>
      </c>
      <c r="AE182" s="115" t="s">
        <v>386</v>
      </c>
      <c r="AF182" s="163"/>
      <c r="AG182" s="115"/>
      <c r="AH182" s="163"/>
      <c r="AI182" s="115"/>
      <c r="AJ182" s="163"/>
      <c r="AK182" s="115"/>
      <c r="AL182" s="169">
        <f t="shared" si="28"/>
        <v>1</v>
      </c>
      <c r="AM182" s="112">
        <f t="shared" si="29"/>
        <v>1</v>
      </c>
      <c r="AN182" s="171">
        <f t="shared" si="24"/>
        <v>1</v>
      </c>
      <c r="AO182" s="150" t="str">
        <f>_xlfn.IFNA(VLOOKUP(AN182,Parameter!$D$53:$E$77,2),"")</f>
        <v>RENDAH</v>
      </c>
      <c r="AP182" s="167" t="s">
        <v>379</v>
      </c>
      <c r="AQ182" s="116"/>
    </row>
    <row r="183" spans="1:43" ht="144" x14ac:dyDescent="0.3">
      <c r="A183" s="114" t="s">
        <v>48</v>
      </c>
      <c r="B183" s="112">
        <f t="shared" si="12"/>
        <v>169</v>
      </c>
      <c r="C183" s="124" t="s">
        <v>1218</v>
      </c>
      <c r="D183" s="169" t="s">
        <v>995</v>
      </c>
      <c r="E183" s="176" t="s">
        <v>256</v>
      </c>
      <c r="F183" s="118" t="s">
        <v>367</v>
      </c>
      <c r="G183" s="117" t="s">
        <v>377</v>
      </c>
      <c r="H183" s="173" t="s">
        <v>50</v>
      </c>
      <c r="I183" s="127"/>
      <c r="J183" s="113"/>
      <c r="K183" s="113"/>
      <c r="L183" s="113"/>
      <c r="M183" s="113"/>
      <c r="N183" s="117" t="s">
        <v>385</v>
      </c>
      <c r="O183" s="120"/>
      <c r="P183" s="119"/>
      <c r="Q183" s="112">
        <v>1</v>
      </c>
      <c r="R183" s="112">
        <v>1</v>
      </c>
      <c r="S183" s="147">
        <f t="shared" si="23"/>
        <v>1</v>
      </c>
      <c r="T183" s="150" t="str">
        <f>_xlfn.IFNA(VLOOKUP(S183,Parameter!$D$53:$E$77,2),"")</f>
        <v>RENDAH</v>
      </c>
      <c r="U183" s="130"/>
      <c r="V183" s="124" t="s">
        <v>386</v>
      </c>
      <c r="W183" s="124" t="s">
        <v>386</v>
      </c>
      <c r="X183" s="124" t="s">
        <v>386</v>
      </c>
      <c r="Y183" s="124" t="s">
        <v>747</v>
      </c>
      <c r="Z183" s="124" t="s">
        <v>290</v>
      </c>
      <c r="AA183" s="126" t="s">
        <v>386</v>
      </c>
      <c r="AB183" s="111" t="s">
        <v>386</v>
      </c>
      <c r="AC183" s="156">
        <v>46387</v>
      </c>
      <c r="AD183" s="163">
        <v>46102</v>
      </c>
      <c r="AE183" s="115" t="s">
        <v>386</v>
      </c>
      <c r="AF183" s="163"/>
      <c r="AG183" s="115"/>
      <c r="AH183" s="163"/>
      <c r="AI183" s="115"/>
      <c r="AJ183" s="163"/>
      <c r="AK183" s="115"/>
      <c r="AL183" s="169">
        <f t="shared" si="28"/>
        <v>1</v>
      </c>
      <c r="AM183" s="112">
        <f t="shared" si="29"/>
        <v>1</v>
      </c>
      <c r="AN183" s="171">
        <f t="shared" si="24"/>
        <v>1</v>
      </c>
      <c r="AO183" s="150" t="str">
        <f>_xlfn.IFNA(VLOOKUP(AN183,Parameter!$D$53:$E$77,2),"")</f>
        <v>RENDAH</v>
      </c>
      <c r="AP183" s="167" t="s">
        <v>379</v>
      </c>
      <c r="AQ183" s="116"/>
    </row>
    <row r="184" spans="1:43" ht="162" x14ac:dyDescent="0.3">
      <c r="A184" s="114" t="s">
        <v>48</v>
      </c>
      <c r="B184" s="112">
        <f t="shared" si="12"/>
        <v>170</v>
      </c>
      <c r="C184" s="124" t="s">
        <v>1219</v>
      </c>
      <c r="D184" s="169" t="s">
        <v>995</v>
      </c>
      <c r="E184" s="176" t="s">
        <v>256</v>
      </c>
      <c r="F184" s="118" t="s">
        <v>367</v>
      </c>
      <c r="G184" s="117" t="s">
        <v>377</v>
      </c>
      <c r="H184" s="173" t="s">
        <v>50</v>
      </c>
      <c r="I184" s="127"/>
      <c r="J184" s="113"/>
      <c r="K184" s="113"/>
      <c r="L184" s="113"/>
      <c r="M184" s="113"/>
      <c r="N184" s="117" t="s">
        <v>385</v>
      </c>
      <c r="O184" s="120"/>
      <c r="P184" s="119"/>
      <c r="Q184" s="112">
        <v>1</v>
      </c>
      <c r="R184" s="112">
        <v>1</v>
      </c>
      <c r="S184" s="147">
        <f t="shared" si="23"/>
        <v>1</v>
      </c>
      <c r="T184" s="150" t="str">
        <f>_xlfn.IFNA(VLOOKUP(S184,Parameter!$D$53:$E$77,2),"")</f>
        <v>RENDAH</v>
      </c>
      <c r="U184" s="130"/>
      <c r="V184" s="124" t="s">
        <v>386</v>
      </c>
      <c r="W184" s="124" t="s">
        <v>386</v>
      </c>
      <c r="X184" s="124" t="s">
        <v>386</v>
      </c>
      <c r="Y184" s="124" t="s">
        <v>747</v>
      </c>
      <c r="Z184" s="124" t="s">
        <v>337</v>
      </c>
      <c r="AA184" s="126" t="s">
        <v>386</v>
      </c>
      <c r="AB184" s="111" t="s">
        <v>386</v>
      </c>
      <c r="AC184" s="156">
        <v>46387</v>
      </c>
      <c r="AD184" s="163">
        <v>46102</v>
      </c>
      <c r="AE184" s="115" t="s">
        <v>386</v>
      </c>
      <c r="AF184" s="163"/>
      <c r="AG184" s="115"/>
      <c r="AH184" s="163"/>
      <c r="AI184" s="115"/>
      <c r="AJ184" s="163"/>
      <c r="AK184" s="115"/>
      <c r="AL184" s="169">
        <f t="shared" si="28"/>
        <v>1</v>
      </c>
      <c r="AM184" s="112">
        <f t="shared" si="29"/>
        <v>1</v>
      </c>
      <c r="AN184" s="171">
        <f t="shared" si="24"/>
        <v>1</v>
      </c>
      <c r="AO184" s="150" t="str">
        <f>_xlfn.IFNA(VLOOKUP(AN184,Parameter!$D$53:$E$77,2),"")</f>
        <v>RENDAH</v>
      </c>
      <c r="AP184" s="167" t="s">
        <v>379</v>
      </c>
      <c r="AQ184" s="116"/>
    </row>
    <row r="185" spans="1:43" ht="126" x14ac:dyDescent="0.3">
      <c r="A185" s="114" t="s">
        <v>48</v>
      </c>
      <c r="B185" s="112">
        <f t="shared" si="12"/>
        <v>171</v>
      </c>
      <c r="C185" s="124" t="s">
        <v>1220</v>
      </c>
      <c r="D185" s="169" t="s">
        <v>341</v>
      </c>
      <c r="E185" s="176" t="s">
        <v>256</v>
      </c>
      <c r="F185" s="118" t="s">
        <v>367</v>
      </c>
      <c r="G185" s="117" t="s">
        <v>377</v>
      </c>
      <c r="H185" s="173" t="s">
        <v>50</v>
      </c>
      <c r="I185" s="127"/>
      <c r="J185" s="113"/>
      <c r="K185" s="113"/>
      <c r="L185" s="113"/>
      <c r="M185" s="113"/>
      <c r="N185" s="117" t="s">
        <v>385</v>
      </c>
      <c r="O185" s="120"/>
      <c r="P185" s="119"/>
      <c r="Q185" s="112">
        <v>1</v>
      </c>
      <c r="R185" s="112">
        <v>1</v>
      </c>
      <c r="S185" s="147">
        <f t="shared" si="23"/>
        <v>1</v>
      </c>
      <c r="T185" s="150" t="str">
        <f>_xlfn.IFNA(VLOOKUP(S185,Parameter!$D$53:$E$77,2),"")</f>
        <v>RENDAH</v>
      </c>
      <c r="U185" s="130"/>
      <c r="V185" s="124" t="s">
        <v>386</v>
      </c>
      <c r="W185" s="124" t="s">
        <v>386</v>
      </c>
      <c r="X185" s="124" t="s">
        <v>386</v>
      </c>
      <c r="Y185" s="124" t="s">
        <v>337</v>
      </c>
      <c r="Z185" s="124" t="s">
        <v>747</v>
      </c>
      <c r="AA185" s="126" t="s">
        <v>386</v>
      </c>
      <c r="AB185" s="111" t="s">
        <v>386</v>
      </c>
      <c r="AC185" s="156">
        <v>46387</v>
      </c>
      <c r="AD185" s="163">
        <v>46102</v>
      </c>
      <c r="AE185" s="115" t="s">
        <v>386</v>
      </c>
      <c r="AF185" s="163"/>
      <c r="AG185" s="115"/>
      <c r="AH185" s="163"/>
      <c r="AI185" s="115"/>
      <c r="AJ185" s="163"/>
      <c r="AK185" s="115"/>
      <c r="AL185" s="169">
        <f t="shared" si="28"/>
        <v>1</v>
      </c>
      <c r="AM185" s="112">
        <f t="shared" si="29"/>
        <v>1</v>
      </c>
      <c r="AN185" s="171">
        <f t="shared" si="24"/>
        <v>1</v>
      </c>
      <c r="AO185" s="150" t="str">
        <f>_xlfn.IFNA(VLOOKUP(AN185,Parameter!$D$53:$E$77,2),"")</f>
        <v>RENDAH</v>
      </c>
      <c r="AP185" s="167" t="s">
        <v>379</v>
      </c>
      <c r="AQ185" s="116"/>
    </row>
    <row r="186" spans="1:43" ht="126" x14ac:dyDescent="0.3">
      <c r="A186" s="114" t="s">
        <v>48</v>
      </c>
      <c r="B186" s="112">
        <f t="shared" si="12"/>
        <v>172</v>
      </c>
      <c r="C186" s="124" t="s">
        <v>1221</v>
      </c>
      <c r="D186" s="169" t="s">
        <v>303</v>
      </c>
      <c r="E186" s="176" t="s">
        <v>256</v>
      </c>
      <c r="F186" s="118" t="s">
        <v>367</v>
      </c>
      <c r="G186" s="117" t="s">
        <v>377</v>
      </c>
      <c r="H186" s="173" t="s">
        <v>50</v>
      </c>
      <c r="I186" s="127"/>
      <c r="J186" s="113"/>
      <c r="K186" s="113"/>
      <c r="L186" s="113"/>
      <c r="M186" s="113"/>
      <c r="N186" s="117" t="s">
        <v>385</v>
      </c>
      <c r="O186" s="120"/>
      <c r="P186" s="119"/>
      <c r="Q186" s="112">
        <v>1</v>
      </c>
      <c r="R186" s="112">
        <v>1</v>
      </c>
      <c r="S186" s="147">
        <f t="shared" si="23"/>
        <v>1</v>
      </c>
      <c r="T186" s="150" t="str">
        <f>_xlfn.IFNA(VLOOKUP(S186,Parameter!$D$53:$E$77,2),"")</f>
        <v>RENDAH</v>
      </c>
      <c r="U186" s="130"/>
      <c r="V186" s="124" t="s">
        <v>386</v>
      </c>
      <c r="W186" s="124" t="s">
        <v>386</v>
      </c>
      <c r="X186" s="124" t="s">
        <v>386</v>
      </c>
      <c r="Y186" s="124" t="s">
        <v>317</v>
      </c>
      <c r="Z186" s="124"/>
      <c r="AA186" s="126" t="s">
        <v>386</v>
      </c>
      <c r="AB186" s="111" t="s">
        <v>386</v>
      </c>
      <c r="AC186" s="156">
        <v>46387</v>
      </c>
      <c r="AD186" s="163">
        <v>46102</v>
      </c>
      <c r="AE186" s="115" t="s">
        <v>386</v>
      </c>
      <c r="AF186" s="163"/>
      <c r="AG186" s="115"/>
      <c r="AH186" s="163"/>
      <c r="AI186" s="115"/>
      <c r="AJ186" s="163"/>
      <c r="AK186" s="115"/>
      <c r="AL186" s="169">
        <f t="shared" si="28"/>
        <v>1</v>
      </c>
      <c r="AM186" s="112">
        <f t="shared" si="29"/>
        <v>1</v>
      </c>
      <c r="AN186" s="171">
        <f t="shared" si="24"/>
        <v>1</v>
      </c>
      <c r="AO186" s="150" t="str">
        <f>_xlfn.IFNA(VLOOKUP(AN186,Parameter!$D$53:$E$77,2),"")</f>
        <v>RENDAH</v>
      </c>
      <c r="AP186" s="167" t="s">
        <v>379</v>
      </c>
      <c r="AQ186" s="116"/>
    </row>
    <row r="187" spans="1:43" ht="306" hidden="1" x14ac:dyDescent="0.3">
      <c r="A187" s="114" t="s">
        <v>48</v>
      </c>
      <c r="B187" s="112">
        <f t="shared" si="12"/>
        <v>173</v>
      </c>
      <c r="C187" s="124" t="s">
        <v>648</v>
      </c>
      <c r="D187" s="169" t="s">
        <v>634</v>
      </c>
      <c r="E187" s="176" t="s">
        <v>260</v>
      </c>
      <c r="F187" s="118" t="s">
        <v>368</v>
      </c>
      <c r="G187" s="117" t="s">
        <v>49</v>
      </c>
      <c r="H187" s="173" t="s">
        <v>50</v>
      </c>
      <c r="I187" s="127" t="s">
        <v>649</v>
      </c>
      <c r="J187" s="113" t="s">
        <v>650</v>
      </c>
      <c r="K187" s="113" t="s">
        <v>651</v>
      </c>
      <c r="L187" s="113" t="s">
        <v>652</v>
      </c>
      <c r="M187" s="113" t="s">
        <v>653</v>
      </c>
      <c r="N187" s="117" t="s">
        <v>363</v>
      </c>
      <c r="O187" s="120" t="s">
        <v>654</v>
      </c>
      <c r="P187" s="119" t="s">
        <v>655</v>
      </c>
      <c r="Q187" s="112">
        <v>3</v>
      </c>
      <c r="R187" s="112">
        <v>5</v>
      </c>
      <c r="S187" s="147">
        <f t="shared" si="23"/>
        <v>15</v>
      </c>
      <c r="T187" s="150" t="str">
        <f>_xlfn.IFNA(VLOOKUP(S187,Parameter!$D$53:$E$77,2),"")</f>
        <v>SEDANG-TINGGI</v>
      </c>
      <c r="U187" s="130" t="s">
        <v>656</v>
      </c>
      <c r="V187" s="124" t="s">
        <v>657</v>
      </c>
      <c r="W187" s="124" t="s">
        <v>658</v>
      </c>
      <c r="X187" s="124" t="s">
        <v>659</v>
      </c>
      <c r="Y187" s="124" t="s">
        <v>325</v>
      </c>
      <c r="Z187" s="124" t="s">
        <v>317</v>
      </c>
      <c r="AA187" s="126" t="s">
        <v>661</v>
      </c>
      <c r="AB187" s="145" t="s">
        <v>492</v>
      </c>
      <c r="AC187" s="156">
        <v>46387</v>
      </c>
      <c r="AD187" s="163">
        <v>46102</v>
      </c>
      <c r="AE187" s="115" t="s">
        <v>660</v>
      </c>
      <c r="AF187" s="163"/>
      <c r="AG187" s="115"/>
      <c r="AH187" s="163"/>
      <c r="AI187" s="115"/>
      <c r="AJ187" s="163"/>
      <c r="AK187" s="115"/>
      <c r="AL187" s="169">
        <f t="shared" si="28"/>
        <v>3</v>
      </c>
      <c r="AM187" s="112">
        <f t="shared" si="29"/>
        <v>5</v>
      </c>
      <c r="AN187" s="171">
        <f t="shared" si="24"/>
        <v>15</v>
      </c>
      <c r="AO187" s="150" t="str">
        <f>_xlfn.IFNA(VLOOKUP(AN187,Parameter!$D$53:$E$77,2),"")</f>
        <v>SEDANG-TINGGI</v>
      </c>
      <c r="AP187" s="167" t="s">
        <v>379</v>
      </c>
      <c r="AQ187" s="116"/>
    </row>
    <row r="188" spans="1:43" ht="252" hidden="1" x14ac:dyDescent="0.3">
      <c r="A188" s="114" t="s">
        <v>48</v>
      </c>
      <c r="B188" s="112">
        <f t="shared" si="12"/>
        <v>174</v>
      </c>
      <c r="C188" s="124" t="s">
        <v>633</v>
      </c>
      <c r="D188" s="169" t="s">
        <v>634</v>
      </c>
      <c r="E188" s="176" t="s">
        <v>260</v>
      </c>
      <c r="F188" s="118" t="s">
        <v>368</v>
      </c>
      <c r="G188" s="117" t="s">
        <v>49</v>
      </c>
      <c r="H188" s="173" t="s">
        <v>50</v>
      </c>
      <c r="I188" s="127" t="s">
        <v>635</v>
      </c>
      <c r="J188" s="113" t="s">
        <v>636</v>
      </c>
      <c r="K188" s="113" t="s">
        <v>637</v>
      </c>
      <c r="L188" s="113" t="s">
        <v>638</v>
      </c>
      <c r="M188" s="113" t="s">
        <v>639</v>
      </c>
      <c r="N188" s="117" t="s">
        <v>363</v>
      </c>
      <c r="O188" s="120" t="s">
        <v>640</v>
      </c>
      <c r="P188" s="119" t="s">
        <v>641</v>
      </c>
      <c r="Q188" s="112">
        <v>3</v>
      </c>
      <c r="R188" s="112">
        <v>3</v>
      </c>
      <c r="S188" s="147">
        <f t="shared" si="23"/>
        <v>9</v>
      </c>
      <c r="T188" s="150" t="str">
        <f>_xlfn.IFNA(VLOOKUP(S188,Parameter!$D$53:$E$77,2),"")</f>
        <v>SEDANG-RENDAH</v>
      </c>
      <c r="U188" s="130" t="s">
        <v>642</v>
      </c>
      <c r="V188" s="124" t="s">
        <v>643</v>
      </c>
      <c r="W188" s="124" t="s">
        <v>644</v>
      </c>
      <c r="X188" s="124" t="s">
        <v>645</v>
      </c>
      <c r="Y188" s="124" t="s">
        <v>325</v>
      </c>
      <c r="Z188" s="124" t="s">
        <v>317</v>
      </c>
      <c r="AA188" s="126" t="s">
        <v>647</v>
      </c>
      <c r="AB188" s="145" t="s">
        <v>492</v>
      </c>
      <c r="AC188" s="156">
        <v>46387</v>
      </c>
      <c r="AD188" s="163">
        <v>46102</v>
      </c>
      <c r="AE188" s="115" t="s">
        <v>646</v>
      </c>
      <c r="AF188" s="163"/>
      <c r="AG188" s="115"/>
      <c r="AH188" s="163"/>
      <c r="AI188" s="115"/>
      <c r="AJ188" s="163"/>
      <c r="AK188" s="115"/>
      <c r="AL188" s="169">
        <f t="shared" si="28"/>
        <v>3</v>
      </c>
      <c r="AM188" s="112">
        <f t="shared" si="29"/>
        <v>3</v>
      </c>
      <c r="AN188" s="171">
        <f t="shared" si="24"/>
        <v>9</v>
      </c>
      <c r="AO188" s="150" t="str">
        <f>_xlfn.IFNA(VLOOKUP(AN188,Parameter!$D$53:$E$77,2),"")</f>
        <v>SEDANG-RENDAH</v>
      </c>
      <c r="AP188" s="167" t="s">
        <v>379</v>
      </c>
      <c r="AQ188" s="116"/>
    </row>
    <row r="189" spans="1:43" ht="144" x14ac:dyDescent="0.3">
      <c r="A189" s="114" t="s">
        <v>48</v>
      </c>
      <c r="B189" s="112">
        <f t="shared" si="12"/>
        <v>175</v>
      </c>
      <c r="C189" s="124" t="s">
        <v>1222</v>
      </c>
      <c r="D189" s="169" t="s">
        <v>634</v>
      </c>
      <c r="E189" s="176" t="s">
        <v>256</v>
      </c>
      <c r="F189" s="118" t="s">
        <v>367</v>
      </c>
      <c r="G189" s="117" t="s">
        <v>377</v>
      </c>
      <c r="H189" s="173" t="s">
        <v>50</v>
      </c>
      <c r="I189" s="127"/>
      <c r="J189" s="113"/>
      <c r="K189" s="113"/>
      <c r="L189" s="113"/>
      <c r="M189" s="113"/>
      <c r="N189" s="117" t="s">
        <v>385</v>
      </c>
      <c r="O189" s="120"/>
      <c r="P189" s="119"/>
      <c r="Q189" s="112">
        <v>1</v>
      </c>
      <c r="R189" s="112">
        <v>1</v>
      </c>
      <c r="S189" s="147">
        <f t="shared" si="23"/>
        <v>1</v>
      </c>
      <c r="T189" s="150" t="str">
        <f>_xlfn.IFNA(VLOOKUP(S189,Parameter!$D$53:$E$77,2),"")</f>
        <v>RENDAH</v>
      </c>
      <c r="U189" s="130"/>
      <c r="V189" s="124" t="s">
        <v>386</v>
      </c>
      <c r="W189" s="124" t="s">
        <v>386</v>
      </c>
      <c r="X189" s="124" t="s">
        <v>386</v>
      </c>
      <c r="Y189" s="124" t="s">
        <v>317</v>
      </c>
      <c r="Z189" s="124"/>
      <c r="AA189" s="126" t="s">
        <v>386</v>
      </c>
      <c r="AB189" s="111" t="s">
        <v>386</v>
      </c>
      <c r="AC189" s="156">
        <v>46387</v>
      </c>
      <c r="AD189" s="163">
        <v>46102</v>
      </c>
      <c r="AE189" s="115" t="s">
        <v>386</v>
      </c>
      <c r="AF189" s="163"/>
      <c r="AG189" s="115"/>
      <c r="AH189" s="163"/>
      <c r="AI189" s="115"/>
      <c r="AJ189" s="163"/>
      <c r="AK189" s="115"/>
      <c r="AL189" s="169">
        <f t="shared" si="28"/>
        <v>1</v>
      </c>
      <c r="AM189" s="112">
        <f t="shared" si="29"/>
        <v>1</v>
      </c>
      <c r="AN189" s="171">
        <f t="shared" si="24"/>
        <v>1</v>
      </c>
      <c r="AO189" s="150" t="str">
        <f>_xlfn.IFNA(VLOOKUP(AN189,Parameter!$D$53:$E$77,2),"")</f>
        <v>RENDAH</v>
      </c>
      <c r="AP189" s="167" t="s">
        <v>379</v>
      </c>
      <c r="AQ189" s="116"/>
    </row>
    <row r="190" spans="1:43" ht="108" x14ac:dyDescent="0.3">
      <c r="A190" s="114" t="s">
        <v>48</v>
      </c>
      <c r="B190" s="112">
        <f t="shared" si="12"/>
        <v>176</v>
      </c>
      <c r="C190" s="124" t="s">
        <v>1223</v>
      </c>
      <c r="D190" s="169" t="s">
        <v>295</v>
      </c>
      <c r="E190" s="176" t="s">
        <v>256</v>
      </c>
      <c r="F190" s="118" t="s">
        <v>367</v>
      </c>
      <c r="G190" s="117" t="s">
        <v>377</v>
      </c>
      <c r="H190" s="173" t="s">
        <v>50</v>
      </c>
      <c r="I190" s="127"/>
      <c r="J190" s="113"/>
      <c r="K190" s="113"/>
      <c r="L190" s="113"/>
      <c r="M190" s="113"/>
      <c r="N190" s="117" t="s">
        <v>385</v>
      </c>
      <c r="O190" s="120"/>
      <c r="P190" s="119"/>
      <c r="Q190" s="112">
        <v>1</v>
      </c>
      <c r="R190" s="112">
        <v>1</v>
      </c>
      <c r="S190" s="147">
        <f t="shared" si="23"/>
        <v>1</v>
      </c>
      <c r="T190" s="150" t="str">
        <f>_xlfn.IFNA(VLOOKUP(S190,Parameter!$D$53:$E$77,2),"")</f>
        <v>RENDAH</v>
      </c>
      <c r="U190" s="130"/>
      <c r="V190" s="124" t="s">
        <v>386</v>
      </c>
      <c r="W190" s="124" t="s">
        <v>386</v>
      </c>
      <c r="X190" s="124" t="s">
        <v>386</v>
      </c>
      <c r="Y190" s="124" t="s">
        <v>747</v>
      </c>
      <c r="Z190" s="124"/>
      <c r="AA190" s="126" t="s">
        <v>386</v>
      </c>
      <c r="AB190" s="111" t="s">
        <v>386</v>
      </c>
      <c r="AC190" s="156">
        <v>46387</v>
      </c>
      <c r="AD190" s="163">
        <v>46102</v>
      </c>
      <c r="AE190" s="115" t="s">
        <v>386</v>
      </c>
      <c r="AF190" s="163"/>
      <c r="AG190" s="115"/>
      <c r="AH190" s="163"/>
      <c r="AI190" s="115"/>
      <c r="AJ190" s="163"/>
      <c r="AK190" s="115"/>
      <c r="AL190" s="169">
        <f t="shared" si="28"/>
        <v>1</v>
      </c>
      <c r="AM190" s="112">
        <f t="shared" si="29"/>
        <v>1</v>
      </c>
      <c r="AN190" s="171">
        <f t="shared" si="24"/>
        <v>1</v>
      </c>
      <c r="AO190" s="150" t="str">
        <f>_xlfn.IFNA(VLOOKUP(AN190,Parameter!$D$53:$E$77,2),"")</f>
        <v>RENDAH</v>
      </c>
      <c r="AP190" s="167" t="s">
        <v>379</v>
      </c>
      <c r="AQ190" s="116"/>
    </row>
    <row r="191" spans="1:43" ht="306" hidden="1" x14ac:dyDescent="0.3">
      <c r="A191" s="114" t="s">
        <v>48</v>
      </c>
      <c r="B191" s="112">
        <f t="shared" si="12"/>
        <v>177</v>
      </c>
      <c r="C191" s="124" t="s">
        <v>1664</v>
      </c>
      <c r="D191" s="169" t="s">
        <v>1004</v>
      </c>
      <c r="E191" s="176" t="s">
        <v>260</v>
      </c>
      <c r="F191" s="118" t="s">
        <v>368</v>
      </c>
      <c r="G191" s="117" t="s">
        <v>49</v>
      </c>
      <c r="H191" s="173" t="s">
        <v>50</v>
      </c>
      <c r="I191" s="127" t="s">
        <v>1665</v>
      </c>
      <c r="J191" s="113" t="s">
        <v>1666</v>
      </c>
      <c r="K191" s="113" t="s">
        <v>1667</v>
      </c>
      <c r="L191" s="113" t="s">
        <v>1668</v>
      </c>
      <c r="M191" s="113" t="s">
        <v>1669</v>
      </c>
      <c r="N191" s="117" t="s">
        <v>382</v>
      </c>
      <c r="O191" s="120" t="s">
        <v>1670</v>
      </c>
      <c r="P191" s="119" t="s">
        <v>1671</v>
      </c>
      <c r="Q191" s="112">
        <v>3</v>
      </c>
      <c r="R191" s="112">
        <v>3</v>
      </c>
      <c r="S191" s="147">
        <f t="shared" si="23"/>
        <v>9</v>
      </c>
      <c r="T191" s="150" t="str">
        <f>_xlfn.IFNA(VLOOKUP(S191,Parameter!$D$53:$E$77,2),"")</f>
        <v>SEDANG-RENDAH</v>
      </c>
      <c r="U191" s="130" t="s">
        <v>1672</v>
      </c>
      <c r="V191" s="124" t="s">
        <v>1673</v>
      </c>
      <c r="W191" s="124" t="s">
        <v>1674</v>
      </c>
      <c r="X191" s="124" t="s">
        <v>1675</v>
      </c>
      <c r="Y191" s="124" t="s">
        <v>345</v>
      </c>
      <c r="Z191" s="124"/>
      <c r="AA191" s="126" t="s">
        <v>1678</v>
      </c>
      <c r="AB191" s="145" t="s">
        <v>1677</v>
      </c>
      <c r="AC191" s="156">
        <v>46387</v>
      </c>
      <c r="AD191" s="163">
        <v>46102</v>
      </c>
      <c r="AE191" s="115" t="s">
        <v>1676</v>
      </c>
      <c r="AF191" s="163"/>
      <c r="AG191" s="115"/>
      <c r="AH191" s="163"/>
      <c r="AI191" s="115"/>
      <c r="AJ191" s="163"/>
      <c r="AK191" s="115"/>
      <c r="AL191" s="169">
        <f t="shared" si="28"/>
        <v>3</v>
      </c>
      <c r="AM191" s="112">
        <f t="shared" si="29"/>
        <v>3</v>
      </c>
      <c r="AN191" s="171">
        <f t="shared" si="24"/>
        <v>9</v>
      </c>
      <c r="AO191" s="150" t="str">
        <f>_xlfn.IFNA(VLOOKUP(AN191,Parameter!$D$53:$E$77,2),"")</f>
        <v>SEDANG-RENDAH</v>
      </c>
      <c r="AP191" s="167" t="s">
        <v>379</v>
      </c>
      <c r="AQ191" s="116"/>
    </row>
    <row r="192" spans="1:43" ht="126" x14ac:dyDescent="0.3">
      <c r="A192" s="114" t="s">
        <v>48</v>
      </c>
      <c r="B192" s="112">
        <f t="shared" si="12"/>
        <v>178</v>
      </c>
      <c r="C192" s="124" t="s">
        <v>1224</v>
      </c>
      <c r="D192" s="169" t="s">
        <v>989</v>
      </c>
      <c r="E192" s="176" t="s">
        <v>256</v>
      </c>
      <c r="F192" s="118" t="s">
        <v>367</v>
      </c>
      <c r="G192" s="117" t="s">
        <v>377</v>
      </c>
      <c r="H192" s="173" t="s">
        <v>50</v>
      </c>
      <c r="I192" s="127"/>
      <c r="J192" s="113"/>
      <c r="K192" s="113"/>
      <c r="L192" s="113"/>
      <c r="M192" s="113"/>
      <c r="N192" s="117" t="s">
        <v>385</v>
      </c>
      <c r="O192" s="120"/>
      <c r="P192" s="119"/>
      <c r="Q192" s="112">
        <v>1</v>
      </c>
      <c r="R192" s="112">
        <v>1</v>
      </c>
      <c r="S192" s="147">
        <f t="shared" si="23"/>
        <v>1</v>
      </c>
      <c r="T192" s="150" t="str">
        <f>_xlfn.IFNA(VLOOKUP(S192,Parameter!$D$53:$E$77,2),"")</f>
        <v>RENDAH</v>
      </c>
      <c r="U192" s="130"/>
      <c r="V192" s="124" t="s">
        <v>386</v>
      </c>
      <c r="W192" s="124" t="s">
        <v>386</v>
      </c>
      <c r="X192" s="124" t="s">
        <v>386</v>
      </c>
      <c r="Y192" s="124" t="s">
        <v>279</v>
      </c>
      <c r="Z192" s="124"/>
      <c r="AA192" s="126" t="s">
        <v>386</v>
      </c>
      <c r="AB192" s="111" t="s">
        <v>386</v>
      </c>
      <c r="AC192" s="156">
        <v>46387</v>
      </c>
      <c r="AD192" s="163">
        <v>46102</v>
      </c>
      <c r="AE192" s="115" t="s">
        <v>386</v>
      </c>
      <c r="AF192" s="163"/>
      <c r="AG192" s="115"/>
      <c r="AH192" s="163"/>
      <c r="AI192" s="115"/>
      <c r="AJ192" s="163"/>
      <c r="AK192" s="115"/>
      <c r="AL192" s="169">
        <f t="shared" si="28"/>
        <v>1</v>
      </c>
      <c r="AM192" s="112">
        <f t="shared" si="29"/>
        <v>1</v>
      </c>
      <c r="AN192" s="171">
        <f t="shared" si="24"/>
        <v>1</v>
      </c>
      <c r="AO192" s="150" t="str">
        <f>_xlfn.IFNA(VLOOKUP(AN192,Parameter!$D$53:$E$77,2),"")</f>
        <v>RENDAH</v>
      </c>
      <c r="AP192" s="167" t="s">
        <v>379</v>
      </c>
      <c r="AQ192" s="116"/>
    </row>
    <row r="193" spans="1:43" ht="144" x14ac:dyDescent="0.3">
      <c r="A193" s="114" t="s">
        <v>48</v>
      </c>
      <c r="B193" s="112">
        <f t="shared" si="12"/>
        <v>179</v>
      </c>
      <c r="C193" s="124" t="s">
        <v>1225</v>
      </c>
      <c r="D193" s="169" t="s">
        <v>989</v>
      </c>
      <c r="E193" s="176" t="s">
        <v>256</v>
      </c>
      <c r="F193" s="118" t="s">
        <v>367</v>
      </c>
      <c r="G193" s="117" t="s">
        <v>377</v>
      </c>
      <c r="H193" s="173" t="s">
        <v>50</v>
      </c>
      <c r="I193" s="127"/>
      <c r="J193" s="113"/>
      <c r="K193" s="113"/>
      <c r="L193" s="113"/>
      <c r="M193" s="113"/>
      <c r="N193" s="117" t="s">
        <v>385</v>
      </c>
      <c r="O193" s="120"/>
      <c r="P193" s="119"/>
      <c r="Q193" s="112">
        <v>1</v>
      </c>
      <c r="R193" s="112">
        <v>1</v>
      </c>
      <c r="S193" s="147">
        <f t="shared" si="23"/>
        <v>1</v>
      </c>
      <c r="T193" s="150" t="str">
        <f>_xlfn.IFNA(VLOOKUP(S193,Parameter!$D$53:$E$77,2),"")</f>
        <v>RENDAH</v>
      </c>
      <c r="U193" s="130"/>
      <c r="V193" s="124" t="s">
        <v>386</v>
      </c>
      <c r="W193" s="124" t="s">
        <v>386</v>
      </c>
      <c r="X193" s="124" t="s">
        <v>386</v>
      </c>
      <c r="Y193" s="124" t="s">
        <v>279</v>
      </c>
      <c r="Z193" s="124"/>
      <c r="AA193" s="126" t="s">
        <v>386</v>
      </c>
      <c r="AB193" s="111" t="s">
        <v>386</v>
      </c>
      <c r="AC193" s="156">
        <v>46387</v>
      </c>
      <c r="AD193" s="163">
        <v>46102</v>
      </c>
      <c r="AE193" s="115" t="s">
        <v>386</v>
      </c>
      <c r="AF193" s="163"/>
      <c r="AG193" s="115"/>
      <c r="AH193" s="163"/>
      <c r="AI193" s="115"/>
      <c r="AJ193" s="163"/>
      <c r="AK193" s="115"/>
      <c r="AL193" s="169">
        <f t="shared" si="28"/>
        <v>1</v>
      </c>
      <c r="AM193" s="112">
        <f t="shared" si="29"/>
        <v>1</v>
      </c>
      <c r="AN193" s="171">
        <f t="shared" si="24"/>
        <v>1</v>
      </c>
      <c r="AO193" s="150" t="str">
        <f>_xlfn.IFNA(VLOOKUP(AN193,Parameter!$D$53:$E$77,2),"")</f>
        <v>RENDAH</v>
      </c>
      <c r="AP193" s="167" t="s">
        <v>379</v>
      </c>
      <c r="AQ193" s="116"/>
    </row>
    <row r="194" spans="1:43" ht="162" x14ac:dyDescent="0.3">
      <c r="A194" s="114" t="s">
        <v>48</v>
      </c>
      <c r="B194" s="112">
        <f t="shared" si="12"/>
        <v>180</v>
      </c>
      <c r="C194" s="124" t="s">
        <v>1226</v>
      </c>
      <c r="D194" s="169" t="s">
        <v>989</v>
      </c>
      <c r="E194" s="176" t="s">
        <v>256</v>
      </c>
      <c r="F194" s="118" t="s">
        <v>367</v>
      </c>
      <c r="G194" s="117" t="s">
        <v>377</v>
      </c>
      <c r="H194" s="173" t="s">
        <v>50</v>
      </c>
      <c r="I194" s="127"/>
      <c r="J194" s="113"/>
      <c r="K194" s="113"/>
      <c r="L194" s="113"/>
      <c r="M194" s="113"/>
      <c r="N194" s="117" t="s">
        <v>385</v>
      </c>
      <c r="O194" s="120"/>
      <c r="P194" s="119"/>
      <c r="Q194" s="112">
        <v>1</v>
      </c>
      <c r="R194" s="112">
        <v>1</v>
      </c>
      <c r="S194" s="147">
        <f t="shared" si="23"/>
        <v>1</v>
      </c>
      <c r="T194" s="150" t="str">
        <f>_xlfn.IFNA(VLOOKUP(S194,Parameter!$D$53:$E$77,2),"")</f>
        <v>RENDAH</v>
      </c>
      <c r="U194" s="130"/>
      <c r="V194" s="124" t="s">
        <v>386</v>
      </c>
      <c r="W194" s="124" t="s">
        <v>386</v>
      </c>
      <c r="X194" s="124" t="s">
        <v>386</v>
      </c>
      <c r="Y194" s="124" t="s">
        <v>279</v>
      </c>
      <c r="Z194" s="124"/>
      <c r="AA194" s="126" t="s">
        <v>386</v>
      </c>
      <c r="AB194" s="111" t="s">
        <v>386</v>
      </c>
      <c r="AC194" s="156">
        <v>46387</v>
      </c>
      <c r="AD194" s="163">
        <v>46102</v>
      </c>
      <c r="AE194" s="115" t="s">
        <v>386</v>
      </c>
      <c r="AF194" s="163"/>
      <c r="AG194" s="115"/>
      <c r="AH194" s="163"/>
      <c r="AI194" s="115"/>
      <c r="AJ194" s="163"/>
      <c r="AK194" s="115"/>
      <c r="AL194" s="169">
        <f t="shared" si="28"/>
        <v>1</v>
      </c>
      <c r="AM194" s="112">
        <f t="shared" si="29"/>
        <v>1</v>
      </c>
      <c r="AN194" s="171">
        <f t="shared" si="24"/>
        <v>1</v>
      </c>
      <c r="AO194" s="150" t="str">
        <f>_xlfn.IFNA(VLOOKUP(AN194,Parameter!$D$53:$E$77,2),"")</f>
        <v>RENDAH</v>
      </c>
      <c r="AP194" s="167" t="s">
        <v>379</v>
      </c>
      <c r="AQ194" s="116"/>
    </row>
    <row r="195" spans="1:43" ht="126" x14ac:dyDescent="0.3">
      <c r="A195" s="114" t="s">
        <v>48</v>
      </c>
      <c r="B195" s="112">
        <f t="shared" si="12"/>
        <v>181</v>
      </c>
      <c r="C195" s="124" t="s">
        <v>1227</v>
      </c>
      <c r="D195" s="169" t="s">
        <v>989</v>
      </c>
      <c r="E195" s="176" t="s">
        <v>256</v>
      </c>
      <c r="F195" s="118" t="s">
        <v>367</v>
      </c>
      <c r="G195" s="117" t="s">
        <v>377</v>
      </c>
      <c r="H195" s="173" t="s">
        <v>50</v>
      </c>
      <c r="I195" s="127"/>
      <c r="J195" s="113"/>
      <c r="K195" s="113"/>
      <c r="L195" s="113"/>
      <c r="M195" s="113"/>
      <c r="N195" s="117" t="s">
        <v>385</v>
      </c>
      <c r="O195" s="120"/>
      <c r="P195" s="119"/>
      <c r="Q195" s="112">
        <v>1</v>
      </c>
      <c r="R195" s="112">
        <v>1</v>
      </c>
      <c r="S195" s="147">
        <f t="shared" si="23"/>
        <v>1</v>
      </c>
      <c r="T195" s="150" t="str">
        <f>_xlfn.IFNA(VLOOKUP(S195,Parameter!$D$53:$E$77,2),"")</f>
        <v>RENDAH</v>
      </c>
      <c r="U195" s="130"/>
      <c r="V195" s="124" t="s">
        <v>386</v>
      </c>
      <c r="W195" s="124" t="s">
        <v>386</v>
      </c>
      <c r="X195" s="124" t="s">
        <v>386</v>
      </c>
      <c r="Y195" s="124" t="s">
        <v>279</v>
      </c>
      <c r="Z195" s="124"/>
      <c r="AA195" s="126" t="s">
        <v>386</v>
      </c>
      <c r="AB195" s="111" t="s">
        <v>386</v>
      </c>
      <c r="AC195" s="156">
        <v>46387</v>
      </c>
      <c r="AD195" s="163">
        <v>46102</v>
      </c>
      <c r="AE195" s="115" t="s">
        <v>386</v>
      </c>
      <c r="AF195" s="163"/>
      <c r="AG195" s="115"/>
      <c r="AH195" s="163"/>
      <c r="AI195" s="115"/>
      <c r="AJ195" s="163"/>
      <c r="AK195" s="115"/>
      <c r="AL195" s="169">
        <f t="shared" si="28"/>
        <v>1</v>
      </c>
      <c r="AM195" s="112">
        <f t="shared" si="29"/>
        <v>1</v>
      </c>
      <c r="AN195" s="171">
        <f t="shared" si="24"/>
        <v>1</v>
      </c>
      <c r="AO195" s="150" t="str">
        <f>_xlfn.IFNA(VLOOKUP(AN195,Parameter!$D$53:$E$77,2),"")</f>
        <v>RENDAH</v>
      </c>
      <c r="AP195" s="167" t="s">
        <v>379</v>
      </c>
      <c r="AQ195" s="116"/>
    </row>
    <row r="196" spans="1:43" ht="90" x14ac:dyDescent="0.3">
      <c r="A196" s="114" t="s">
        <v>48</v>
      </c>
      <c r="B196" s="112">
        <f t="shared" si="12"/>
        <v>182</v>
      </c>
      <c r="C196" s="124" t="s">
        <v>1228</v>
      </c>
      <c r="D196" s="169" t="s">
        <v>989</v>
      </c>
      <c r="E196" s="176" t="s">
        <v>256</v>
      </c>
      <c r="F196" s="118" t="s">
        <v>367</v>
      </c>
      <c r="G196" s="117" t="s">
        <v>377</v>
      </c>
      <c r="H196" s="173" t="s">
        <v>50</v>
      </c>
      <c r="I196" s="127"/>
      <c r="J196" s="113"/>
      <c r="K196" s="113"/>
      <c r="L196" s="113"/>
      <c r="M196" s="113"/>
      <c r="N196" s="117" t="s">
        <v>385</v>
      </c>
      <c r="O196" s="120"/>
      <c r="P196" s="119"/>
      <c r="Q196" s="112">
        <v>1</v>
      </c>
      <c r="R196" s="112">
        <v>1</v>
      </c>
      <c r="S196" s="147">
        <f t="shared" si="23"/>
        <v>1</v>
      </c>
      <c r="T196" s="150" t="str">
        <f>_xlfn.IFNA(VLOOKUP(S196,Parameter!$D$53:$E$77,2),"")</f>
        <v>RENDAH</v>
      </c>
      <c r="U196" s="130"/>
      <c r="V196" s="124" t="s">
        <v>386</v>
      </c>
      <c r="W196" s="124" t="s">
        <v>386</v>
      </c>
      <c r="X196" s="124" t="s">
        <v>386</v>
      </c>
      <c r="Y196" s="124" t="s">
        <v>279</v>
      </c>
      <c r="Z196" s="124"/>
      <c r="AA196" s="126" t="s">
        <v>386</v>
      </c>
      <c r="AB196" s="111" t="s">
        <v>386</v>
      </c>
      <c r="AC196" s="156">
        <v>46387</v>
      </c>
      <c r="AD196" s="163">
        <v>46102</v>
      </c>
      <c r="AE196" s="115" t="s">
        <v>386</v>
      </c>
      <c r="AF196" s="163"/>
      <c r="AG196" s="115"/>
      <c r="AH196" s="163"/>
      <c r="AI196" s="115"/>
      <c r="AJ196" s="163"/>
      <c r="AK196" s="115"/>
      <c r="AL196" s="169">
        <f t="shared" si="28"/>
        <v>1</v>
      </c>
      <c r="AM196" s="112">
        <f t="shared" si="29"/>
        <v>1</v>
      </c>
      <c r="AN196" s="171">
        <f t="shared" si="24"/>
        <v>1</v>
      </c>
      <c r="AO196" s="150" t="str">
        <f>_xlfn.IFNA(VLOOKUP(AN196,Parameter!$D$53:$E$77,2),"")</f>
        <v>RENDAH</v>
      </c>
      <c r="AP196" s="167" t="s">
        <v>379</v>
      </c>
      <c r="AQ196" s="116"/>
    </row>
    <row r="197" spans="1:43" ht="216" hidden="1" x14ac:dyDescent="0.3">
      <c r="A197" s="114" t="s">
        <v>48</v>
      </c>
      <c r="B197" s="112">
        <f t="shared" si="12"/>
        <v>183</v>
      </c>
      <c r="C197" s="124" t="s">
        <v>766</v>
      </c>
      <c r="D197" s="169" t="s">
        <v>767</v>
      </c>
      <c r="E197" s="176" t="s">
        <v>256</v>
      </c>
      <c r="F197" s="118" t="s">
        <v>368</v>
      </c>
      <c r="G197" s="117" t="s">
        <v>49</v>
      </c>
      <c r="H197" s="173" t="s">
        <v>50</v>
      </c>
      <c r="I197" s="127" t="s">
        <v>768</v>
      </c>
      <c r="J197" s="113" t="s">
        <v>769</v>
      </c>
      <c r="K197" s="113" t="s">
        <v>770</v>
      </c>
      <c r="L197" s="113" t="s">
        <v>771</v>
      </c>
      <c r="M197" s="113" t="s">
        <v>772</v>
      </c>
      <c r="N197" s="117" t="s">
        <v>382</v>
      </c>
      <c r="O197" s="120" t="s">
        <v>773</v>
      </c>
      <c r="P197" s="119" t="s">
        <v>774</v>
      </c>
      <c r="Q197" s="112">
        <v>3</v>
      </c>
      <c r="R197" s="112">
        <v>5</v>
      </c>
      <c r="S197" s="147">
        <f t="shared" si="23"/>
        <v>15</v>
      </c>
      <c r="T197" s="150" t="str">
        <f>_xlfn.IFNA(VLOOKUP(S197,Parameter!$D$53:$E$77,2),"")</f>
        <v>SEDANG-TINGGI</v>
      </c>
      <c r="U197" s="130" t="s">
        <v>775</v>
      </c>
      <c r="V197" s="124" t="s">
        <v>776</v>
      </c>
      <c r="W197" s="124" t="s">
        <v>777</v>
      </c>
      <c r="X197" s="124" t="s">
        <v>778</v>
      </c>
      <c r="Y197" s="124" t="s">
        <v>262</v>
      </c>
      <c r="Z197" s="124" t="s">
        <v>267</v>
      </c>
      <c r="AA197" s="126" t="s">
        <v>779</v>
      </c>
      <c r="AB197" s="111" t="s">
        <v>780</v>
      </c>
      <c r="AC197" s="156">
        <v>46387</v>
      </c>
      <c r="AD197" s="163">
        <v>46102</v>
      </c>
      <c r="AE197" s="115" t="s">
        <v>781</v>
      </c>
      <c r="AF197" s="163"/>
      <c r="AG197" s="115"/>
      <c r="AH197" s="163"/>
      <c r="AI197" s="115"/>
      <c r="AJ197" s="163"/>
      <c r="AK197" s="115"/>
      <c r="AL197" s="169">
        <f t="shared" si="28"/>
        <v>3</v>
      </c>
      <c r="AM197" s="112">
        <f t="shared" si="29"/>
        <v>5</v>
      </c>
      <c r="AN197" s="171">
        <f t="shared" si="24"/>
        <v>15</v>
      </c>
      <c r="AO197" s="150" t="str">
        <f>_xlfn.IFNA(VLOOKUP(AN197,Parameter!$D$53:$E$77,2),"")</f>
        <v>SEDANG-TINGGI</v>
      </c>
      <c r="AP197" s="167" t="s">
        <v>379</v>
      </c>
      <c r="AQ197" s="116"/>
    </row>
    <row r="198" spans="1:43" ht="126" x14ac:dyDescent="0.3">
      <c r="A198" s="114" t="s">
        <v>48</v>
      </c>
      <c r="B198" s="112">
        <f t="shared" si="12"/>
        <v>184</v>
      </c>
      <c r="C198" s="124" t="s">
        <v>1229</v>
      </c>
      <c r="D198" s="169" t="s">
        <v>767</v>
      </c>
      <c r="E198" s="176" t="s">
        <v>256</v>
      </c>
      <c r="F198" s="118" t="s">
        <v>367</v>
      </c>
      <c r="G198" s="117" t="s">
        <v>377</v>
      </c>
      <c r="H198" s="173" t="s">
        <v>50</v>
      </c>
      <c r="I198" s="127"/>
      <c r="J198" s="113"/>
      <c r="K198" s="113"/>
      <c r="L198" s="113"/>
      <c r="M198" s="113"/>
      <c r="N198" s="117" t="s">
        <v>385</v>
      </c>
      <c r="O198" s="120"/>
      <c r="P198" s="119"/>
      <c r="Q198" s="112">
        <v>1</v>
      </c>
      <c r="R198" s="112">
        <v>1</v>
      </c>
      <c r="S198" s="147">
        <f t="shared" si="23"/>
        <v>1</v>
      </c>
      <c r="T198" s="150" t="str">
        <f>_xlfn.IFNA(VLOOKUP(S198,Parameter!$D$53:$E$77,2),"")</f>
        <v>RENDAH</v>
      </c>
      <c r="U198" s="130"/>
      <c r="V198" s="124" t="s">
        <v>386</v>
      </c>
      <c r="W198" s="124" t="s">
        <v>386</v>
      </c>
      <c r="X198" s="124" t="s">
        <v>386</v>
      </c>
      <c r="Y198" s="124" t="s">
        <v>337</v>
      </c>
      <c r="Z198" s="124"/>
      <c r="AA198" s="126" t="s">
        <v>386</v>
      </c>
      <c r="AB198" s="111" t="s">
        <v>386</v>
      </c>
      <c r="AC198" s="156">
        <v>46387</v>
      </c>
      <c r="AD198" s="163">
        <v>46102</v>
      </c>
      <c r="AE198" s="115" t="s">
        <v>386</v>
      </c>
      <c r="AF198" s="163"/>
      <c r="AG198" s="115"/>
      <c r="AH198" s="163"/>
      <c r="AI198" s="115"/>
      <c r="AJ198" s="163"/>
      <c r="AK198" s="115"/>
      <c r="AL198" s="169">
        <f t="shared" si="28"/>
        <v>1</v>
      </c>
      <c r="AM198" s="112">
        <f t="shared" si="29"/>
        <v>1</v>
      </c>
      <c r="AN198" s="171">
        <f t="shared" si="24"/>
        <v>1</v>
      </c>
      <c r="AO198" s="150" t="str">
        <f>_xlfn.IFNA(VLOOKUP(AN198,Parameter!$D$53:$E$77,2),"")</f>
        <v>RENDAH</v>
      </c>
      <c r="AP198" s="167" t="s">
        <v>379</v>
      </c>
      <c r="AQ198" s="116"/>
    </row>
    <row r="199" spans="1:43" ht="144" x14ac:dyDescent="0.3">
      <c r="A199" s="114" t="s">
        <v>48</v>
      </c>
      <c r="B199" s="112">
        <f t="shared" si="12"/>
        <v>185</v>
      </c>
      <c r="C199" s="124" t="s">
        <v>1230</v>
      </c>
      <c r="D199" s="169" t="s">
        <v>767</v>
      </c>
      <c r="E199" s="176" t="s">
        <v>256</v>
      </c>
      <c r="F199" s="118" t="s">
        <v>367</v>
      </c>
      <c r="G199" s="117" t="s">
        <v>377</v>
      </c>
      <c r="H199" s="173" t="s">
        <v>50</v>
      </c>
      <c r="I199" s="127"/>
      <c r="J199" s="113"/>
      <c r="K199" s="113"/>
      <c r="L199" s="113"/>
      <c r="M199" s="113"/>
      <c r="N199" s="117" t="s">
        <v>385</v>
      </c>
      <c r="O199" s="120"/>
      <c r="P199" s="119"/>
      <c r="Q199" s="112">
        <v>1</v>
      </c>
      <c r="R199" s="112">
        <v>1</v>
      </c>
      <c r="S199" s="147">
        <f t="shared" si="23"/>
        <v>1</v>
      </c>
      <c r="T199" s="150" t="str">
        <f>_xlfn.IFNA(VLOOKUP(S199,Parameter!$D$53:$E$77,2),"")</f>
        <v>RENDAH</v>
      </c>
      <c r="U199" s="130"/>
      <c r="V199" s="124" t="s">
        <v>386</v>
      </c>
      <c r="W199" s="124" t="s">
        <v>386</v>
      </c>
      <c r="X199" s="124" t="s">
        <v>386</v>
      </c>
      <c r="Y199" s="124" t="s">
        <v>267</v>
      </c>
      <c r="Z199" s="124"/>
      <c r="AA199" s="126" t="s">
        <v>386</v>
      </c>
      <c r="AB199" s="111" t="s">
        <v>386</v>
      </c>
      <c r="AC199" s="156">
        <v>46387</v>
      </c>
      <c r="AD199" s="163">
        <v>46102</v>
      </c>
      <c r="AE199" s="115" t="s">
        <v>386</v>
      </c>
      <c r="AF199" s="163"/>
      <c r="AG199" s="115"/>
      <c r="AH199" s="163"/>
      <c r="AI199" s="115"/>
      <c r="AJ199" s="163"/>
      <c r="AK199" s="115"/>
      <c r="AL199" s="169">
        <f t="shared" si="28"/>
        <v>1</v>
      </c>
      <c r="AM199" s="112">
        <f t="shared" si="29"/>
        <v>1</v>
      </c>
      <c r="AN199" s="171">
        <f t="shared" si="24"/>
        <v>1</v>
      </c>
      <c r="AO199" s="150" t="str">
        <f>_xlfn.IFNA(VLOOKUP(AN199,Parameter!$D$53:$E$77,2),"")</f>
        <v>RENDAH</v>
      </c>
      <c r="AP199" s="167" t="s">
        <v>379</v>
      </c>
      <c r="AQ199" s="116"/>
    </row>
    <row r="200" spans="1:43" ht="126" x14ac:dyDescent="0.3">
      <c r="A200" s="114" t="s">
        <v>48</v>
      </c>
      <c r="B200" s="112">
        <f t="shared" si="12"/>
        <v>186</v>
      </c>
      <c r="C200" s="124" t="s">
        <v>1231</v>
      </c>
      <c r="D200" s="169" t="s">
        <v>767</v>
      </c>
      <c r="E200" s="176" t="s">
        <v>256</v>
      </c>
      <c r="F200" s="118" t="s">
        <v>367</v>
      </c>
      <c r="G200" s="117" t="s">
        <v>377</v>
      </c>
      <c r="H200" s="173" t="s">
        <v>50</v>
      </c>
      <c r="I200" s="127"/>
      <c r="J200" s="113"/>
      <c r="K200" s="113"/>
      <c r="L200" s="113"/>
      <c r="M200" s="113"/>
      <c r="N200" s="117" t="s">
        <v>385</v>
      </c>
      <c r="O200" s="120"/>
      <c r="P200" s="119"/>
      <c r="Q200" s="112">
        <v>1</v>
      </c>
      <c r="R200" s="112">
        <v>1</v>
      </c>
      <c r="S200" s="147">
        <f t="shared" si="23"/>
        <v>1</v>
      </c>
      <c r="T200" s="150" t="str">
        <f>_xlfn.IFNA(VLOOKUP(S200,Parameter!$D$53:$E$77,2),"")</f>
        <v>RENDAH</v>
      </c>
      <c r="U200" s="130"/>
      <c r="V200" s="124" t="s">
        <v>386</v>
      </c>
      <c r="W200" s="124" t="s">
        <v>386</v>
      </c>
      <c r="X200" s="124" t="s">
        <v>386</v>
      </c>
      <c r="Y200" s="124" t="s">
        <v>267</v>
      </c>
      <c r="Z200" s="124"/>
      <c r="AA200" s="126" t="s">
        <v>386</v>
      </c>
      <c r="AB200" s="111" t="s">
        <v>386</v>
      </c>
      <c r="AC200" s="156">
        <v>46387</v>
      </c>
      <c r="AD200" s="163">
        <v>46102</v>
      </c>
      <c r="AE200" s="115" t="s">
        <v>386</v>
      </c>
      <c r="AF200" s="163"/>
      <c r="AG200" s="115"/>
      <c r="AH200" s="163"/>
      <c r="AI200" s="115"/>
      <c r="AJ200" s="163"/>
      <c r="AK200" s="115"/>
      <c r="AL200" s="169">
        <f t="shared" si="28"/>
        <v>1</v>
      </c>
      <c r="AM200" s="112">
        <f t="shared" si="29"/>
        <v>1</v>
      </c>
      <c r="AN200" s="171">
        <f t="shared" si="24"/>
        <v>1</v>
      </c>
      <c r="AO200" s="150" t="str">
        <f>_xlfn.IFNA(VLOOKUP(AN200,Parameter!$D$53:$E$77,2),"")</f>
        <v>RENDAH</v>
      </c>
      <c r="AP200" s="167" t="s">
        <v>379</v>
      </c>
      <c r="AQ200" s="116"/>
    </row>
    <row r="201" spans="1:43" ht="126" x14ac:dyDescent="0.3">
      <c r="A201" s="114" t="s">
        <v>48</v>
      </c>
      <c r="B201" s="112">
        <f t="shared" si="12"/>
        <v>187</v>
      </c>
      <c r="C201" s="124" t="s">
        <v>1232</v>
      </c>
      <c r="D201" s="169" t="s">
        <v>767</v>
      </c>
      <c r="E201" s="176" t="s">
        <v>256</v>
      </c>
      <c r="F201" s="118" t="s">
        <v>367</v>
      </c>
      <c r="G201" s="117" t="s">
        <v>377</v>
      </c>
      <c r="H201" s="173" t="s">
        <v>50</v>
      </c>
      <c r="I201" s="127"/>
      <c r="J201" s="113"/>
      <c r="K201" s="113"/>
      <c r="L201" s="113"/>
      <c r="M201" s="113"/>
      <c r="N201" s="117" t="s">
        <v>385</v>
      </c>
      <c r="O201" s="120"/>
      <c r="P201" s="119"/>
      <c r="Q201" s="112">
        <v>1</v>
      </c>
      <c r="R201" s="112">
        <v>1</v>
      </c>
      <c r="S201" s="147">
        <f t="shared" ref="S201:S227" si="30">Q201*R201</f>
        <v>1</v>
      </c>
      <c r="T201" s="150" t="str">
        <f>_xlfn.IFNA(VLOOKUP(S201,Parameter!$D$53:$E$77,2),"")</f>
        <v>RENDAH</v>
      </c>
      <c r="U201" s="130"/>
      <c r="V201" s="124" t="s">
        <v>386</v>
      </c>
      <c r="W201" s="124" t="s">
        <v>386</v>
      </c>
      <c r="X201" s="124" t="s">
        <v>386</v>
      </c>
      <c r="Y201" s="124" t="s">
        <v>267</v>
      </c>
      <c r="Z201" s="124"/>
      <c r="AA201" s="126" t="s">
        <v>386</v>
      </c>
      <c r="AB201" s="111" t="s">
        <v>386</v>
      </c>
      <c r="AC201" s="156">
        <v>46387</v>
      </c>
      <c r="AD201" s="163">
        <v>46102</v>
      </c>
      <c r="AE201" s="115" t="s">
        <v>386</v>
      </c>
      <c r="AF201" s="163"/>
      <c r="AG201" s="115"/>
      <c r="AH201" s="163"/>
      <c r="AI201" s="115"/>
      <c r="AJ201" s="163"/>
      <c r="AK201" s="115"/>
      <c r="AL201" s="169">
        <f t="shared" si="28"/>
        <v>1</v>
      </c>
      <c r="AM201" s="112">
        <f t="shared" si="29"/>
        <v>1</v>
      </c>
      <c r="AN201" s="171">
        <f t="shared" ref="AN201:AN227" si="31">AL201*AM201</f>
        <v>1</v>
      </c>
      <c r="AO201" s="150" t="str">
        <f>_xlfn.IFNA(VLOOKUP(AN201,Parameter!$D$53:$E$77,2),"")</f>
        <v>RENDAH</v>
      </c>
      <c r="AP201" s="167" t="s">
        <v>379</v>
      </c>
      <c r="AQ201" s="116"/>
    </row>
    <row r="202" spans="1:43" ht="252" hidden="1" x14ac:dyDescent="0.3">
      <c r="A202" s="114" t="s">
        <v>48</v>
      </c>
      <c r="B202" s="112">
        <f t="shared" si="12"/>
        <v>188</v>
      </c>
      <c r="C202" s="124" t="s">
        <v>948</v>
      </c>
      <c r="D202" s="169" t="s">
        <v>343</v>
      </c>
      <c r="E202" s="176" t="s">
        <v>256</v>
      </c>
      <c r="F202" s="118" t="s">
        <v>368</v>
      </c>
      <c r="G202" s="117" t="s">
        <v>49</v>
      </c>
      <c r="H202" s="173" t="s">
        <v>50</v>
      </c>
      <c r="I202" s="127" t="s">
        <v>949</v>
      </c>
      <c r="J202" s="113" t="s">
        <v>950</v>
      </c>
      <c r="K202" s="113" t="s">
        <v>951</v>
      </c>
      <c r="L202" s="113" t="s">
        <v>952</v>
      </c>
      <c r="M202" s="113" t="s">
        <v>953</v>
      </c>
      <c r="N202" s="117" t="s">
        <v>384</v>
      </c>
      <c r="O202" s="120" t="s">
        <v>954</v>
      </c>
      <c r="P202" s="119" t="s">
        <v>1030</v>
      </c>
      <c r="Q202" s="112">
        <v>4</v>
      </c>
      <c r="R202" s="112">
        <v>3</v>
      </c>
      <c r="S202" s="147">
        <f t="shared" si="30"/>
        <v>12</v>
      </c>
      <c r="T202" s="150" t="str">
        <f>_xlfn.IFNA(VLOOKUP(S202,Parameter!$D$53:$E$77,2),"")</f>
        <v>SEDANG</v>
      </c>
      <c r="U202" s="130" t="s">
        <v>955</v>
      </c>
      <c r="V202" s="124" t="s">
        <v>956</v>
      </c>
      <c r="W202" s="124" t="s">
        <v>957</v>
      </c>
      <c r="X202" s="124" t="s">
        <v>958</v>
      </c>
      <c r="Y202" s="124" t="s">
        <v>337</v>
      </c>
      <c r="Z202" s="124"/>
      <c r="AA202" s="126" t="s">
        <v>961</v>
      </c>
      <c r="AB202" s="111" t="s">
        <v>960</v>
      </c>
      <c r="AC202" s="156">
        <v>46387</v>
      </c>
      <c r="AD202" s="163">
        <v>46102</v>
      </c>
      <c r="AE202" s="115" t="s">
        <v>959</v>
      </c>
      <c r="AF202" s="163"/>
      <c r="AG202" s="115"/>
      <c r="AH202" s="163"/>
      <c r="AI202" s="115"/>
      <c r="AJ202" s="163"/>
      <c r="AK202" s="115"/>
      <c r="AL202" s="169">
        <f t="shared" si="28"/>
        <v>4</v>
      </c>
      <c r="AM202" s="112">
        <f t="shared" si="29"/>
        <v>3</v>
      </c>
      <c r="AN202" s="171">
        <f t="shared" si="31"/>
        <v>12</v>
      </c>
      <c r="AO202" s="150" t="str">
        <f>_xlfn.IFNA(VLOOKUP(AN202,Parameter!$D$53:$E$77,2),"")</f>
        <v>SEDANG</v>
      </c>
      <c r="AP202" s="167" t="s">
        <v>379</v>
      </c>
      <c r="AQ202" s="116"/>
    </row>
    <row r="203" spans="1:43" ht="108" hidden="1" x14ac:dyDescent="0.3">
      <c r="A203" s="114" t="s">
        <v>48</v>
      </c>
      <c r="B203" s="112">
        <f t="shared" si="12"/>
        <v>189</v>
      </c>
      <c r="C203" s="124" t="s">
        <v>414</v>
      </c>
      <c r="D203" s="169" t="s">
        <v>291</v>
      </c>
      <c r="E203" s="176" t="s">
        <v>52</v>
      </c>
      <c r="F203" s="118" t="s">
        <v>368</v>
      </c>
      <c r="G203" s="117" t="s">
        <v>49</v>
      </c>
      <c r="H203" s="173" t="s">
        <v>50</v>
      </c>
      <c r="I203" s="127" t="s">
        <v>415</v>
      </c>
      <c r="J203" s="113" t="s">
        <v>416</v>
      </c>
      <c r="K203" s="113" t="s">
        <v>417</v>
      </c>
      <c r="L203" s="113" t="s">
        <v>418</v>
      </c>
      <c r="M203" s="113" t="s">
        <v>419</v>
      </c>
      <c r="N203" s="117" t="s">
        <v>385</v>
      </c>
      <c r="O203" s="120" t="s">
        <v>406</v>
      </c>
      <c r="P203" s="119" t="s">
        <v>420</v>
      </c>
      <c r="Q203" s="112">
        <v>4</v>
      </c>
      <c r="R203" s="112">
        <v>4</v>
      </c>
      <c r="S203" s="147">
        <f t="shared" si="30"/>
        <v>16</v>
      </c>
      <c r="T203" s="150" t="str">
        <f>_xlfn.IFNA(VLOOKUP(S203,Parameter!$D$53:$E$77,2),"")</f>
        <v>SEDANG-TINGGI</v>
      </c>
      <c r="U203" s="130" t="s">
        <v>421</v>
      </c>
      <c r="V203" s="124" t="s">
        <v>422</v>
      </c>
      <c r="W203" s="124" t="s">
        <v>423</v>
      </c>
      <c r="X203" s="124" t="s">
        <v>424</v>
      </c>
      <c r="Y203" s="124" t="s">
        <v>290</v>
      </c>
      <c r="Z203" s="124"/>
      <c r="AA203" s="126" t="s">
        <v>426</v>
      </c>
      <c r="AB203" s="111" t="s">
        <v>294</v>
      </c>
      <c r="AC203" s="156">
        <v>46387</v>
      </c>
      <c r="AD203" s="163">
        <v>46102</v>
      </c>
      <c r="AE203" s="115" t="s">
        <v>425</v>
      </c>
      <c r="AF203" s="163"/>
      <c r="AG203" s="115"/>
      <c r="AH203" s="163"/>
      <c r="AI203" s="115"/>
      <c r="AJ203" s="163"/>
      <c r="AK203" s="115"/>
      <c r="AL203" s="169">
        <f t="shared" si="28"/>
        <v>4</v>
      </c>
      <c r="AM203" s="112">
        <f t="shared" si="29"/>
        <v>4</v>
      </c>
      <c r="AN203" s="171">
        <f t="shared" si="31"/>
        <v>16</v>
      </c>
      <c r="AO203" s="150" t="str">
        <f>_xlfn.IFNA(VLOOKUP(AN203,Parameter!$D$53:$E$77,2),"")</f>
        <v>SEDANG-TINGGI</v>
      </c>
      <c r="AP203" s="167" t="s">
        <v>379</v>
      </c>
      <c r="AQ203" s="116"/>
    </row>
    <row r="204" spans="1:43" ht="126" hidden="1" x14ac:dyDescent="0.3">
      <c r="A204" s="114" t="s">
        <v>48</v>
      </c>
      <c r="B204" s="112">
        <f t="shared" si="12"/>
        <v>190</v>
      </c>
      <c r="C204" s="124" t="s">
        <v>427</v>
      </c>
      <c r="D204" s="169" t="s">
        <v>291</v>
      </c>
      <c r="E204" s="176" t="s">
        <v>52</v>
      </c>
      <c r="F204" s="118" t="s">
        <v>368</v>
      </c>
      <c r="G204" s="117" t="s">
        <v>49</v>
      </c>
      <c r="H204" s="173" t="s">
        <v>50</v>
      </c>
      <c r="I204" s="127" t="s">
        <v>428</v>
      </c>
      <c r="J204" s="113" t="s">
        <v>429</v>
      </c>
      <c r="K204" s="113" t="s">
        <v>430</v>
      </c>
      <c r="L204" s="113" t="s">
        <v>431</v>
      </c>
      <c r="M204" s="113" t="s">
        <v>432</v>
      </c>
      <c r="N204" s="117" t="s">
        <v>385</v>
      </c>
      <c r="O204" s="120" t="s">
        <v>406</v>
      </c>
      <c r="P204" s="119" t="s">
        <v>433</v>
      </c>
      <c r="Q204" s="112">
        <v>4</v>
      </c>
      <c r="R204" s="112">
        <v>3</v>
      </c>
      <c r="S204" s="147">
        <f t="shared" si="30"/>
        <v>12</v>
      </c>
      <c r="T204" s="150" t="str">
        <f>_xlfn.IFNA(VLOOKUP(S204,Parameter!$D$53:$E$77,2),"")</f>
        <v>SEDANG</v>
      </c>
      <c r="U204" s="130" t="s">
        <v>434</v>
      </c>
      <c r="V204" s="124" t="s">
        <v>435</v>
      </c>
      <c r="W204" s="124" t="s">
        <v>436</v>
      </c>
      <c r="X204" s="124" t="s">
        <v>437</v>
      </c>
      <c r="Y204" s="124" t="s">
        <v>290</v>
      </c>
      <c r="Z204" s="124"/>
      <c r="AA204" s="126" t="s">
        <v>439</v>
      </c>
      <c r="AB204" s="111" t="s">
        <v>294</v>
      </c>
      <c r="AC204" s="156">
        <v>46387</v>
      </c>
      <c r="AD204" s="163">
        <v>46102</v>
      </c>
      <c r="AE204" s="115" t="s">
        <v>438</v>
      </c>
      <c r="AF204" s="163"/>
      <c r="AG204" s="115"/>
      <c r="AH204" s="163"/>
      <c r="AI204" s="115"/>
      <c r="AJ204" s="163"/>
      <c r="AK204" s="115"/>
      <c r="AL204" s="169">
        <v>3</v>
      </c>
      <c r="AM204" s="112">
        <f t="shared" ref="AM204:AM211" si="32">R204</f>
        <v>3</v>
      </c>
      <c r="AN204" s="171">
        <f t="shared" si="31"/>
        <v>9</v>
      </c>
      <c r="AO204" s="150" t="str">
        <f>_xlfn.IFNA(VLOOKUP(AN204,Parameter!$D$53:$E$77,2),"")</f>
        <v>SEDANG-RENDAH</v>
      </c>
      <c r="AP204" s="167" t="s">
        <v>379</v>
      </c>
      <c r="AQ204" s="116"/>
    </row>
    <row r="205" spans="1:43" ht="126" hidden="1" x14ac:dyDescent="0.3">
      <c r="A205" s="114" t="s">
        <v>48</v>
      </c>
      <c r="B205" s="112">
        <f t="shared" si="12"/>
        <v>191</v>
      </c>
      <c r="C205" s="124" t="s">
        <v>452</v>
      </c>
      <c r="D205" s="169" t="s">
        <v>291</v>
      </c>
      <c r="E205" s="176" t="s">
        <v>52</v>
      </c>
      <c r="F205" s="118" t="s">
        <v>368</v>
      </c>
      <c r="G205" s="117" t="s">
        <v>49</v>
      </c>
      <c r="H205" s="173" t="s">
        <v>50</v>
      </c>
      <c r="I205" s="127" t="s">
        <v>453</v>
      </c>
      <c r="J205" s="113" t="s">
        <v>454</v>
      </c>
      <c r="K205" s="113" t="s">
        <v>455</v>
      </c>
      <c r="L205" s="113" t="s">
        <v>456</v>
      </c>
      <c r="M205" s="113" t="s">
        <v>457</v>
      </c>
      <c r="N205" s="117" t="s">
        <v>382</v>
      </c>
      <c r="O205" s="120" t="s">
        <v>406</v>
      </c>
      <c r="P205" s="119" t="s">
        <v>458</v>
      </c>
      <c r="Q205" s="112">
        <v>4</v>
      </c>
      <c r="R205" s="112">
        <v>3</v>
      </c>
      <c r="S205" s="147">
        <f t="shared" si="30"/>
        <v>12</v>
      </c>
      <c r="T205" s="150" t="str">
        <f>_xlfn.IFNA(VLOOKUP(S205,Parameter!$D$53:$E$77,2),"")</f>
        <v>SEDANG</v>
      </c>
      <c r="U205" s="130" t="s">
        <v>459</v>
      </c>
      <c r="V205" s="124" t="s">
        <v>422</v>
      </c>
      <c r="W205" s="124" t="s">
        <v>460</v>
      </c>
      <c r="X205" s="124" t="s">
        <v>461</v>
      </c>
      <c r="Y205" s="124" t="s">
        <v>290</v>
      </c>
      <c r="Z205" s="124"/>
      <c r="AA205" s="126" t="s">
        <v>462</v>
      </c>
      <c r="AB205" s="111" t="s">
        <v>294</v>
      </c>
      <c r="AC205" s="156">
        <v>46387</v>
      </c>
      <c r="AD205" s="163">
        <v>46102</v>
      </c>
      <c r="AE205" s="115" t="s">
        <v>463</v>
      </c>
      <c r="AF205" s="163"/>
      <c r="AG205" s="115"/>
      <c r="AH205" s="163"/>
      <c r="AI205" s="115"/>
      <c r="AJ205" s="163"/>
      <c r="AK205" s="115"/>
      <c r="AL205" s="169">
        <f t="shared" ref="AL205:AL211" si="33">Q205</f>
        <v>4</v>
      </c>
      <c r="AM205" s="112">
        <f t="shared" si="32"/>
        <v>3</v>
      </c>
      <c r="AN205" s="171">
        <f t="shared" si="31"/>
        <v>12</v>
      </c>
      <c r="AO205" s="150" t="str">
        <f>_xlfn.IFNA(VLOOKUP(AN205,Parameter!$D$53:$E$77,2),"")</f>
        <v>SEDANG</v>
      </c>
      <c r="AP205" s="167" t="s">
        <v>379</v>
      </c>
      <c r="AQ205" s="116"/>
    </row>
    <row r="206" spans="1:43" ht="306" hidden="1" x14ac:dyDescent="0.3">
      <c r="A206" s="114" t="s">
        <v>48</v>
      </c>
      <c r="B206" s="112">
        <f t="shared" ref="B206:B232" si="34">ROW()-ROW($B$14)</f>
        <v>192</v>
      </c>
      <c r="C206" s="124" t="s">
        <v>1321</v>
      </c>
      <c r="D206" s="169" t="s">
        <v>291</v>
      </c>
      <c r="E206" s="176" t="s">
        <v>256</v>
      </c>
      <c r="F206" s="118" t="s">
        <v>368</v>
      </c>
      <c r="G206" s="117" t="s">
        <v>377</v>
      </c>
      <c r="H206" s="173" t="s">
        <v>50</v>
      </c>
      <c r="I206" s="127" t="s">
        <v>1322</v>
      </c>
      <c r="J206" s="113" t="s">
        <v>1323</v>
      </c>
      <c r="K206" s="113" t="s">
        <v>1324</v>
      </c>
      <c r="L206" s="113" t="s">
        <v>1325</v>
      </c>
      <c r="M206" s="113" t="s">
        <v>1326</v>
      </c>
      <c r="N206" s="117" t="s">
        <v>382</v>
      </c>
      <c r="O206" s="120" t="s">
        <v>1327</v>
      </c>
      <c r="P206" s="119" t="s">
        <v>1328</v>
      </c>
      <c r="Q206" s="112">
        <v>3</v>
      </c>
      <c r="R206" s="112">
        <v>3</v>
      </c>
      <c r="S206" s="147">
        <f t="shared" si="30"/>
        <v>9</v>
      </c>
      <c r="T206" s="150" t="str">
        <f>_xlfn.IFNA(VLOOKUP(S206,Parameter!$D$53:$E$77,2),"")</f>
        <v>SEDANG-RENDAH</v>
      </c>
      <c r="U206" s="130" t="s">
        <v>1329</v>
      </c>
      <c r="V206" s="124" t="s">
        <v>1330</v>
      </c>
      <c r="W206" s="124" t="s">
        <v>1331</v>
      </c>
      <c r="X206" s="124" t="s">
        <v>1332</v>
      </c>
      <c r="Y206" s="124" t="s">
        <v>290</v>
      </c>
      <c r="Z206" s="124"/>
      <c r="AA206" s="126" t="s">
        <v>1335</v>
      </c>
      <c r="AB206" s="111" t="s">
        <v>1334</v>
      </c>
      <c r="AC206" s="156">
        <v>46387</v>
      </c>
      <c r="AD206" s="163">
        <v>46102</v>
      </c>
      <c r="AE206" s="115" t="s">
        <v>1333</v>
      </c>
      <c r="AF206" s="163"/>
      <c r="AG206" s="115"/>
      <c r="AH206" s="163"/>
      <c r="AI206" s="115"/>
      <c r="AJ206" s="163"/>
      <c r="AK206" s="115"/>
      <c r="AL206" s="169">
        <f t="shared" si="33"/>
        <v>3</v>
      </c>
      <c r="AM206" s="112">
        <f t="shared" si="32"/>
        <v>3</v>
      </c>
      <c r="AN206" s="171">
        <f t="shared" si="31"/>
        <v>9</v>
      </c>
      <c r="AO206" s="150" t="str">
        <f>_xlfn.IFNA(VLOOKUP(AN206,Parameter!$D$53:$E$77,2),"")</f>
        <v>SEDANG-RENDAH</v>
      </c>
      <c r="AP206" s="167" t="s">
        <v>379</v>
      </c>
      <c r="AQ206" s="116"/>
    </row>
    <row r="207" spans="1:43" ht="342" hidden="1" x14ac:dyDescent="0.3">
      <c r="A207" s="114" t="s">
        <v>48</v>
      </c>
      <c r="B207" s="112">
        <f t="shared" si="34"/>
        <v>193</v>
      </c>
      <c r="C207" s="124" t="s">
        <v>1406</v>
      </c>
      <c r="D207" s="169" t="s">
        <v>291</v>
      </c>
      <c r="E207" s="176" t="s">
        <v>256</v>
      </c>
      <c r="F207" s="118" t="s">
        <v>368</v>
      </c>
      <c r="G207" s="117" t="s">
        <v>49</v>
      </c>
      <c r="H207" s="173" t="s">
        <v>50</v>
      </c>
      <c r="I207" s="127" t="s">
        <v>1407</v>
      </c>
      <c r="J207" s="113" t="s">
        <v>1408</v>
      </c>
      <c r="K207" s="113" t="s">
        <v>1409</v>
      </c>
      <c r="L207" s="113" t="s">
        <v>1410</v>
      </c>
      <c r="M207" s="113" t="s">
        <v>1411</v>
      </c>
      <c r="N207" s="117" t="s">
        <v>382</v>
      </c>
      <c r="O207" s="120" t="s">
        <v>485</v>
      </c>
      <c r="P207" s="119" t="s">
        <v>1412</v>
      </c>
      <c r="Q207" s="112">
        <v>4</v>
      </c>
      <c r="R207" s="112">
        <v>4</v>
      </c>
      <c r="S207" s="147">
        <f t="shared" si="30"/>
        <v>16</v>
      </c>
      <c r="T207" s="150" t="str">
        <f>_xlfn.IFNA(VLOOKUP(S207,Parameter!$D$53:$E$77,2),"")</f>
        <v>SEDANG-TINGGI</v>
      </c>
      <c r="U207" s="130" t="s">
        <v>1413</v>
      </c>
      <c r="V207" s="124" t="s">
        <v>1414</v>
      </c>
      <c r="W207" s="124" t="s">
        <v>1415</v>
      </c>
      <c r="X207" s="124" t="s">
        <v>1416</v>
      </c>
      <c r="Y207" s="124" t="s">
        <v>290</v>
      </c>
      <c r="Z207" s="124" t="s">
        <v>747</v>
      </c>
      <c r="AA207" s="126" t="s">
        <v>1418</v>
      </c>
      <c r="AB207" s="111" t="s">
        <v>1319</v>
      </c>
      <c r="AC207" s="156">
        <v>46387</v>
      </c>
      <c r="AD207" s="163">
        <v>46102</v>
      </c>
      <c r="AE207" s="115" t="s">
        <v>1417</v>
      </c>
      <c r="AF207" s="163"/>
      <c r="AG207" s="115"/>
      <c r="AH207" s="163"/>
      <c r="AI207" s="115"/>
      <c r="AJ207" s="163"/>
      <c r="AK207" s="115"/>
      <c r="AL207" s="169">
        <f t="shared" si="33"/>
        <v>4</v>
      </c>
      <c r="AM207" s="112">
        <f t="shared" si="32"/>
        <v>4</v>
      </c>
      <c r="AN207" s="171">
        <f t="shared" si="31"/>
        <v>16</v>
      </c>
      <c r="AO207" s="150" t="str">
        <f>_xlfn.IFNA(VLOOKUP(AN207,Parameter!$D$53:$E$77,2),"")</f>
        <v>SEDANG-TINGGI</v>
      </c>
      <c r="AP207" s="167" t="s">
        <v>379</v>
      </c>
      <c r="AQ207" s="116"/>
    </row>
    <row r="208" spans="1:43" ht="378" hidden="1" x14ac:dyDescent="0.3">
      <c r="A208" s="114" t="s">
        <v>48</v>
      </c>
      <c r="B208" s="112">
        <f t="shared" si="34"/>
        <v>194</v>
      </c>
      <c r="C208" s="124" t="s">
        <v>1572</v>
      </c>
      <c r="D208" s="169" t="s">
        <v>311</v>
      </c>
      <c r="E208" s="176" t="s">
        <v>57</v>
      </c>
      <c r="F208" s="118" t="s">
        <v>368</v>
      </c>
      <c r="G208" s="117" t="s">
        <v>377</v>
      </c>
      <c r="H208" s="173" t="s">
        <v>50</v>
      </c>
      <c r="I208" s="127" t="s">
        <v>1560</v>
      </c>
      <c r="J208" s="113" t="s">
        <v>1561</v>
      </c>
      <c r="K208" s="113" t="s">
        <v>1562</v>
      </c>
      <c r="L208" s="113" t="s">
        <v>1563</v>
      </c>
      <c r="M208" s="113" t="s">
        <v>1564</v>
      </c>
      <c r="N208" s="117" t="s">
        <v>385</v>
      </c>
      <c r="O208" s="120" t="s">
        <v>485</v>
      </c>
      <c r="P208" s="119" t="s">
        <v>1565</v>
      </c>
      <c r="Q208" s="112">
        <v>4</v>
      </c>
      <c r="R208" s="112">
        <v>3</v>
      </c>
      <c r="S208" s="147">
        <f t="shared" si="30"/>
        <v>12</v>
      </c>
      <c r="T208" s="150" t="str">
        <f>_xlfn.IFNA(VLOOKUP(S208,Parameter!$D$53:$E$77,2),"")</f>
        <v>SEDANG</v>
      </c>
      <c r="U208" s="130" t="s">
        <v>1566</v>
      </c>
      <c r="V208" s="124" t="s">
        <v>1567</v>
      </c>
      <c r="W208" s="124" t="s">
        <v>1568</v>
      </c>
      <c r="X208" s="124" t="s">
        <v>1569</v>
      </c>
      <c r="Y208" s="124" t="s">
        <v>310</v>
      </c>
      <c r="Z208" s="124" t="s">
        <v>747</v>
      </c>
      <c r="AA208" s="126" t="s">
        <v>1573</v>
      </c>
      <c r="AB208" s="111" t="s">
        <v>1571</v>
      </c>
      <c r="AC208" s="156">
        <v>46387</v>
      </c>
      <c r="AD208" s="163">
        <v>46102</v>
      </c>
      <c r="AE208" s="115" t="s">
        <v>1570</v>
      </c>
      <c r="AF208" s="163"/>
      <c r="AG208" s="115"/>
      <c r="AH208" s="163"/>
      <c r="AI208" s="115"/>
      <c r="AJ208" s="163"/>
      <c r="AK208" s="115"/>
      <c r="AL208" s="169">
        <f t="shared" si="33"/>
        <v>4</v>
      </c>
      <c r="AM208" s="112">
        <f t="shared" si="32"/>
        <v>3</v>
      </c>
      <c r="AN208" s="171">
        <f t="shared" si="31"/>
        <v>12</v>
      </c>
      <c r="AO208" s="150" t="str">
        <f>_xlfn.IFNA(VLOOKUP(AN208,Parameter!$D$53:$E$77,2),"")</f>
        <v>SEDANG</v>
      </c>
      <c r="AP208" s="167" t="s">
        <v>379</v>
      </c>
      <c r="AQ208" s="116"/>
    </row>
    <row r="209" spans="1:43" ht="306" hidden="1" x14ac:dyDescent="0.3">
      <c r="A209" s="114" t="s">
        <v>48</v>
      </c>
      <c r="B209" s="112">
        <f t="shared" si="34"/>
        <v>195</v>
      </c>
      <c r="C209" s="124" t="s">
        <v>1533</v>
      </c>
      <c r="D209" s="169" t="s">
        <v>354</v>
      </c>
      <c r="E209" s="176" t="s">
        <v>52</v>
      </c>
      <c r="F209" s="118" t="s">
        <v>368</v>
      </c>
      <c r="G209" s="117" t="s">
        <v>49</v>
      </c>
      <c r="H209" s="173" t="s">
        <v>50</v>
      </c>
      <c r="I209" s="126" t="s">
        <v>1534</v>
      </c>
      <c r="J209" s="111" t="s">
        <v>1535</v>
      </c>
      <c r="K209" s="111" t="s">
        <v>1536</v>
      </c>
      <c r="L209" s="111" t="s">
        <v>1537</v>
      </c>
      <c r="M209" s="111" t="s">
        <v>1538</v>
      </c>
      <c r="N209" s="117" t="s">
        <v>385</v>
      </c>
      <c r="O209" s="120" t="s">
        <v>485</v>
      </c>
      <c r="P209" s="119" t="s">
        <v>1267</v>
      </c>
      <c r="Q209" s="112">
        <v>4</v>
      </c>
      <c r="R209" s="112">
        <v>5</v>
      </c>
      <c r="S209" s="117">
        <f t="shared" si="30"/>
        <v>20</v>
      </c>
      <c r="T209" s="150" t="str">
        <f>_xlfn.IFNA(VLOOKUP(S209,Parameter!$D$53:$E$77,2),"")</f>
        <v>TINGGI</v>
      </c>
      <c r="U209" s="130" t="s">
        <v>1539</v>
      </c>
      <c r="V209" s="124" t="s">
        <v>1540</v>
      </c>
      <c r="W209" s="124" t="s">
        <v>1541</v>
      </c>
      <c r="X209" s="124" t="s">
        <v>1542</v>
      </c>
      <c r="Y209" s="124" t="s">
        <v>747</v>
      </c>
      <c r="Z209" s="124"/>
      <c r="AA209" s="126" t="s">
        <v>1545</v>
      </c>
      <c r="AB209" s="111" t="s">
        <v>1544</v>
      </c>
      <c r="AC209" s="156">
        <v>46387</v>
      </c>
      <c r="AD209" s="163">
        <v>46102</v>
      </c>
      <c r="AE209" s="115" t="s">
        <v>1543</v>
      </c>
      <c r="AF209" s="163"/>
      <c r="AG209" s="115"/>
      <c r="AH209" s="163"/>
      <c r="AI209" s="115"/>
      <c r="AJ209" s="163"/>
      <c r="AK209" s="115"/>
      <c r="AL209" s="169">
        <f t="shared" si="33"/>
        <v>4</v>
      </c>
      <c r="AM209" s="112">
        <f t="shared" si="32"/>
        <v>5</v>
      </c>
      <c r="AN209" s="147">
        <f t="shared" si="31"/>
        <v>20</v>
      </c>
      <c r="AO209" s="150" t="str">
        <f>_xlfn.IFNA(VLOOKUP(AN209,Parameter!$D$53:$E$77,2),"")</f>
        <v>TINGGI</v>
      </c>
      <c r="AP209" s="167" t="s">
        <v>379</v>
      </c>
      <c r="AQ209" s="115"/>
    </row>
    <row r="210" spans="1:43" ht="288" hidden="1" x14ac:dyDescent="0.3">
      <c r="A210" s="114" t="s">
        <v>48</v>
      </c>
      <c r="B210" s="112">
        <f t="shared" si="34"/>
        <v>196</v>
      </c>
      <c r="C210" s="124" t="s">
        <v>1241</v>
      </c>
      <c r="D210" s="169" t="s">
        <v>354</v>
      </c>
      <c r="E210" s="176" t="s">
        <v>256</v>
      </c>
      <c r="F210" s="118" t="s">
        <v>367</v>
      </c>
      <c r="G210" s="117" t="s">
        <v>377</v>
      </c>
      <c r="H210" s="173" t="s">
        <v>190</v>
      </c>
      <c r="I210" s="127" t="s">
        <v>1262</v>
      </c>
      <c r="J210" s="113" t="s">
        <v>1263</v>
      </c>
      <c r="K210" s="113" t="s">
        <v>1264</v>
      </c>
      <c r="L210" s="113" t="s">
        <v>1265</v>
      </c>
      <c r="M210" s="113" t="s">
        <v>1266</v>
      </c>
      <c r="N210" s="117" t="s">
        <v>385</v>
      </c>
      <c r="O210" s="120" t="s">
        <v>1254</v>
      </c>
      <c r="P210" s="119" t="s">
        <v>1267</v>
      </c>
      <c r="Q210" s="112">
        <v>4</v>
      </c>
      <c r="R210" s="112">
        <v>3</v>
      </c>
      <c r="S210" s="147">
        <f t="shared" si="30"/>
        <v>12</v>
      </c>
      <c r="T210" s="150" t="str">
        <f>_xlfn.IFNA(VLOOKUP(S210,Parameter!$D$53:$E$77,2),"")</f>
        <v>SEDANG</v>
      </c>
      <c r="U210" s="130" t="s">
        <v>1268</v>
      </c>
      <c r="V210" s="124" t="s">
        <v>1269</v>
      </c>
      <c r="W210" s="124" t="s">
        <v>1270</v>
      </c>
      <c r="X210" s="124" t="s">
        <v>1271</v>
      </c>
      <c r="Y210" s="124" t="s">
        <v>747</v>
      </c>
      <c r="Z210" s="124"/>
      <c r="AA210" s="126" t="s">
        <v>1274</v>
      </c>
      <c r="AB210" s="145" t="s">
        <v>1272</v>
      </c>
      <c r="AC210" s="156">
        <v>46387</v>
      </c>
      <c r="AD210" s="163">
        <v>46102</v>
      </c>
      <c r="AE210" s="115" t="s">
        <v>1273</v>
      </c>
      <c r="AF210" s="163"/>
      <c r="AG210" s="115"/>
      <c r="AH210" s="163"/>
      <c r="AI210" s="115"/>
      <c r="AJ210" s="163"/>
      <c r="AK210" s="115"/>
      <c r="AL210" s="169">
        <f t="shared" si="33"/>
        <v>4</v>
      </c>
      <c r="AM210" s="112">
        <f t="shared" si="32"/>
        <v>3</v>
      </c>
      <c r="AN210" s="171">
        <f t="shared" si="31"/>
        <v>12</v>
      </c>
      <c r="AO210" s="150" t="str">
        <f>_xlfn.IFNA(VLOOKUP(AN210,Parameter!$D$53:$E$77,2),"")</f>
        <v>SEDANG</v>
      </c>
      <c r="AP210" s="167" t="s">
        <v>379</v>
      </c>
      <c r="AQ210" s="116"/>
    </row>
    <row r="211" spans="1:43" ht="342" hidden="1" x14ac:dyDescent="0.3">
      <c r="A211" s="114" t="s">
        <v>48</v>
      </c>
      <c r="B211" s="112">
        <f t="shared" si="34"/>
        <v>197</v>
      </c>
      <c r="C211" s="124" t="s">
        <v>1546</v>
      </c>
      <c r="D211" s="169" t="s">
        <v>296</v>
      </c>
      <c r="E211" s="176" t="s">
        <v>256</v>
      </c>
      <c r="F211" s="118" t="s">
        <v>368</v>
      </c>
      <c r="G211" s="117" t="s">
        <v>49</v>
      </c>
      <c r="H211" s="173" t="s">
        <v>50</v>
      </c>
      <c r="I211" s="127" t="s">
        <v>1547</v>
      </c>
      <c r="J211" s="113" t="s">
        <v>1548</v>
      </c>
      <c r="K211" s="113" t="s">
        <v>1549</v>
      </c>
      <c r="L211" s="113" t="s">
        <v>1550</v>
      </c>
      <c r="M211" s="113" t="s">
        <v>1551</v>
      </c>
      <c r="N211" s="117" t="s">
        <v>384</v>
      </c>
      <c r="O211" s="120" t="s">
        <v>485</v>
      </c>
      <c r="P211" s="119" t="s">
        <v>1552</v>
      </c>
      <c r="Q211" s="112">
        <v>4</v>
      </c>
      <c r="R211" s="112">
        <v>4</v>
      </c>
      <c r="S211" s="147">
        <f t="shared" si="30"/>
        <v>16</v>
      </c>
      <c r="T211" s="150" t="str">
        <f>_xlfn.IFNA(VLOOKUP(S211,Parameter!$D$53:$E$77,2),"")</f>
        <v>SEDANG-TINGGI</v>
      </c>
      <c r="U211" s="130" t="s">
        <v>1553</v>
      </c>
      <c r="V211" s="124" t="s">
        <v>1554</v>
      </c>
      <c r="W211" s="124" t="s">
        <v>1555</v>
      </c>
      <c r="X211" s="124" t="s">
        <v>1556</v>
      </c>
      <c r="Y211" s="124" t="s">
        <v>297</v>
      </c>
      <c r="Z211" s="124" t="s">
        <v>747</v>
      </c>
      <c r="AA211" s="126" t="s">
        <v>1559</v>
      </c>
      <c r="AB211" s="111" t="s">
        <v>1558</v>
      </c>
      <c r="AC211" s="156">
        <v>46387</v>
      </c>
      <c r="AD211" s="163">
        <v>46102</v>
      </c>
      <c r="AE211" s="115" t="s">
        <v>1557</v>
      </c>
      <c r="AF211" s="163"/>
      <c r="AG211" s="115"/>
      <c r="AH211" s="163"/>
      <c r="AI211" s="115"/>
      <c r="AJ211" s="163"/>
      <c r="AK211" s="115"/>
      <c r="AL211" s="169">
        <f t="shared" si="33"/>
        <v>4</v>
      </c>
      <c r="AM211" s="112">
        <f t="shared" si="32"/>
        <v>4</v>
      </c>
      <c r="AN211" s="171">
        <f t="shared" si="31"/>
        <v>16</v>
      </c>
      <c r="AO211" s="150" t="str">
        <f>_xlfn.IFNA(VLOOKUP(AN211,Parameter!$D$53:$E$77,2),"")</f>
        <v>SEDANG-TINGGI</v>
      </c>
      <c r="AP211" s="167" t="s">
        <v>379</v>
      </c>
      <c r="AQ211" s="116"/>
    </row>
    <row r="212" spans="1:43" ht="306" hidden="1" x14ac:dyDescent="0.3">
      <c r="A212" s="114" t="s">
        <v>48</v>
      </c>
      <c r="B212" s="112">
        <f t="shared" si="34"/>
        <v>198</v>
      </c>
      <c r="C212" s="124" t="s">
        <v>1519</v>
      </c>
      <c r="D212" s="169" t="s">
        <v>338</v>
      </c>
      <c r="E212" s="176" t="s">
        <v>256</v>
      </c>
      <c r="F212" s="118" t="s">
        <v>368</v>
      </c>
      <c r="G212" s="117" t="s">
        <v>49</v>
      </c>
      <c r="H212" s="173" t="s">
        <v>50</v>
      </c>
      <c r="I212" s="127" t="s">
        <v>1520</v>
      </c>
      <c r="J212" s="113" t="s">
        <v>1521</v>
      </c>
      <c r="K212" s="113" t="s">
        <v>1522</v>
      </c>
      <c r="L212" s="113" t="s">
        <v>1523</v>
      </c>
      <c r="M212" s="113" t="s">
        <v>1524</v>
      </c>
      <c r="N212" s="117" t="s">
        <v>384</v>
      </c>
      <c r="O212" s="120" t="s">
        <v>1525</v>
      </c>
      <c r="P212" s="119" t="s">
        <v>934</v>
      </c>
      <c r="Q212" s="112">
        <v>4</v>
      </c>
      <c r="R212" s="112">
        <v>5</v>
      </c>
      <c r="S212" s="147">
        <f t="shared" si="30"/>
        <v>20</v>
      </c>
      <c r="T212" s="150" t="str">
        <f>_xlfn.IFNA(VLOOKUP(S212,Parameter!$D$53:$E$77,2),"")</f>
        <v>TINGGI</v>
      </c>
      <c r="U212" s="130" t="s">
        <v>1526</v>
      </c>
      <c r="V212" s="124" t="s">
        <v>1527</v>
      </c>
      <c r="W212" s="124" t="s">
        <v>1528</v>
      </c>
      <c r="X212" s="124" t="s">
        <v>1529</v>
      </c>
      <c r="Y212" s="124" t="s">
        <v>297</v>
      </c>
      <c r="Z212" s="124"/>
      <c r="AA212" s="126" t="s">
        <v>1531</v>
      </c>
      <c r="AB212" s="145" t="s">
        <v>1532</v>
      </c>
      <c r="AC212" s="156">
        <v>46387</v>
      </c>
      <c r="AD212" s="163">
        <v>46102</v>
      </c>
      <c r="AE212" s="115" t="s">
        <v>1530</v>
      </c>
      <c r="AF212" s="163"/>
      <c r="AG212" s="115"/>
      <c r="AH212" s="163"/>
      <c r="AI212" s="115"/>
      <c r="AJ212" s="163"/>
      <c r="AK212" s="115"/>
      <c r="AL212" s="169">
        <v>4</v>
      </c>
      <c r="AM212" s="112">
        <v>4</v>
      </c>
      <c r="AN212" s="171">
        <f t="shared" si="31"/>
        <v>16</v>
      </c>
      <c r="AO212" s="150" t="str">
        <f>_xlfn.IFNA(VLOOKUP(AN212,Parameter!$D$53:$E$77,2),"")</f>
        <v>SEDANG-TINGGI</v>
      </c>
      <c r="AP212" s="167" t="s">
        <v>379</v>
      </c>
      <c r="AQ212" s="116"/>
    </row>
    <row r="213" spans="1:43" ht="342" hidden="1" x14ac:dyDescent="0.3">
      <c r="A213" s="114" t="s">
        <v>48</v>
      </c>
      <c r="B213" s="112">
        <f t="shared" si="34"/>
        <v>199</v>
      </c>
      <c r="C213" s="124" t="s">
        <v>1504</v>
      </c>
      <c r="D213" s="169" t="s">
        <v>338</v>
      </c>
      <c r="E213" s="176" t="s">
        <v>256</v>
      </c>
      <c r="F213" s="118" t="s">
        <v>373</v>
      </c>
      <c r="G213" s="117" t="s">
        <v>49</v>
      </c>
      <c r="H213" s="173" t="s">
        <v>50</v>
      </c>
      <c r="I213" s="127" t="s">
        <v>1492</v>
      </c>
      <c r="J213" s="113" t="s">
        <v>1493</v>
      </c>
      <c r="K213" s="113" t="s">
        <v>1494</v>
      </c>
      <c r="L213" s="113" t="s">
        <v>1495</v>
      </c>
      <c r="M213" s="113" t="s">
        <v>1496</v>
      </c>
      <c r="N213" s="117" t="s">
        <v>382</v>
      </c>
      <c r="O213" s="120" t="s">
        <v>738</v>
      </c>
      <c r="P213" s="119" t="s">
        <v>1497</v>
      </c>
      <c r="Q213" s="112">
        <v>4</v>
      </c>
      <c r="R213" s="112">
        <v>5</v>
      </c>
      <c r="S213" s="147">
        <f t="shared" si="30"/>
        <v>20</v>
      </c>
      <c r="T213" s="150" t="str">
        <f>_xlfn.IFNA(VLOOKUP(S213,Parameter!$D$53:$E$77,2),"")</f>
        <v>TINGGI</v>
      </c>
      <c r="U213" s="130" t="s">
        <v>1498</v>
      </c>
      <c r="V213" s="124" t="s">
        <v>1499</v>
      </c>
      <c r="W213" s="124" t="s">
        <v>1500</v>
      </c>
      <c r="X213" s="124" t="s">
        <v>1501</v>
      </c>
      <c r="Y213" s="124" t="s">
        <v>337</v>
      </c>
      <c r="Z213" s="124"/>
      <c r="AA213" s="126" t="s">
        <v>1503</v>
      </c>
      <c r="AB213" s="111" t="s">
        <v>687</v>
      </c>
      <c r="AC213" s="156">
        <v>46387</v>
      </c>
      <c r="AD213" s="163">
        <v>46102</v>
      </c>
      <c r="AE213" s="115" t="s">
        <v>1502</v>
      </c>
      <c r="AF213" s="163"/>
      <c r="AG213" s="115"/>
      <c r="AH213" s="163"/>
      <c r="AI213" s="115"/>
      <c r="AJ213" s="163"/>
      <c r="AK213" s="115"/>
      <c r="AL213" s="169">
        <f t="shared" ref="AL213:AM216" si="35">Q213</f>
        <v>4</v>
      </c>
      <c r="AM213" s="112">
        <f t="shared" si="35"/>
        <v>5</v>
      </c>
      <c r="AN213" s="171">
        <f t="shared" si="31"/>
        <v>20</v>
      </c>
      <c r="AO213" s="150" t="str">
        <f>_xlfn.IFNA(VLOOKUP(AN213,Parameter!$D$53:$E$77,2),"")</f>
        <v>TINGGI</v>
      </c>
      <c r="AP213" s="167" t="s">
        <v>379</v>
      </c>
      <c r="AQ213" s="116"/>
    </row>
    <row r="214" spans="1:43" ht="378" hidden="1" x14ac:dyDescent="0.3">
      <c r="A214" s="114" t="s">
        <v>48</v>
      </c>
      <c r="B214" s="112">
        <f t="shared" si="34"/>
        <v>200</v>
      </c>
      <c r="C214" s="124" t="s">
        <v>1505</v>
      </c>
      <c r="D214" s="169" t="s">
        <v>338</v>
      </c>
      <c r="E214" s="176" t="s">
        <v>256</v>
      </c>
      <c r="F214" s="118" t="s">
        <v>373</v>
      </c>
      <c r="G214" s="117" t="s">
        <v>377</v>
      </c>
      <c r="H214" s="173" t="s">
        <v>50</v>
      </c>
      <c r="I214" s="127" t="s">
        <v>1506</v>
      </c>
      <c r="J214" s="113" t="s">
        <v>1507</v>
      </c>
      <c r="K214" s="113" t="s">
        <v>1508</v>
      </c>
      <c r="L214" s="113" t="s">
        <v>1509</v>
      </c>
      <c r="M214" s="113" t="s">
        <v>1510</v>
      </c>
      <c r="N214" s="117" t="s">
        <v>382</v>
      </c>
      <c r="O214" s="120" t="s">
        <v>738</v>
      </c>
      <c r="P214" s="119" t="s">
        <v>1511</v>
      </c>
      <c r="Q214" s="112">
        <v>4</v>
      </c>
      <c r="R214" s="112">
        <v>3</v>
      </c>
      <c r="S214" s="147">
        <f t="shared" si="30"/>
        <v>12</v>
      </c>
      <c r="T214" s="150" t="str">
        <f>_xlfn.IFNA(VLOOKUP(S214,Parameter!$D$53:$E$77,2),"")</f>
        <v>SEDANG</v>
      </c>
      <c r="U214" s="130" t="s">
        <v>1512</v>
      </c>
      <c r="V214" s="124" t="s">
        <v>1513</v>
      </c>
      <c r="W214" s="124" t="s">
        <v>1514</v>
      </c>
      <c r="X214" s="124" t="s">
        <v>1515</v>
      </c>
      <c r="Y214" s="124" t="s">
        <v>337</v>
      </c>
      <c r="Z214" s="124"/>
      <c r="AA214" s="126" t="s">
        <v>1518</v>
      </c>
      <c r="AB214" s="111" t="s">
        <v>1517</v>
      </c>
      <c r="AC214" s="156">
        <v>46387</v>
      </c>
      <c r="AD214" s="163">
        <v>46102</v>
      </c>
      <c r="AE214" s="115" t="s">
        <v>1516</v>
      </c>
      <c r="AF214" s="163"/>
      <c r="AG214" s="115"/>
      <c r="AH214" s="163"/>
      <c r="AI214" s="115"/>
      <c r="AJ214" s="163"/>
      <c r="AK214" s="115"/>
      <c r="AL214" s="169">
        <f t="shared" si="35"/>
        <v>4</v>
      </c>
      <c r="AM214" s="112">
        <f t="shared" si="35"/>
        <v>3</v>
      </c>
      <c r="AN214" s="171">
        <f t="shared" si="31"/>
        <v>12</v>
      </c>
      <c r="AO214" s="150" t="str">
        <f>_xlfn.IFNA(VLOOKUP(AN214,Parameter!$D$53:$E$77,2),"")</f>
        <v>SEDANG</v>
      </c>
      <c r="AP214" s="167" t="s">
        <v>379</v>
      </c>
      <c r="AQ214" s="116"/>
    </row>
    <row r="215" spans="1:43" ht="324" hidden="1" x14ac:dyDescent="0.3">
      <c r="A215" s="114" t="s">
        <v>48</v>
      </c>
      <c r="B215" s="112">
        <f t="shared" si="34"/>
        <v>201</v>
      </c>
      <c r="C215" s="124" t="s">
        <v>1478</v>
      </c>
      <c r="D215" s="169" t="s">
        <v>338</v>
      </c>
      <c r="E215" s="176" t="s">
        <v>256</v>
      </c>
      <c r="F215" s="118" t="s">
        <v>368</v>
      </c>
      <c r="G215" s="117" t="s">
        <v>49</v>
      </c>
      <c r="H215" s="173" t="s">
        <v>50</v>
      </c>
      <c r="I215" s="127" t="s">
        <v>1479</v>
      </c>
      <c r="J215" s="113" t="s">
        <v>1480</v>
      </c>
      <c r="K215" s="113" t="s">
        <v>1481</v>
      </c>
      <c r="L215" s="113" t="s">
        <v>1482</v>
      </c>
      <c r="M215" s="113" t="s">
        <v>1483</v>
      </c>
      <c r="N215" s="117" t="s">
        <v>382</v>
      </c>
      <c r="O215" s="120" t="s">
        <v>738</v>
      </c>
      <c r="P215" s="119" t="s">
        <v>1484</v>
      </c>
      <c r="Q215" s="112">
        <v>3</v>
      </c>
      <c r="R215" s="112">
        <v>3</v>
      </c>
      <c r="S215" s="147">
        <f t="shared" si="30"/>
        <v>9</v>
      </c>
      <c r="T215" s="150" t="str">
        <f>_xlfn.IFNA(VLOOKUP(S215,Parameter!$D$53:$E$77,2),"")</f>
        <v>SEDANG-RENDAH</v>
      </c>
      <c r="U215" s="130" t="s">
        <v>1485</v>
      </c>
      <c r="V215" s="124" t="s">
        <v>1486</v>
      </c>
      <c r="W215" s="124" t="s">
        <v>1487</v>
      </c>
      <c r="X215" s="124" t="s">
        <v>1488</v>
      </c>
      <c r="Y215" s="124" t="s">
        <v>337</v>
      </c>
      <c r="Z215" s="124"/>
      <c r="AA215" s="126" t="s">
        <v>1491</v>
      </c>
      <c r="AB215" s="111" t="s">
        <v>1489</v>
      </c>
      <c r="AC215" s="156">
        <v>46387</v>
      </c>
      <c r="AD215" s="163">
        <v>46102</v>
      </c>
      <c r="AE215" s="115" t="s">
        <v>1490</v>
      </c>
      <c r="AF215" s="163"/>
      <c r="AG215" s="115"/>
      <c r="AH215" s="163"/>
      <c r="AI215" s="115"/>
      <c r="AJ215" s="163"/>
      <c r="AK215" s="115"/>
      <c r="AL215" s="169">
        <f t="shared" si="35"/>
        <v>3</v>
      </c>
      <c r="AM215" s="112">
        <f t="shared" si="35"/>
        <v>3</v>
      </c>
      <c r="AN215" s="171">
        <f t="shared" si="31"/>
        <v>9</v>
      </c>
      <c r="AO215" s="150" t="str">
        <f>_xlfn.IFNA(VLOOKUP(AN215,Parameter!$D$53:$E$77,2),"")</f>
        <v>SEDANG-RENDAH</v>
      </c>
      <c r="AP215" s="167" t="s">
        <v>379</v>
      </c>
      <c r="AQ215" s="116"/>
    </row>
    <row r="216" spans="1:43" ht="360" hidden="1" x14ac:dyDescent="0.3">
      <c r="A216" s="114" t="s">
        <v>48</v>
      </c>
      <c r="B216" s="112">
        <f t="shared" si="34"/>
        <v>202</v>
      </c>
      <c r="C216" s="124" t="s">
        <v>1433</v>
      </c>
      <c r="D216" s="169" t="s">
        <v>338</v>
      </c>
      <c r="E216" s="176" t="s">
        <v>256</v>
      </c>
      <c r="F216" s="118" t="s">
        <v>373</v>
      </c>
      <c r="G216" s="117" t="s">
        <v>49</v>
      </c>
      <c r="H216" s="173" t="s">
        <v>50</v>
      </c>
      <c r="I216" s="127" t="s">
        <v>1434</v>
      </c>
      <c r="J216" s="113" t="s">
        <v>1435</v>
      </c>
      <c r="K216" s="113" t="s">
        <v>1436</v>
      </c>
      <c r="L216" s="113" t="s">
        <v>1437</v>
      </c>
      <c r="M216" s="113" t="s">
        <v>1438</v>
      </c>
      <c r="N216" s="117" t="s">
        <v>385</v>
      </c>
      <c r="O216" s="120" t="s">
        <v>1439</v>
      </c>
      <c r="P216" s="119" t="s">
        <v>1440</v>
      </c>
      <c r="Q216" s="112">
        <v>4</v>
      </c>
      <c r="R216" s="112">
        <v>5</v>
      </c>
      <c r="S216" s="147">
        <f t="shared" si="30"/>
        <v>20</v>
      </c>
      <c r="T216" s="150" t="str">
        <f>_xlfn.IFNA(VLOOKUP(S216,Parameter!$D$53:$E$77,2),"")</f>
        <v>TINGGI</v>
      </c>
      <c r="U216" s="130" t="s">
        <v>1441</v>
      </c>
      <c r="V216" s="124" t="s">
        <v>1442</v>
      </c>
      <c r="W216" s="124" t="s">
        <v>1443</v>
      </c>
      <c r="X216" s="124" t="s">
        <v>1444</v>
      </c>
      <c r="Y216" s="124" t="s">
        <v>337</v>
      </c>
      <c r="Z216" s="124" t="s">
        <v>747</v>
      </c>
      <c r="AA216" s="126" t="s">
        <v>1447</v>
      </c>
      <c r="AB216" s="111" t="s">
        <v>1446</v>
      </c>
      <c r="AC216" s="156">
        <v>46387</v>
      </c>
      <c r="AD216" s="163">
        <v>46102</v>
      </c>
      <c r="AE216" s="115" t="s">
        <v>1445</v>
      </c>
      <c r="AF216" s="163"/>
      <c r="AG216" s="115"/>
      <c r="AH216" s="163"/>
      <c r="AI216" s="115"/>
      <c r="AJ216" s="163"/>
      <c r="AK216" s="115"/>
      <c r="AL216" s="169">
        <f t="shared" si="35"/>
        <v>4</v>
      </c>
      <c r="AM216" s="112">
        <f t="shared" si="35"/>
        <v>5</v>
      </c>
      <c r="AN216" s="171">
        <f t="shared" si="31"/>
        <v>20</v>
      </c>
      <c r="AO216" s="150" t="str">
        <f>_xlfn.IFNA(VLOOKUP(AN216,Parameter!$D$53:$E$77,2),"")</f>
        <v>TINGGI</v>
      </c>
      <c r="AP216" s="167" t="s">
        <v>379</v>
      </c>
      <c r="AQ216" s="116"/>
    </row>
    <row r="217" spans="1:43" ht="216" hidden="1" x14ac:dyDescent="0.3">
      <c r="A217" s="114" t="s">
        <v>48</v>
      </c>
      <c r="B217" s="112">
        <f t="shared" si="34"/>
        <v>203</v>
      </c>
      <c r="C217" s="124" t="s">
        <v>703</v>
      </c>
      <c r="D217" s="169" t="s">
        <v>255</v>
      </c>
      <c r="E217" s="176" t="s">
        <v>52</v>
      </c>
      <c r="F217" s="118" t="s">
        <v>368</v>
      </c>
      <c r="G217" s="117" t="s">
        <v>377</v>
      </c>
      <c r="H217" s="173" t="s">
        <v>50</v>
      </c>
      <c r="I217" s="126" t="s">
        <v>689</v>
      </c>
      <c r="J217" s="111" t="s">
        <v>689</v>
      </c>
      <c r="K217" s="111" t="s">
        <v>690</v>
      </c>
      <c r="L217" s="111" t="s">
        <v>691</v>
      </c>
      <c r="M217" s="111" t="s">
        <v>692</v>
      </c>
      <c r="N217" s="117" t="s">
        <v>384</v>
      </c>
      <c r="O217" s="120" t="s">
        <v>693</v>
      </c>
      <c r="P217" s="119" t="s">
        <v>694</v>
      </c>
      <c r="Q217" s="112">
        <v>4</v>
      </c>
      <c r="R217" s="112">
        <v>2</v>
      </c>
      <c r="S217" s="117">
        <f t="shared" si="30"/>
        <v>8</v>
      </c>
      <c r="T217" s="150" t="str">
        <f>_xlfn.IFNA(VLOOKUP(S217,Parameter!$D$53:$E$77,2),"")</f>
        <v>SEDANG-RENDAH</v>
      </c>
      <c r="U217" s="130" t="s">
        <v>695</v>
      </c>
      <c r="V217" s="124" t="s">
        <v>696</v>
      </c>
      <c r="W217" s="124" t="s">
        <v>697</v>
      </c>
      <c r="X217" s="124" t="s">
        <v>698</v>
      </c>
      <c r="Y217" s="124" t="s">
        <v>290</v>
      </c>
      <c r="Z217" s="124"/>
      <c r="AA217" s="126" t="s">
        <v>699</v>
      </c>
      <c r="AB217" s="111" t="s">
        <v>700</v>
      </c>
      <c r="AC217" s="156">
        <v>46387</v>
      </c>
      <c r="AD217" s="163">
        <v>46102</v>
      </c>
      <c r="AE217" s="115" t="s">
        <v>701</v>
      </c>
      <c r="AF217" s="163"/>
      <c r="AG217" s="115"/>
      <c r="AH217" s="163"/>
      <c r="AI217" s="115"/>
      <c r="AJ217" s="163"/>
      <c r="AK217" s="115"/>
      <c r="AL217" s="169">
        <v>4</v>
      </c>
      <c r="AM217" s="112">
        <v>2</v>
      </c>
      <c r="AN217" s="147">
        <f t="shared" si="31"/>
        <v>8</v>
      </c>
      <c r="AO217" s="150" t="str">
        <f>_xlfn.IFNA(VLOOKUP(AN217,Parameter!$D$53:$E$77,2),"")</f>
        <v>SEDANG-RENDAH</v>
      </c>
      <c r="AP217" s="167" t="s">
        <v>379</v>
      </c>
      <c r="AQ217" s="115"/>
    </row>
    <row r="218" spans="1:43" ht="306" hidden="1" x14ac:dyDescent="0.3">
      <c r="A218" s="114" t="s">
        <v>48</v>
      </c>
      <c r="B218" s="112">
        <f t="shared" si="34"/>
        <v>204</v>
      </c>
      <c r="C218" s="124" t="s">
        <v>1008</v>
      </c>
      <c r="D218" s="169" t="s">
        <v>322</v>
      </c>
      <c r="E218" s="176" t="s">
        <v>256</v>
      </c>
      <c r="F218" s="118" t="s">
        <v>372</v>
      </c>
      <c r="G218" s="117" t="s">
        <v>49</v>
      </c>
      <c r="H218" s="173" t="s">
        <v>50</v>
      </c>
      <c r="I218" s="127" t="s">
        <v>1018</v>
      </c>
      <c r="J218" s="113" t="s">
        <v>1019</v>
      </c>
      <c r="K218" s="113" t="s">
        <v>1020</v>
      </c>
      <c r="L218" s="113" t="s">
        <v>1021</v>
      </c>
      <c r="M218" s="113" t="s">
        <v>1022</v>
      </c>
      <c r="N218" s="117" t="s">
        <v>382</v>
      </c>
      <c r="O218" s="120" t="s">
        <v>501</v>
      </c>
      <c r="P218" s="119" t="s">
        <v>1023</v>
      </c>
      <c r="Q218" s="112">
        <v>4</v>
      </c>
      <c r="R218" s="112">
        <v>3</v>
      </c>
      <c r="S218" s="147">
        <f t="shared" si="30"/>
        <v>12</v>
      </c>
      <c r="T218" s="150" t="str">
        <f>_xlfn.IFNA(VLOOKUP(S218,Parameter!$D$53:$E$77,2),"")</f>
        <v>SEDANG</v>
      </c>
      <c r="U218" s="130" t="s">
        <v>1024</v>
      </c>
      <c r="V218" s="124" t="s">
        <v>1025</v>
      </c>
      <c r="W218" s="124" t="s">
        <v>1026</v>
      </c>
      <c r="X218" s="124" t="s">
        <v>1027</v>
      </c>
      <c r="Y218" s="124" t="s">
        <v>337</v>
      </c>
      <c r="Z218" s="124"/>
      <c r="AA218" s="126" t="s">
        <v>1029</v>
      </c>
      <c r="AB218" s="145" t="s">
        <v>745</v>
      </c>
      <c r="AC218" s="156">
        <v>46387</v>
      </c>
      <c r="AD218" s="163">
        <v>46102</v>
      </c>
      <c r="AE218" s="115" t="s">
        <v>1028</v>
      </c>
      <c r="AF218" s="163"/>
      <c r="AG218" s="115"/>
      <c r="AH218" s="163"/>
      <c r="AI218" s="115"/>
      <c r="AJ218" s="163"/>
      <c r="AK218" s="115"/>
      <c r="AL218" s="169">
        <f t="shared" ref="AL218:AM225" si="36">Q218</f>
        <v>4</v>
      </c>
      <c r="AM218" s="112">
        <f t="shared" si="36"/>
        <v>3</v>
      </c>
      <c r="AN218" s="171">
        <f t="shared" si="31"/>
        <v>12</v>
      </c>
      <c r="AO218" s="150" t="str">
        <f>_xlfn.IFNA(VLOOKUP(AN218,Parameter!$D$53:$E$77,2),"")</f>
        <v>SEDANG</v>
      </c>
      <c r="AP218" s="167" t="s">
        <v>379</v>
      </c>
      <c r="AQ218" s="116"/>
    </row>
    <row r="219" spans="1:43" ht="306" hidden="1" x14ac:dyDescent="0.3">
      <c r="A219" s="114" t="s">
        <v>48</v>
      </c>
      <c r="B219" s="112">
        <f t="shared" si="34"/>
        <v>205</v>
      </c>
      <c r="C219" s="124" t="s">
        <v>1085</v>
      </c>
      <c r="D219" s="169" t="s">
        <v>268</v>
      </c>
      <c r="E219" s="176" t="s">
        <v>256</v>
      </c>
      <c r="F219" s="118" t="s">
        <v>368</v>
      </c>
      <c r="G219" s="117" t="s">
        <v>49</v>
      </c>
      <c r="H219" s="173" t="s">
        <v>50</v>
      </c>
      <c r="I219" s="127" t="s">
        <v>1086</v>
      </c>
      <c r="J219" s="113" t="s">
        <v>1087</v>
      </c>
      <c r="K219" s="113" t="s">
        <v>1088</v>
      </c>
      <c r="L219" s="113" t="s">
        <v>1089</v>
      </c>
      <c r="M219" s="113" t="s">
        <v>1090</v>
      </c>
      <c r="N219" s="117" t="s">
        <v>382</v>
      </c>
      <c r="O219" s="120" t="s">
        <v>1091</v>
      </c>
      <c r="P219" s="119" t="s">
        <v>1092</v>
      </c>
      <c r="Q219" s="112">
        <v>3</v>
      </c>
      <c r="R219" s="112">
        <v>4</v>
      </c>
      <c r="S219" s="147">
        <f t="shared" si="30"/>
        <v>12</v>
      </c>
      <c r="T219" s="150" t="str">
        <f>_xlfn.IFNA(VLOOKUP(S219,Parameter!$D$53:$E$77,2),"")</f>
        <v>SEDANG</v>
      </c>
      <c r="U219" s="130" t="s">
        <v>1093</v>
      </c>
      <c r="V219" s="124" t="s">
        <v>1094</v>
      </c>
      <c r="W219" s="124" t="s">
        <v>1095</v>
      </c>
      <c r="X219" s="124" t="s">
        <v>1096</v>
      </c>
      <c r="Y219" s="124" t="s">
        <v>267</v>
      </c>
      <c r="Z219" s="124"/>
      <c r="AA219" s="126" t="s">
        <v>1099</v>
      </c>
      <c r="AB219" s="111" t="s">
        <v>1098</v>
      </c>
      <c r="AC219" s="156">
        <v>46387</v>
      </c>
      <c r="AD219" s="163">
        <v>46102</v>
      </c>
      <c r="AE219" s="115" t="s">
        <v>1097</v>
      </c>
      <c r="AF219" s="163"/>
      <c r="AG219" s="115"/>
      <c r="AH219" s="163"/>
      <c r="AI219" s="115"/>
      <c r="AJ219" s="163"/>
      <c r="AK219" s="115"/>
      <c r="AL219" s="169">
        <f t="shared" si="36"/>
        <v>3</v>
      </c>
      <c r="AM219" s="112">
        <f t="shared" si="36"/>
        <v>4</v>
      </c>
      <c r="AN219" s="171">
        <f t="shared" si="31"/>
        <v>12</v>
      </c>
      <c r="AO219" s="150" t="str">
        <f>_xlfn.IFNA(VLOOKUP(AN219,Parameter!$D$53:$E$77,2),"")</f>
        <v>SEDANG</v>
      </c>
      <c r="AP219" s="167" t="s">
        <v>379</v>
      </c>
      <c r="AQ219" s="116"/>
    </row>
    <row r="220" spans="1:43" ht="288" hidden="1" x14ac:dyDescent="0.3">
      <c r="A220" s="114" t="s">
        <v>48</v>
      </c>
      <c r="B220" s="112">
        <f t="shared" si="34"/>
        <v>206</v>
      </c>
      <c r="C220" s="124" t="s">
        <v>1070</v>
      </c>
      <c r="D220" s="169" t="s">
        <v>268</v>
      </c>
      <c r="E220" s="176" t="s">
        <v>256</v>
      </c>
      <c r="F220" s="118" t="s">
        <v>368</v>
      </c>
      <c r="G220" s="117" t="s">
        <v>49</v>
      </c>
      <c r="H220" s="173" t="s">
        <v>50</v>
      </c>
      <c r="I220" s="127" t="s">
        <v>1071</v>
      </c>
      <c r="J220" s="113" t="s">
        <v>1072</v>
      </c>
      <c r="K220" s="113" t="s">
        <v>1073</v>
      </c>
      <c r="L220" s="113" t="s">
        <v>1074</v>
      </c>
      <c r="M220" s="113" t="s">
        <v>1075</v>
      </c>
      <c r="N220" s="117" t="s">
        <v>382</v>
      </c>
      <c r="O220" s="120" t="s">
        <v>654</v>
      </c>
      <c r="P220" s="119" t="s">
        <v>1076</v>
      </c>
      <c r="Q220" s="112">
        <v>3</v>
      </c>
      <c r="R220" s="112">
        <v>4</v>
      </c>
      <c r="S220" s="147">
        <f t="shared" si="30"/>
        <v>12</v>
      </c>
      <c r="T220" s="150" t="str">
        <f>_xlfn.IFNA(VLOOKUP(S220,Parameter!$D$53:$E$77,2),"")</f>
        <v>SEDANG</v>
      </c>
      <c r="U220" s="130" t="s">
        <v>1077</v>
      </c>
      <c r="V220" s="124" t="s">
        <v>1079</v>
      </c>
      <c r="W220" s="124" t="s">
        <v>1080</v>
      </c>
      <c r="X220" s="124" t="s">
        <v>1081</v>
      </c>
      <c r="Y220" s="124" t="s">
        <v>267</v>
      </c>
      <c r="Z220" s="124"/>
      <c r="AA220" s="126" t="s">
        <v>1083</v>
      </c>
      <c r="AB220" s="111" t="s">
        <v>1084</v>
      </c>
      <c r="AC220" s="156">
        <v>46387</v>
      </c>
      <c r="AD220" s="163">
        <v>46102</v>
      </c>
      <c r="AE220" s="115" t="s">
        <v>1082</v>
      </c>
      <c r="AF220" s="163"/>
      <c r="AG220" s="115"/>
      <c r="AH220" s="163"/>
      <c r="AI220" s="115"/>
      <c r="AJ220" s="163"/>
      <c r="AK220" s="115"/>
      <c r="AL220" s="169">
        <f t="shared" si="36"/>
        <v>3</v>
      </c>
      <c r="AM220" s="112">
        <f t="shared" si="36"/>
        <v>4</v>
      </c>
      <c r="AN220" s="171">
        <f t="shared" si="31"/>
        <v>12</v>
      </c>
      <c r="AO220" s="150" t="str">
        <f>_xlfn.IFNA(VLOOKUP(AN220,Parameter!$D$53:$E$77,2),"")</f>
        <v>SEDANG</v>
      </c>
      <c r="AP220" s="167" t="s">
        <v>379</v>
      </c>
      <c r="AQ220" s="116"/>
    </row>
    <row r="221" spans="1:43" ht="288" hidden="1" x14ac:dyDescent="0.3">
      <c r="A221" s="114" t="s">
        <v>48</v>
      </c>
      <c r="B221" s="112">
        <f t="shared" si="34"/>
        <v>207</v>
      </c>
      <c r="C221" s="124" t="s">
        <v>1058</v>
      </c>
      <c r="D221" s="169" t="s">
        <v>268</v>
      </c>
      <c r="E221" s="176" t="s">
        <v>256</v>
      </c>
      <c r="F221" s="118" t="s">
        <v>368</v>
      </c>
      <c r="G221" s="117" t="s">
        <v>49</v>
      </c>
      <c r="H221" s="173" t="s">
        <v>50</v>
      </c>
      <c r="I221" s="127" t="s">
        <v>1059</v>
      </c>
      <c r="J221" s="113" t="s">
        <v>1060</v>
      </c>
      <c r="K221" s="113" t="s">
        <v>1061</v>
      </c>
      <c r="L221" s="113" t="s">
        <v>1062</v>
      </c>
      <c r="M221" s="113" t="s">
        <v>1063</v>
      </c>
      <c r="N221" s="117" t="s">
        <v>382</v>
      </c>
      <c r="O221" s="120" t="s">
        <v>843</v>
      </c>
      <c r="P221" s="119" t="s">
        <v>1050</v>
      </c>
      <c r="Q221" s="112">
        <v>4</v>
      </c>
      <c r="R221" s="112">
        <v>3</v>
      </c>
      <c r="S221" s="147">
        <f t="shared" si="30"/>
        <v>12</v>
      </c>
      <c r="T221" s="150" t="str">
        <f>_xlfn.IFNA(VLOOKUP(S221,Parameter!$D$53:$E$77,2),"")</f>
        <v>SEDANG</v>
      </c>
      <c r="U221" s="130" t="s">
        <v>1064</v>
      </c>
      <c r="V221" s="124" t="s">
        <v>1078</v>
      </c>
      <c r="W221" s="124" t="s">
        <v>1065</v>
      </c>
      <c r="X221" s="124" t="s">
        <v>1066</v>
      </c>
      <c r="Y221" s="124" t="s">
        <v>267</v>
      </c>
      <c r="Z221" s="124"/>
      <c r="AA221" s="126" t="s">
        <v>1068</v>
      </c>
      <c r="AB221" s="111" t="s">
        <v>1069</v>
      </c>
      <c r="AC221" s="156">
        <v>46387</v>
      </c>
      <c r="AD221" s="163">
        <v>46102</v>
      </c>
      <c r="AE221" s="115" t="s">
        <v>1067</v>
      </c>
      <c r="AF221" s="163"/>
      <c r="AG221" s="115"/>
      <c r="AH221" s="163"/>
      <c r="AI221" s="115"/>
      <c r="AJ221" s="163"/>
      <c r="AK221" s="115"/>
      <c r="AL221" s="169">
        <f t="shared" si="36"/>
        <v>4</v>
      </c>
      <c r="AM221" s="112">
        <f t="shared" si="36"/>
        <v>3</v>
      </c>
      <c r="AN221" s="171">
        <f t="shared" si="31"/>
        <v>12</v>
      </c>
      <c r="AO221" s="150" t="str">
        <f>_xlfn.IFNA(VLOOKUP(AN221,Parameter!$D$53:$E$77,2),"")</f>
        <v>SEDANG</v>
      </c>
      <c r="AP221" s="167" t="s">
        <v>379</v>
      </c>
      <c r="AQ221" s="116"/>
    </row>
    <row r="222" spans="1:43" ht="288" hidden="1" x14ac:dyDescent="0.3">
      <c r="A222" s="114" t="s">
        <v>48</v>
      </c>
      <c r="B222" s="112">
        <f t="shared" si="34"/>
        <v>208</v>
      </c>
      <c r="C222" s="124" t="s">
        <v>1044</v>
      </c>
      <c r="D222" s="169" t="s">
        <v>268</v>
      </c>
      <c r="E222" s="176" t="s">
        <v>256</v>
      </c>
      <c r="F222" s="118" t="s">
        <v>368</v>
      </c>
      <c r="G222" s="117" t="s">
        <v>49</v>
      </c>
      <c r="H222" s="173" t="s">
        <v>50</v>
      </c>
      <c r="I222" s="127" t="s">
        <v>1045</v>
      </c>
      <c r="J222" s="113" t="s">
        <v>1046</v>
      </c>
      <c r="K222" s="113" t="s">
        <v>1047</v>
      </c>
      <c r="L222" s="113" t="s">
        <v>1048</v>
      </c>
      <c r="M222" s="113" t="s">
        <v>1049</v>
      </c>
      <c r="N222" s="117" t="s">
        <v>382</v>
      </c>
      <c r="O222" s="120" t="s">
        <v>843</v>
      </c>
      <c r="P222" s="119" t="s">
        <v>1050</v>
      </c>
      <c r="Q222" s="112">
        <v>3</v>
      </c>
      <c r="R222" s="112">
        <v>4</v>
      </c>
      <c r="S222" s="147">
        <f t="shared" si="30"/>
        <v>12</v>
      </c>
      <c r="T222" s="150" t="str">
        <f>_xlfn.IFNA(VLOOKUP(S222,Parameter!$D$53:$E$77,2),"")</f>
        <v>SEDANG</v>
      </c>
      <c r="U222" s="130" t="s">
        <v>1051</v>
      </c>
      <c r="V222" s="124" t="s">
        <v>1052</v>
      </c>
      <c r="W222" s="124" t="s">
        <v>1053</v>
      </c>
      <c r="X222" s="124" t="s">
        <v>1054</v>
      </c>
      <c r="Y222" s="124" t="s">
        <v>262</v>
      </c>
      <c r="Z222" s="124" t="s">
        <v>267</v>
      </c>
      <c r="AA222" s="126" t="s">
        <v>1057</v>
      </c>
      <c r="AB222" s="111" t="s">
        <v>1056</v>
      </c>
      <c r="AC222" s="156">
        <v>46387</v>
      </c>
      <c r="AD222" s="163">
        <v>46102</v>
      </c>
      <c r="AE222" s="115" t="s">
        <v>1055</v>
      </c>
      <c r="AF222" s="163"/>
      <c r="AG222" s="115"/>
      <c r="AH222" s="163"/>
      <c r="AI222" s="115"/>
      <c r="AJ222" s="163"/>
      <c r="AK222" s="115"/>
      <c r="AL222" s="169">
        <f t="shared" si="36"/>
        <v>3</v>
      </c>
      <c r="AM222" s="112">
        <f t="shared" si="36"/>
        <v>4</v>
      </c>
      <c r="AN222" s="171">
        <f t="shared" si="31"/>
        <v>12</v>
      </c>
      <c r="AO222" s="150" t="str">
        <f>_xlfn.IFNA(VLOOKUP(AN222,Parameter!$D$53:$E$77,2),"")</f>
        <v>SEDANG</v>
      </c>
      <c r="AP222" s="167" t="s">
        <v>379</v>
      </c>
      <c r="AQ222" s="116"/>
    </row>
    <row r="223" spans="1:43" ht="324" hidden="1" x14ac:dyDescent="0.3">
      <c r="A223" s="114" t="s">
        <v>48</v>
      </c>
      <c r="B223" s="112">
        <f t="shared" si="34"/>
        <v>209</v>
      </c>
      <c r="C223" s="124" t="s">
        <v>1392</v>
      </c>
      <c r="D223" s="169" t="s">
        <v>268</v>
      </c>
      <c r="E223" s="176" t="s">
        <v>256</v>
      </c>
      <c r="F223" s="118" t="s">
        <v>368</v>
      </c>
      <c r="G223" s="117" t="s">
        <v>49</v>
      </c>
      <c r="H223" s="173" t="s">
        <v>50</v>
      </c>
      <c r="I223" s="127" t="s">
        <v>1393</v>
      </c>
      <c r="J223" s="113" t="s">
        <v>1394</v>
      </c>
      <c r="K223" s="113" t="s">
        <v>1395</v>
      </c>
      <c r="L223" s="113" t="s">
        <v>1396</v>
      </c>
      <c r="M223" s="113" t="s">
        <v>1397</v>
      </c>
      <c r="N223" s="117" t="s">
        <v>382</v>
      </c>
      <c r="O223" s="120" t="s">
        <v>788</v>
      </c>
      <c r="P223" s="119" t="s">
        <v>1398</v>
      </c>
      <c r="Q223" s="112">
        <v>3</v>
      </c>
      <c r="R223" s="112">
        <v>4</v>
      </c>
      <c r="S223" s="147">
        <f>Q223*R223</f>
        <v>12</v>
      </c>
      <c r="T223" s="150" t="str">
        <f>_xlfn.IFNA(VLOOKUP(S223,Parameter!$D$53:$E$77,2),"")</f>
        <v>SEDANG</v>
      </c>
      <c r="U223" s="130" t="s">
        <v>1399</v>
      </c>
      <c r="V223" s="124" t="s">
        <v>1400</v>
      </c>
      <c r="W223" s="124" t="s">
        <v>1401</v>
      </c>
      <c r="X223" s="124" t="s">
        <v>1402</v>
      </c>
      <c r="Y223" s="124" t="s">
        <v>254</v>
      </c>
      <c r="Z223" s="124" t="s">
        <v>267</v>
      </c>
      <c r="AA223" s="126" t="s">
        <v>1405</v>
      </c>
      <c r="AB223" s="111" t="s">
        <v>1403</v>
      </c>
      <c r="AC223" s="156">
        <v>46387</v>
      </c>
      <c r="AD223" s="163">
        <v>46102</v>
      </c>
      <c r="AE223" s="115" t="s">
        <v>1404</v>
      </c>
      <c r="AF223" s="163"/>
      <c r="AG223" s="115"/>
      <c r="AH223" s="163"/>
      <c r="AI223" s="115"/>
      <c r="AJ223" s="163"/>
      <c r="AK223" s="115"/>
      <c r="AL223" s="169">
        <f t="shared" si="36"/>
        <v>3</v>
      </c>
      <c r="AM223" s="112">
        <f t="shared" si="36"/>
        <v>4</v>
      </c>
      <c r="AN223" s="171">
        <f t="shared" si="31"/>
        <v>12</v>
      </c>
      <c r="AO223" s="150" t="str">
        <f>_xlfn.IFNA(VLOOKUP(AN223,Parameter!$D$53:$E$77,2),"")</f>
        <v>SEDANG</v>
      </c>
      <c r="AP223" s="167" t="s">
        <v>379</v>
      </c>
      <c r="AQ223" s="116"/>
    </row>
    <row r="224" spans="1:43" ht="324" hidden="1" x14ac:dyDescent="0.3">
      <c r="A224" s="114" t="s">
        <v>48</v>
      </c>
      <c r="B224" s="112">
        <f t="shared" si="34"/>
        <v>210</v>
      </c>
      <c r="C224" s="124" t="s">
        <v>1378</v>
      </c>
      <c r="D224" s="169" t="s">
        <v>268</v>
      </c>
      <c r="E224" s="176" t="s">
        <v>256</v>
      </c>
      <c r="F224" s="118" t="s">
        <v>368</v>
      </c>
      <c r="G224" s="117" t="s">
        <v>49</v>
      </c>
      <c r="H224" s="173" t="s">
        <v>50</v>
      </c>
      <c r="I224" s="127" t="s">
        <v>1379</v>
      </c>
      <c r="J224" s="113" t="s">
        <v>1380</v>
      </c>
      <c r="K224" s="113" t="s">
        <v>1381</v>
      </c>
      <c r="L224" s="113" t="s">
        <v>1382</v>
      </c>
      <c r="M224" s="113" t="s">
        <v>1383</v>
      </c>
      <c r="N224" s="117" t="s">
        <v>385</v>
      </c>
      <c r="O224" s="120" t="s">
        <v>788</v>
      </c>
      <c r="P224" s="119" t="s">
        <v>1384</v>
      </c>
      <c r="Q224" s="112">
        <v>3</v>
      </c>
      <c r="R224" s="112">
        <v>3</v>
      </c>
      <c r="S224" s="147">
        <f t="shared" si="30"/>
        <v>9</v>
      </c>
      <c r="T224" s="150" t="str">
        <f>_xlfn.IFNA(VLOOKUP(S224,Parameter!$D$53:$E$77,2),"")</f>
        <v>SEDANG-RENDAH</v>
      </c>
      <c r="U224" s="130" t="s">
        <v>1385</v>
      </c>
      <c r="V224" s="124" t="s">
        <v>1386</v>
      </c>
      <c r="W224" s="124" t="s">
        <v>1387</v>
      </c>
      <c r="X224" s="124" t="s">
        <v>1388</v>
      </c>
      <c r="Y224" s="124" t="s">
        <v>267</v>
      </c>
      <c r="Z224" s="124"/>
      <c r="AA224" s="126" t="s">
        <v>1391</v>
      </c>
      <c r="AB224" s="111" t="s">
        <v>1390</v>
      </c>
      <c r="AC224" s="156">
        <v>46387</v>
      </c>
      <c r="AD224" s="163">
        <v>46102</v>
      </c>
      <c r="AE224" s="115" t="s">
        <v>1389</v>
      </c>
      <c r="AF224" s="163"/>
      <c r="AG224" s="115"/>
      <c r="AH224" s="163"/>
      <c r="AI224" s="115"/>
      <c r="AJ224" s="163"/>
      <c r="AK224" s="115"/>
      <c r="AL224" s="169">
        <f t="shared" si="36"/>
        <v>3</v>
      </c>
      <c r="AM224" s="112">
        <f t="shared" si="36"/>
        <v>3</v>
      </c>
      <c r="AN224" s="171">
        <f t="shared" si="31"/>
        <v>9</v>
      </c>
      <c r="AO224" s="150" t="str">
        <f>_xlfn.IFNA(VLOOKUP(AN224,Parameter!$D$53:$E$77,2),"")</f>
        <v>SEDANG-RENDAH</v>
      </c>
      <c r="AP224" s="167" t="s">
        <v>379</v>
      </c>
      <c r="AQ224" s="116"/>
    </row>
    <row r="225" spans="1:43" ht="360" hidden="1" x14ac:dyDescent="0.3">
      <c r="A225" s="114" t="s">
        <v>48</v>
      </c>
      <c r="B225" s="112">
        <f t="shared" si="34"/>
        <v>211</v>
      </c>
      <c r="C225" s="124" t="s">
        <v>1031</v>
      </c>
      <c r="D225" s="169" t="s">
        <v>272</v>
      </c>
      <c r="E225" s="176" t="s">
        <v>52</v>
      </c>
      <c r="F225" s="118" t="s">
        <v>368</v>
      </c>
      <c r="G225" s="117" t="s">
        <v>49</v>
      </c>
      <c r="H225" s="173" t="s">
        <v>50</v>
      </c>
      <c r="I225" s="127" t="s">
        <v>1032</v>
      </c>
      <c r="J225" s="113" t="s">
        <v>1033</v>
      </c>
      <c r="K225" s="113" t="s">
        <v>1034</v>
      </c>
      <c r="L225" s="113" t="s">
        <v>1035</v>
      </c>
      <c r="M225" s="113" t="s">
        <v>1036</v>
      </c>
      <c r="N225" s="117" t="s">
        <v>385</v>
      </c>
      <c r="O225" s="120" t="s">
        <v>788</v>
      </c>
      <c r="P225" s="119" t="s">
        <v>1037</v>
      </c>
      <c r="Q225" s="112">
        <v>4</v>
      </c>
      <c r="R225" s="112">
        <v>4</v>
      </c>
      <c r="S225" s="147">
        <f t="shared" si="30"/>
        <v>16</v>
      </c>
      <c r="T225" s="150" t="str">
        <f>_xlfn.IFNA(VLOOKUP(S225,Parameter!$D$53:$E$77,2),"")</f>
        <v>SEDANG-TINGGI</v>
      </c>
      <c r="U225" s="130" t="s">
        <v>1038</v>
      </c>
      <c r="V225" s="124" t="s">
        <v>1039</v>
      </c>
      <c r="W225" s="124" t="s">
        <v>1040</v>
      </c>
      <c r="X225" s="124" t="s">
        <v>1041</v>
      </c>
      <c r="Y225" s="124" t="s">
        <v>267</v>
      </c>
      <c r="Z225" s="124"/>
      <c r="AA225" s="126" t="s">
        <v>1043</v>
      </c>
      <c r="AB225" s="111" t="s">
        <v>271</v>
      </c>
      <c r="AC225" s="156">
        <v>46387</v>
      </c>
      <c r="AD225" s="163">
        <v>46102</v>
      </c>
      <c r="AE225" s="115" t="s">
        <v>1042</v>
      </c>
      <c r="AF225" s="163"/>
      <c r="AG225" s="115"/>
      <c r="AH225" s="163"/>
      <c r="AI225" s="115"/>
      <c r="AJ225" s="163"/>
      <c r="AK225" s="115"/>
      <c r="AL225" s="169">
        <f t="shared" si="36"/>
        <v>4</v>
      </c>
      <c r="AM225" s="112">
        <f t="shared" si="36"/>
        <v>4</v>
      </c>
      <c r="AN225" s="171">
        <f t="shared" si="31"/>
        <v>16</v>
      </c>
      <c r="AO225" s="150" t="str">
        <f>_xlfn.IFNA(VLOOKUP(AN225,Parameter!$D$53:$E$77,2),"")</f>
        <v>SEDANG-TINGGI</v>
      </c>
      <c r="AP225" s="167" t="s">
        <v>379</v>
      </c>
      <c r="AQ225" s="116"/>
    </row>
    <row r="226" spans="1:43" ht="306" hidden="1" x14ac:dyDescent="0.3">
      <c r="A226" s="114" t="s">
        <v>48</v>
      </c>
      <c r="B226" s="112">
        <f t="shared" si="34"/>
        <v>212</v>
      </c>
      <c r="C226" s="124" t="s">
        <v>582</v>
      </c>
      <c r="D226" s="169" t="s">
        <v>312</v>
      </c>
      <c r="E226" s="176" t="s">
        <v>256</v>
      </c>
      <c r="F226" s="118" t="s">
        <v>368</v>
      </c>
      <c r="G226" s="117" t="s">
        <v>49</v>
      </c>
      <c r="H226" s="173" t="s">
        <v>50</v>
      </c>
      <c r="I226" s="127" t="s">
        <v>583</v>
      </c>
      <c r="J226" s="113" t="s">
        <v>584</v>
      </c>
      <c r="K226" s="113" t="s">
        <v>585</v>
      </c>
      <c r="L226" s="113" t="s">
        <v>586</v>
      </c>
      <c r="M226" s="113" t="s">
        <v>587</v>
      </c>
      <c r="N226" s="117" t="s">
        <v>384</v>
      </c>
      <c r="O226" s="120" t="s">
        <v>485</v>
      </c>
      <c r="P226" s="119" t="s">
        <v>588</v>
      </c>
      <c r="Q226" s="112">
        <v>4</v>
      </c>
      <c r="R226" s="112">
        <v>4</v>
      </c>
      <c r="S226" s="147">
        <f t="shared" si="30"/>
        <v>16</v>
      </c>
      <c r="T226" s="150" t="str">
        <f>_xlfn.IFNA(VLOOKUP(S226,Parameter!$D$53:$E$77,2),"")</f>
        <v>SEDANG-TINGGI</v>
      </c>
      <c r="U226" s="130" t="s">
        <v>589</v>
      </c>
      <c r="V226" s="124" t="s">
        <v>590</v>
      </c>
      <c r="W226" s="124" t="s">
        <v>591</v>
      </c>
      <c r="X226" s="124" t="s">
        <v>592</v>
      </c>
      <c r="Y226" s="124" t="s">
        <v>310</v>
      </c>
      <c r="Z226" s="124"/>
      <c r="AA226" s="126" t="s">
        <v>594</v>
      </c>
      <c r="AB226" s="145" t="s">
        <v>492</v>
      </c>
      <c r="AC226" s="156">
        <v>46387</v>
      </c>
      <c r="AD226" s="163">
        <v>46102</v>
      </c>
      <c r="AE226" s="115" t="s">
        <v>593</v>
      </c>
      <c r="AF226" s="163"/>
      <c r="AG226" s="115"/>
      <c r="AH226" s="163"/>
      <c r="AI226" s="115"/>
      <c r="AJ226" s="163"/>
      <c r="AK226" s="115"/>
      <c r="AL226" s="169">
        <f>Q226</f>
        <v>4</v>
      </c>
      <c r="AM226" s="112">
        <v>4</v>
      </c>
      <c r="AN226" s="171">
        <f t="shared" si="31"/>
        <v>16</v>
      </c>
      <c r="AO226" s="150" t="str">
        <f>_xlfn.IFNA(VLOOKUP(AN226,Parameter!$D$53:$E$77,2),"")</f>
        <v>SEDANG-TINGGI</v>
      </c>
      <c r="AP226" s="167" t="s">
        <v>379</v>
      </c>
      <c r="AQ226" s="116"/>
    </row>
    <row r="227" spans="1:43" ht="90" hidden="1" x14ac:dyDescent="0.3">
      <c r="A227" s="114" t="s">
        <v>48</v>
      </c>
      <c r="B227" s="112">
        <f t="shared" si="34"/>
        <v>213</v>
      </c>
      <c r="C227" s="124" t="s">
        <v>400</v>
      </c>
      <c r="D227" s="169" t="s">
        <v>292</v>
      </c>
      <c r="E227" s="176" t="s">
        <v>52</v>
      </c>
      <c r="F227" s="118" t="s">
        <v>368</v>
      </c>
      <c r="G227" s="117" t="s">
        <v>377</v>
      </c>
      <c r="H227" s="173" t="s">
        <v>50</v>
      </c>
      <c r="I227" s="127" t="s">
        <v>401</v>
      </c>
      <c r="J227" s="113" t="s">
        <v>402</v>
      </c>
      <c r="K227" s="113" t="s">
        <v>403</v>
      </c>
      <c r="L227" s="113" t="s">
        <v>404</v>
      </c>
      <c r="M227" s="113" t="s">
        <v>405</v>
      </c>
      <c r="N227" s="117" t="s">
        <v>385</v>
      </c>
      <c r="O227" s="120" t="s">
        <v>406</v>
      </c>
      <c r="P227" s="119" t="s">
        <v>407</v>
      </c>
      <c r="Q227" s="112">
        <v>4</v>
      </c>
      <c r="R227" s="112">
        <v>4</v>
      </c>
      <c r="S227" s="147">
        <f t="shared" si="30"/>
        <v>16</v>
      </c>
      <c r="T227" s="150" t="str">
        <f>_xlfn.IFNA(VLOOKUP(S227,Parameter!$D$53:$E$77,2),"")</f>
        <v>SEDANG-TINGGI</v>
      </c>
      <c r="U227" s="130" t="s">
        <v>408</v>
      </c>
      <c r="V227" s="124" t="s">
        <v>409</v>
      </c>
      <c r="W227" s="124" t="s">
        <v>410</v>
      </c>
      <c r="X227" s="124" t="s">
        <v>411</v>
      </c>
      <c r="Y227" s="124" t="s">
        <v>290</v>
      </c>
      <c r="Z227" s="124"/>
      <c r="AA227" s="126" t="s">
        <v>412</v>
      </c>
      <c r="AB227" s="111" t="s">
        <v>294</v>
      </c>
      <c r="AC227" s="156">
        <v>46387</v>
      </c>
      <c r="AD227" s="163">
        <v>46102</v>
      </c>
      <c r="AE227" s="115" t="s">
        <v>413</v>
      </c>
      <c r="AF227" s="163"/>
      <c r="AG227" s="115"/>
      <c r="AH227" s="163"/>
      <c r="AI227" s="115"/>
      <c r="AJ227" s="163"/>
      <c r="AK227" s="115"/>
      <c r="AL227" s="169">
        <f>Q227</f>
        <v>4</v>
      </c>
      <c r="AM227" s="112">
        <v>3</v>
      </c>
      <c r="AN227" s="171">
        <f t="shared" si="31"/>
        <v>12</v>
      </c>
      <c r="AO227" s="150" t="str">
        <f>_xlfn.IFNA(VLOOKUP(AN227,Parameter!$D$53:$E$77,2),"")</f>
        <v>SEDANG</v>
      </c>
      <c r="AP227" s="167" t="s">
        <v>379</v>
      </c>
      <c r="AQ227" s="116"/>
    </row>
    <row r="228" spans="1:43" ht="288" hidden="1" x14ac:dyDescent="0.3">
      <c r="A228" s="114" t="s">
        <v>48</v>
      </c>
      <c r="B228" s="112">
        <f t="shared" si="34"/>
        <v>214</v>
      </c>
      <c r="C228" s="124" t="s">
        <v>1448</v>
      </c>
      <c r="D228" s="169" t="s">
        <v>295</v>
      </c>
      <c r="E228" s="176" t="s">
        <v>260</v>
      </c>
      <c r="F228" s="118" t="s">
        <v>368</v>
      </c>
      <c r="G228" s="117" t="s">
        <v>49</v>
      </c>
      <c r="H228" s="173" t="s">
        <v>190</v>
      </c>
      <c r="I228" s="127" t="s">
        <v>1449</v>
      </c>
      <c r="J228" s="113" t="s">
        <v>1450</v>
      </c>
      <c r="K228" s="113" t="s">
        <v>1451</v>
      </c>
      <c r="L228" s="113" t="s">
        <v>1452</v>
      </c>
      <c r="M228" s="113" t="s">
        <v>1453</v>
      </c>
      <c r="N228" s="117" t="s">
        <v>385</v>
      </c>
      <c r="O228" s="120" t="s">
        <v>1454</v>
      </c>
      <c r="P228" s="119" t="s">
        <v>1455</v>
      </c>
      <c r="Q228" s="112">
        <v>4</v>
      </c>
      <c r="R228" s="112">
        <v>4</v>
      </c>
      <c r="S228" s="147">
        <f t="shared" ref="S228:S229" si="37">Q228*R228</f>
        <v>16</v>
      </c>
      <c r="T228" s="150" t="str">
        <f>_xlfn.IFNA(VLOOKUP(S228,Parameter!$D$53:$E$77,2),"")</f>
        <v>SEDANG-TINGGI</v>
      </c>
      <c r="U228" s="130" t="s">
        <v>1456</v>
      </c>
      <c r="V228" s="124" t="s">
        <v>1457</v>
      </c>
      <c r="W228" s="124" t="s">
        <v>1458</v>
      </c>
      <c r="X228" s="124" t="s">
        <v>1459</v>
      </c>
      <c r="Y228" s="124" t="s">
        <v>327</v>
      </c>
      <c r="Z228" s="124"/>
      <c r="AA228" s="126" t="s">
        <v>1462</v>
      </c>
      <c r="AB228" s="145" t="s">
        <v>1461</v>
      </c>
      <c r="AC228" s="156">
        <v>46387</v>
      </c>
      <c r="AD228" s="163">
        <v>46102</v>
      </c>
      <c r="AE228" s="115" t="s">
        <v>1460</v>
      </c>
      <c r="AF228" s="165"/>
      <c r="AG228" s="115"/>
      <c r="AH228" s="165"/>
      <c r="AI228" s="115"/>
      <c r="AJ228" s="165"/>
      <c r="AK228" s="115"/>
      <c r="AL228" s="169">
        <f t="shared" ref="AL228:AL229" si="38">Q228</f>
        <v>4</v>
      </c>
      <c r="AM228" s="112">
        <f t="shared" ref="AM228:AM229" si="39">R228</f>
        <v>4</v>
      </c>
      <c r="AN228" s="171">
        <f t="shared" ref="AN228:AN229" si="40">AL228*AM228</f>
        <v>16</v>
      </c>
      <c r="AO228" s="150" t="str">
        <f>_xlfn.IFNA(VLOOKUP(AN228,Parameter!$D$53:$E$77,2),"")</f>
        <v>SEDANG-TINGGI</v>
      </c>
      <c r="AP228" s="167" t="s">
        <v>379</v>
      </c>
      <c r="AQ228" s="116"/>
    </row>
    <row r="229" spans="1:43" ht="324" hidden="1" x14ac:dyDescent="0.3">
      <c r="A229" s="114" t="s">
        <v>48</v>
      </c>
      <c r="B229" s="112">
        <f t="shared" si="34"/>
        <v>215</v>
      </c>
      <c r="C229" s="124" t="s">
        <v>1463</v>
      </c>
      <c r="D229" s="169" t="s">
        <v>329</v>
      </c>
      <c r="E229" s="176" t="s">
        <v>256</v>
      </c>
      <c r="F229" s="118" t="s">
        <v>367</v>
      </c>
      <c r="G229" s="117" t="s">
        <v>49</v>
      </c>
      <c r="H229" s="173" t="s">
        <v>190</v>
      </c>
      <c r="I229" s="127" t="s">
        <v>1464</v>
      </c>
      <c r="J229" s="113" t="s">
        <v>1465</v>
      </c>
      <c r="K229" s="113" t="s">
        <v>1466</v>
      </c>
      <c r="L229" s="113" t="s">
        <v>1467</v>
      </c>
      <c r="M229" s="113" t="s">
        <v>1468</v>
      </c>
      <c r="N229" s="117" t="s">
        <v>385</v>
      </c>
      <c r="O229" s="120" t="s">
        <v>1469</v>
      </c>
      <c r="P229" s="119" t="s">
        <v>1470</v>
      </c>
      <c r="Q229" s="112">
        <v>4</v>
      </c>
      <c r="R229" s="112">
        <v>3</v>
      </c>
      <c r="S229" s="147">
        <f t="shared" si="37"/>
        <v>12</v>
      </c>
      <c r="T229" s="150" t="str">
        <f>_xlfn.IFNA(VLOOKUP(S229,Parameter!$D$53:$E$77,2),"")</f>
        <v>SEDANG</v>
      </c>
      <c r="U229" s="130" t="s">
        <v>1471</v>
      </c>
      <c r="V229" s="124" t="s">
        <v>1472</v>
      </c>
      <c r="W229" s="124" t="s">
        <v>1473</v>
      </c>
      <c r="X229" s="124" t="s">
        <v>1474</v>
      </c>
      <c r="Y229" s="124" t="s">
        <v>337</v>
      </c>
      <c r="Z229" s="124"/>
      <c r="AA229" s="126" t="s">
        <v>1477</v>
      </c>
      <c r="AB229" s="145" t="s">
        <v>1475</v>
      </c>
      <c r="AC229" s="156">
        <v>46387</v>
      </c>
      <c r="AD229" s="163">
        <v>46102</v>
      </c>
      <c r="AE229" s="115" t="s">
        <v>1476</v>
      </c>
      <c r="AF229" s="165"/>
      <c r="AG229" s="115"/>
      <c r="AH229" s="165"/>
      <c r="AI229" s="115"/>
      <c r="AJ229" s="165"/>
      <c r="AK229" s="115"/>
      <c r="AL229" s="169">
        <f t="shared" si="38"/>
        <v>4</v>
      </c>
      <c r="AM229" s="112">
        <f t="shared" si="39"/>
        <v>3</v>
      </c>
      <c r="AN229" s="171">
        <f t="shared" si="40"/>
        <v>12</v>
      </c>
      <c r="AO229" s="150" t="str">
        <f>_xlfn.IFNA(VLOOKUP(AN229,Parameter!$D$53:$E$77,2),"")</f>
        <v>SEDANG</v>
      </c>
      <c r="AP229" s="167" t="s">
        <v>379</v>
      </c>
      <c r="AQ229" s="116"/>
    </row>
    <row r="230" spans="1:43" ht="19.2" x14ac:dyDescent="0.3">
      <c r="A230" s="114" t="s">
        <v>48</v>
      </c>
      <c r="B230" s="112">
        <f t="shared" si="34"/>
        <v>216</v>
      </c>
      <c r="C230" s="124"/>
      <c r="D230" s="169"/>
      <c r="E230" s="176" t="s">
        <v>256</v>
      </c>
      <c r="F230" s="118" t="s">
        <v>368</v>
      </c>
      <c r="G230" s="117" t="s">
        <v>49</v>
      </c>
      <c r="H230" s="173" t="s">
        <v>50</v>
      </c>
      <c r="I230" s="127"/>
      <c r="J230" s="113"/>
      <c r="K230" s="113"/>
      <c r="L230" s="113"/>
      <c r="M230" s="113"/>
      <c r="N230" s="117"/>
      <c r="O230" s="120"/>
      <c r="P230" s="119"/>
      <c r="Q230" s="112">
        <v>1</v>
      </c>
      <c r="R230" s="112">
        <v>1</v>
      </c>
      <c r="S230" s="147">
        <f t="shared" ref="S230" si="41">Q230*R230</f>
        <v>1</v>
      </c>
      <c r="T230" s="150" t="str">
        <f>_xlfn.IFNA(VLOOKUP(S230,Parameter!$D$53:$E$77,2),"")</f>
        <v>RENDAH</v>
      </c>
      <c r="U230" s="130"/>
      <c r="V230" s="124"/>
      <c r="W230" s="124"/>
      <c r="X230" s="124"/>
      <c r="Y230" s="124"/>
      <c r="Z230" s="124"/>
      <c r="AA230" s="126"/>
      <c r="AB230" s="145"/>
      <c r="AC230" s="156">
        <v>46387</v>
      </c>
      <c r="AD230" s="163">
        <v>46102</v>
      </c>
      <c r="AE230" s="115"/>
      <c r="AF230" s="165"/>
      <c r="AG230" s="115"/>
      <c r="AH230" s="165"/>
      <c r="AI230" s="115"/>
      <c r="AJ230" s="165"/>
      <c r="AK230" s="115"/>
      <c r="AL230" s="169">
        <f t="shared" ref="AL230" si="42">Q230</f>
        <v>1</v>
      </c>
      <c r="AM230" s="112">
        <f t="shared" ref="AM230" si="43">R230</f>
        <v>1</v>
      </c>
      <c r="AN230" s="171">
        <f t="shared" ref="AN230" si="44">AL230*AM230</f>
        <v>1</v>
      </c>
      <c r="AO230" s="150" t="str">
        <f>_xlfn.IFNA(VLOOKUP(AN230,Parameter!$D$53:$E$77,2),"")</f>
        <v>RENDAH</v>
      </c>
      <c r="AP230" s="167" t="s">
        <v>379</v>
      </c>
      <c r="AQ230" s="116"/>
    </row>
    <row r="231" spans="1:43" ht="19.2" x14ac:dyDescent="0.3">
      <c r="A231" s="114" t="s">
        <v>48</v>
      </c>
      <c r="B231" s="112">
        <f t="shared" si="34"/>
        <v>217</v>
      </c>
      <c r="C231" s="124"/>
      <c r="D231" s="169"/>
      <c r="E231" s="176" t="s">
        <v>256</v>
      </c>
      <c r="F231" s="118" t="s">
        <v>368</v>
      </c>
      <c r="G231" s="117" t="s">
        <v>49</v>
      </c>
      <c r="H231" s="173" t="s">
        <v>50</v>
      </c>
      <c r="I231" s="127"/>
      <c r="J231" s="113"/>
      <c r="K231" s="113"/>
      <c r="L231" s="113"/>
      <c r="M231" s="113"/>
      <c r="N231" s="117"/>
      <c r="O231" s="120"/>
      <c r="P231" s="119"/>
      <c r="Q231" s="112">
        <v>1</v>
      </c>
      <c r="R231" s="112">
        <v>1</v>
      </c>
      <c r="S231" s="147">
        <f t="shared" ref="S231" si="45">Q231*R231</f>
        <v>1</v>
      </c>
      <c r="T231" s="150" t="str">
        <f>_xlfn.IFNA(VLOOKUP(S231,Parameter!$D$53:$E$77,2),"")</f>
        <v>RENDAH</v>
      </c>
      <c r="U231" s="130"/>
      <c r="V231" s="124"/>
      <c r="W231" s="124"/>
      <c r="X231" s="124"/>
      <c r="Y231" s="124"/>
      <c r="Z231" s="124"/>
      <c r="AA231" s="126"/>
      <c r="AB231" s="145"/>
      <c r="AC231" s="156">
        <v>46387</v>
      </c>
      <c r="AD231" s="163">
        <v>46102</v>
      </c>
      <c r="AE231" s="115"/>
      <c r="AF231" s="165"/>
      <c r="AG231" s="115"/>
      <c r="AH231" s="165"/>
      <c r="AI231" s="115"/>
      <c r="AJ231" s="165"/>
      <c r="AK231" s="115"/>
      <c r="AL231" s="169">
        <f t="shared" ref="AL231" si="46">Q231</f>
        <v>1</v>
      </c>
      <c r="AM231" s="112">
        <f t="shared" ref="AM231" si="47">R231</f>
        <v>1</v>
      </c>
      <c r="AN231" s="171">
        <f t="shared" ref="AN231" si="48">AL231*AM231</f>
        <v>1</v>
      </c>
      <c r="AO231" s="150" t="str">
        <f>_xlfn.IFNA(VLOOKUP(AN231,Parameter!$D$53:$E$77,2),"")</f>
        <v>RENDAH</v>
      </c>
      <c r="AP231" s="167" t="s">
        <v>379</v>
      </c>
      <c r="AQ231" s="116"/>
    </row>
    <row r="232" spans="1:43" ht="19.2" x14ac:dyDescent="0.3">
      <c r="A232" s="114" t="s">
        <v>48</v>
      </c>
      <c r="B232" s="112">
        <f t="shared" si="34"/>
        <v>218</v>
      </c>
      <c r="C232" s="124"/>
      <c r="D232" s="169"/>
      <c r="E232" s="176" t="s">
        <v>256</v>
      </c>
      <c r="F232" s="118" t="s">
        <v>368</v>
      </c>
      <c r="G232" s="117" t="s">
        <v>49</v>
      </c>
      <c r="H232" s="173" t="s">
        <v>50</v>
      </c>
      <c r="I232" s="127"/>
      <c r="J232" s="113"/>
      <c r="K232" s="113"/>
      <c r="L232" s="113"/>
      <c r="M232" s="113"/>
      <c r="N232" s="117"/>
      <c r="O232" s="120"/>
      <c r="P232" s="119"/>
      <c r="Q232" s="112">
        <v>1</v>
      </c>
      <c r="R232" s="112">
        <v>1</v>
      </c>
      <c r="S232" s="147">
        <f t="shared" ref="S232" si="49">Q232*R232</f>
        <v>1</v>
      </c>
      <c r="T232" s="150" t="str">
        <f>_xlfn.IFNA(VLOOKUP(S232,Parameter!$D$53:$E$77,2),"")</f>
        <v>RENDAH</v>
      </c>
      <c r="U232" s="130"/>
      <c r="V232" s="124"/>
      <c r="W232" s="124"/>
      <c r="X232" s="124"/>
      <c r="Y232" s="124"/>
      <c r="Z232" s="124"/>
      <c r="AA232" s="126"/>
      <c r="AB232" s="145"/>
      <c r="AC232" s="156">
        <v>46387</v>
      </c>
      <c r="AD232" s="163">
        <v>46102</v>
      </c>
      <c r="AE232" s="115"/>
      <c r="AF232" s="165"/>
      <c r="AG232" s="115"/>
      <c r="AH232" s="165"/>
      <c r="AI232" s="115"/>
      <c r="AJ232" s="165"/>
      <c r="AK232" s="115"/>
      <c r="AL232" s="169">
        <f t="shared" ref="AL232" si="50">Q232</f>
        <v>1</v>
      </c>
      <c r="AM232" s="112">
        <f t="shared" ref="AM232" si="51">R232</f>
        <v>1</v>
      </c>
      <c r="AN232" s="171">
        <f t="shared" ref="AN232" si="52">AL232*AM232</f>
        <v>1</v>
      </c>
      <c r="AO232" s="150" t="str">
        <f>_xlfn.IFNA(VLOOKUP(AN232,Parameter!$D$53:$E$77,2),"")</f>
        <v>RENDAH</v>
      </c>
      <c r="AP232" s="167" t="s">
        <v>379</v>
      </c>
      <c r="AQ232" s="116"/>
    </row>
    <row r="233" spans="1:43" ht="19.8" thickBot="1" x14ac:dyDescent="0.35">
      <c r="A233" s="92"/>
      <c r="B233" s="96"/>
      <c r="C233" s="94"/>
      <c r="D233" s="177"/>
      <c r="E233" s="166"/>
      <c r="F233" s="131"/>
      <c r="G233" s="94"/>
      <c r="H233" s="174"/>
      <c r="I233" s="128"/>
      <c r="J233" s="95"/>
      <c r="K233" s="95"/>
      <c r="L233" s="95"/>
      <c r="M233" s="95"/>
      <c r="N233" s="94"/>
      <c r="O233" s="121"/>
      <c r="P233" s="122"/>
      <c r="Q233" s="96"/>
      <c r="R233" s="96"/>
      <c r="S233" s="148"/>
      <c r="T233" s="151"/>
      <c r="U233" s="131"/>
      <c r="V233" s="125"/>
      <c r="W233" s="125"/>
      <c r="X233" s="125"/>
      <c r="Y233" s="125"/>
      <c r="Z233" s="125"/>
      <c r="AA233" s="128"/>
      <c r="AB233" s="93"/>
      <c r="AC233" s="157"/>
      <c r="AD233" s="92"/>
      <c r="AE233" s="166"/>
      <c r="AF233" s="92"/>
      <c r="AG233" s="166"/>
      <c r="AH233" s="92"/>
      <c r="AI233" s="166"/>
      <c r="AJ233" s="92"/>
      <c r="AK233" s="166"/>
      <c r="AL233" s="170"/>
      <c r="AM233" s="96"/>
      <c r="AN233" s="148"/>
      <c r="AO233" s="151"/>
      <c r="AP233" s="168"/>
      <c r="AQ233" s="97"/>
    </row>
    <row r="234" spans="1:43" ht="18" x14ac:dyDescent="0.3">
      <c r="A234" s="1"/>
      <c r="B234" s="6">
        <f>SUBTOTAL(3, B24:B232)</f>
        <v>139</v>
      </c>
      <c r="C234" s="1"/>
      <c r="D234" s="2"/>
      <c r="E234" s="2"/>
      <c r="F234" s="2"/>
      <c r="G234" s="2"/>
      <c r="H234" s="2"/>
      <c r="I234" s="1"/>
      <c r="J234" s="1"/>
      <c r="K234" s="1"/>
      <c r="L234" s="1"/>
      <c r="M234" s="1"/>
      <c r="N234" s="1"/>
      <c r="O234" s="2"/>
      <c r="P234" s="2"/>
      <c r="Q234" s="2"/>
      <c r="R234" s="2"/>
      <c r="S234" s="2"/>
      <c r="T234" s="1"/>
      <c r="U234" s="1"/>
      <c r="V234" s="1"/>
      <c r="W234" s="1"/>
      <c r="X234" s="1"/>
      <c r="Y234" s="1"/>
      <c r="Z234" s="1"/>
      <c r="AA234" s="1"/>
      <c r="AB234" s="1"/>
      <c r="AC234" s="2"/>
      <c r="AD234" s="2"/>
      <c r="AE234" s="1"/>
      <c r="AF234" s="2"/>
      <c r="AG234" s="1"/>
      <c r="AH234" s="2"/>
      <c r="AI234" s="1"/>
      <c r="AJ234" s="2"/>
      <c r="AK234" s="1"/>
      <c r="AL234" s="2"/>
      <c r="AM234" s="2"/>
      <c r="AN234" s="2"/>
      <c r="AO234" s="1"/>
      <c r="AP234" s="1"/>
      <c r="AQ234" s="1"/>
    </row>
    <row r="235" spans="1:43" ht="18" x14ac:dyDescent="0.3">
      <c r="A235" s="1"/>
      <c r="B235" s="2"/>
      <c r="C235" s="184"/>
      <c r="D235" s="184"/>
      <c r="E235" s="2"/>
      <c r="F235" s="184"/>
      <c r="G235" s="184"/>
      <c r="H235" s="2"/>
      <c r="I235" s="184"/>
      <c r="J235" s="1"/>
      <c r="K235" s="1"/>
      <c r="L235" s="1"/>
      <c r="M235" s="1"/>
      <c r="N235" s="1"/>
      <c r="O235" s="2"/>
      <c r="P235" s="2"/>
      <c r="Q235" s="2"/>
      <c r="R235" s="2"/>
      <c r="S235" s="2"/>
      <c r="T235" s="1"/>
      <c r="U235" s="1"/>
      <c r="V235" s="1"/>
      <c r="W235" s="1"/>
      <c r="X235" s="1"/>
      <c r="Y235" s="1"/>
      <c r="Z235" s="1"/>
      <c r="AA235" s="1"/>
      <c r="AB235" s="1"/>
      <c r="AC235" s="2"/>
      <c r="AD235" s="2"/>
      <c r="AE235" s="1"/>
      <c r="AF235" s="2"/>
      <c r="AG235" s="1"/>
      <c r="AH235" s="2"/>
      <c r="AI235" s="1"/>
      <c r="AJ235" s="2"/>
      <c r="AK235" s="1"/>
      <c r="AL235" s="2"/>
      <c r="AM235" s="2"/>
      <c r="AN235" s="2"/>
      <c r="AO235" s="1"/>
      <c r="AP235" s="1"/>
      <c r="AQ235" s="1"/>
    </row>
    <row r="236" spans="1:43" ht="18" x14ac:dyDescent="0.3">
      <c r="A236" s="1"/>
      <c r="B236" s="2"/>
      <c r="C236" s="184"/>
      <c r="D236" s="184"/>
      <c r="E236" s="2"/>
      <c r="F236" s="184"/>
      <c r="G236" s="184"/>
      <c r="H236" s="2"/>
      <c r="I236" s="184"/>
      <c r="J236" s="1"/>
      <c r="K236" s="1"/>
      <c r="L236" s="1"/>
      <c r="M236" s="1"/>
      <c r="N236" s="1"/>
      <c r="O236" s="2"/>
      <c r="P236" s="2"/>
      <c r="Q236" s="2"/>
      <c r="R236" s="2"/>
      <c r="S236" s="2"/>
      <c r="T236" s="1"/>
      <c r="U236" s="1"/>
      <c r="V236" s="1"/>
      <c r="W236" s="1"/>
      <c r="X236" s="1"/>
      <c r="Y236" s="1"/>
      <c r="Z236" s="1"/>
      <c r="AA236" s="1"/>
      <c r="AB236" s="1"/>
      <c r="AC236" s="2"/>
      <c r="AD236" s="2"/>
      <c r="AE236" s="1"/>
      <c r="AF236" s="2"/>
      <c r="AG236" s="1"/>
      <c r="AH236" s="2"/>
      <c r="AI236" s="1"/>
      <c r="AJ236" s="2"/>
      <c r="AK236" s="1"/>
      <c r="AL236" s="2"/>
      <c r="AM236" s="2"/>
      <c r="AN236" s="2"/>
      <c r="AO236" s="1"/>
      <c r="AP236" s="1"/>
      <c r="AQ236" s="1"/>
    </row>
    <row r="237" spans="1:43" ht="18" x14ac:dyDescent="0.3">
      <c r="A237" s="1"/>
      <c r="B237" s="2"/>
      <c r="C237" s="184"/>
      <c r="D237" s="184"/>
      <c r="E237" s="2"/>
      <c r="F237" s="184"/>
      <c r="G237" s="184"/>
      <c r="H237" s="2"/>
      <c r="I237" s="184"/>
      <c r="J237" s="1"/>
      <c r="K237" s="1"/>
      <c r="L237" s="1"/>
      <c r="M237" s="1"/>
      <c r="N237" s="1"/>
      <c r="O237" s="2"/>
      <c r="P237" s="2"/>
      <c r="Q237" s="2"/>
      <c r="R237" s="2"/>
      <c r="S237" s="2"/>
      <c r="T237" s="1"/>
      <c r="U237" s="1"/>
      <c r="V237" s="1"/>
      <c r="W237" s="1"/>
      <c r="X237" s="1"/>
      <c r="Y237" s="1"/>
      <c r="Z237" s="1"/>
      <c r="AA237" s="1"/>
      <c r="AB237" s="1"/>
      <c r="AC237" s="2"/>
      <c r="AD237" s="2"/>
      <c r="AE237" s="1"/>
      <c r="AF237" s="2"/>
      <c r="AG237" s="1"/>
      <c r="AH237" s="2"/>
      <c r="AI237" s="1"/>
      <c r="AJ237" s="2"/>
      <c r="AK237" s="1"/>
      <c r="AL237" s="2"/>
      <c r="AM237" s="2"/>
      <c r="AN237" s="2"/>
      <c r="AO237" s="1"/>
      <c r="AP237" s="1"/>
      <c r="AQ237" s="1"/>
    </row>
    <row r="238" spans="1:43" ht="18" x14ac:dyDescent="0.3">
      <c r="A238" s="1"/>
      <c r="B238" s="2"/>
      <c r="C238" s="184"/>
      <c r="D238" s="184"/>
      <c r="E238" s="2"/>
      <c r="F238" s="184"/>
      <c r="G238" s="184"/>
      <c r="H238" s="2"/>
      <c r="I238" s="184"/>
      <c r="J238" s="1"/>
      <c r="K238" s="1"/>
      <c r="L238" s="1"/>
      <c r="M238" s="1"/>
      <c r="N238" s="1"/>
      <c r="O238" s="2"/>
      <c r="P238" s="2"/>
      <c r="Q238" s="2"/>
      <c r="R238" s="2"/>
      <c r="S238" s="2"/>
      <c r="T238" s="1"/>
      <c r="U238" s="1"/>
      <c r="V238" s="1"/>
      <c r="W238" s="1"/>
      <c r="X238" s="1"/>
      <c r="Y238" s="1"/>
      <c r="Z238" s="1"/>
      <c r="AA238" s="1"/>
      <c r="AB238" s="1"/>
      <c r="AC238" s="2"/>
      <c r="AD238" s="2"/>
      <c r="AE238" s="1"/>
      <c r="AF238" s="2"/>
      <c r="AG238" s="1"/>
      <c r="AH238" s="2"/>
      <c r="AI238" s="1"/>
      <c r="AJ238" s="2"/>
      <c r="AK238" s="1"/>
      <c r="AL238" s="2"/>
      <c r="AM238" s="2"/>
      <c r="AN238" s="2"/>
      <c r="AO238" s="1"/>
      <c r="AP238" s="1"/>
      <c r="AQ238" s="1"/>
    </row>
    <row r="239" spans="1:43" ht="18" x14ac:dyDescent="0.3">
      <c r="A239" s="1"/>
      <c r="B239" s="2"/>
      <c r="C239" s="152" t="s">
        <v>922</v>
      </c>
      <c r="D239" s="152" t="s">
        <v>931</v>
      </c>
      <c r="E239" s="2"/>
      <c r="F239" s="185" t="s">
        <v>923</v>
      </c>
      <c r="G239" s="185"/>
      <c r="H239" s="152"/>
      <c r="I239" s="152" t="s">
        <v>921</v>
      </c>
      <c r="J239" s="1"/>
      <c r="K239" s="1"/>
      <c r="L239" s="1"/>
      <c r="M239" s="1"/>
      <c r="N239" s="1"/>
      <c r="O239" s="2"/>
      <c r="P239" s="2"/>
      <c r="Q239" s="2"/>
      <c r="R239" s="2"/>
      <c r="S239" s="2"/>
      <c r="T239" s="1"/>
      <c r="U239" s="1"/>
      <c r="V239" s="1"/>
      <c r="W239" s="1"/>
      <c r="X239" s="1"/>
      <c r="Y239" s="1"/>
      <c r="Z239" s="1"/>
      <c r="AA239" s="1"/>
      <c r="AB239" s="1"/>
      <c r="AC239" s="2"/>
      <c r="AD239" s="2"/>
      <c r="AE239" s="1"/>
      <c r="AF239" s="2"/>
      <c r="AG239" s="1"/>
      <c r="AH239" s="2"/>
      <c r="AI239" s="1"/>
      <c r="AJ239" s="2"/>
      <c r="AK239" s="1"/>
      <c r="AL239" s="2"/>
      <c r="AM239" s="2"/>
      <c r="AN239" s="2"/>
      <c r="AO239" s="1"/>
      <c r="AP239" s="1"/>
      <c r="AQ239" s="1"/>
    </row>
    <row r="240" spans="1:43" ht="18" x14ac:dyDescent="0.3">
      <c r="A240" s="1"/>
      <c r="B240" s="2"/>
      <c r="C240" s="152" t="s">
        <v>926</v>
      </c>
      <c r="D240" s="152" t="s">
        <v>273</v>
      </c>
      <c r="E240" s="2"/>
      <c r="F240" s="185" t="s">
        <v>927</v>
      </c>
      <c r="G240" s="185"/>
      <c r="H240" s="152"/>
      <c r="I240" s="152" t="s">
        <v>398</v>
      </c>
      <c r="J240" s="1"/>
      <c r="K240" s="1"/>
      <c r="L240" s="1"/>
      <c r="M240" s="1"/>
      <c r="N240" s="1"/>
      <c r="O240" s="2"/>
      <c r="P240" s="2"/>
      <c r="Q240" s="2"/>
      <c r="R240" s="2"/>
      <c r="S240" s="2"/>
      <c r="T240" s="1"/>
      <c r="U240" s="1"/>
      <c r="V240" s="1"/>
      <c r="W240" s="1"/>
      <c r="X240" s="1"/>
      <c r="Y240" s="1"/>
      <c r="Z240" s="1"/>
      <c r="AA240" s="1"/>
      <c r="AB240" s="1"/>
      <c r="AC240" s="2"/>
      <c r="AD240" s="2"/>
      <c r="AE240" s="1"/>
      <c r="AF240" s="2"/>
      <c r="AG240" s="1"/>
      <c r="AH240" s="2"/>
      <c r="AI240" s="1"/>
      <c r="AJ240" s="2"/>
      <c r="AK240" s="1"/>
      <c r="AL240" s="2"/>
      <c r="AM240" s="2"/>
      <c r="AN240" s="2"/>
      <c r="AO240" s="1"/>
      <c r="AP240" s="1"/>
      <c r="AQ240" s="1"/>
    </row>
    <row r="241" spans="3:8" x14ac:dyDescent="0.3">
      <c r="F241" s="178"/>
      <c r="G241" s="178"/>
      <c r="H241" s="100"/>
    </row>
    <row r="242" spans="3:8" x14ac:dyDescent="0.3">
      <c r="F242" s="178"/>
      <c r="G242" s="178"/>
      <c r="H242" s="100"/>
    </row>
    <row r="243" spans="3:8" ht="18" x14ac:dyDescent="0.3">
      <c r="C243" s="184"/>
      <c r="D243" s="184"/>
      <c r="F243" s="184"/>
      <c r="G243" s="184"/>
      <c r="H243" s="2"/>
    </row>
    <row r="244" spans="3:8" ht="18" x14ac:dyDescent="0.3">
      <c r="C244" s="184"/>
      <c r="D244" s="184"/>
      <c r="F244" s="184"/>
      <c r="G244" s="184"/>
      <c r="H244" s="2"/>
    </row>
    <row r="245" spans="3:8" ht="18" x14ac:dyDescent="0.3">
      <c r="C245" s="184"/>
      <c r="D245" s="184"/>
      <c r="F245" s="184"/>
      <c r="G245" s="184"/>
      <c r="H245" s="2"/>
    </row>
    <row r="246" spans="3:8" ht="18" x14ac:dyDescent="0.3">
      <c r="C246" s="184"/>
      <c r="D246" s="184"/>
      <c r="F246" s="184"/>
      <c r="G246" s="184"/>
      <c r="H246" s="2"/>
    </row>
    <row r="247" spans="3:8" ht="18" x14ac:dyDescent="0.3">
      <c r="C247" s="152" t="s">
        <v>924</v>
      </c>
      <c r="D247" s="152" t="s">
        <v>932</v>
      </c>
      <c r="F247" s="185" t="s">
        <v>925</v>
      </c>
      <c r="G247" s="185"/>
      <c r="H247" s="152"/>
    </row>
    <row r="248" spans="3:8" ht="18" x14ac:dyDescent="0.3">
      <c r="C248" s="152" t="s">
        <v>928</v>
      </c>
      <c r="D248" s="152" t="s">
        <v>321</v>
      </c>
      <c r="F248" s="185" t="s">
        <v>933</v>
      </c>
      <c r="G248" s="185"/>
      <c r="H248" s="152"/>
    </row>
    <row r="249" spans="3:8" ht="18" x14ac:dyDescent="0.3">
      <c r="C249" s="1"/>
      <c r="D249" s="2"/>
      <c r="F249" s="184"/>
      <c r="G249" s="184"/>
      <c r="H249" s="2"/>
    </row>
    <row r="250" spans="3:8" ht="18" x14ac:dyDescent="0.3">
      <c r="C250" s="1"/>
      <c r="D250" s="2"/>
      <c r="F250" s="184"/>
      <c r="G250" s="184"/>
      <c r="H250" s="2"/>
    </row>
    <row r="251" spans="3:8" ht="18" x14ac:dyDescent="0.3">
      <c r="C251" s="184"/>
      <c r="D251" s="184"/>
      <c r="F251" s="184"/>
      <c r="G251" s="184"/>
      <c r="H251" s="2"/>
    </row>
    <row r="252" spans="3:8" ht="18" x14ac:dyDescent="0.3">
      <c r="C252" s="184"/>
      <c r="D252" s="184"/>
      <c r="F252" s="184"/>
      <c r="G252" s="184"/>
      <c r="H252" s="2"/>
    </row>
    <row r="253" spans="3:8" ht="18" x14ac:dyDescent="0.3">
      <c r="C253" s="184"/>
      <c r="D253" s="184"/>
      <c r="F253" s="184"/>
      <c r="G253" s="184"/>
      <c r="H253" s="2"/>
    </row>
    <row r="254" spans="3:8" ht="18" x14ac:dyDescent="0.3">
      <c r="C254" s="184"/>
      <c r="D254" s="184"/>
      <c r="F254" s="184"/>
      <c r="G254" s="184"/>
      <c r="H254" s="2"/>
    </row>
    <row r="255" spans="3:8" ht="18" x14ac:dyDescent="0.3">
      <c r="C255" s="152" t="s">
        <v>929</v>
      </c>
      <c r="D255" s="152"/>
      <c r="F255" s="185" t="s">
        <v>930</v>
      </c>
      <c r="G255" s="185"/>
      <c r="H255" s="152"/>
    </row>
    <row r="256" spans="3:8" ht="18" x14ac:dyDescent="0.3">
      <c r="C256" s="152" t="s">
        <v>333</v>
      </c>
      <c r="D256" s="152"/>
      <c r="F256" s="185" t="s">
        <v>279</v>
      </c>
      <c r="G256" s="185"/>
      <c r="H256" s="152"/>
    </row>
    <row r="257" spans="6:8" x14ac:dyDescent="0.3">
      <c r="F257" s="178"/>
      <c r="G257" s="178"/>
      <c r="H257" s="100"/>
    </row>
    <row r="258" spans="6:8" x14ac:dyDescent="0.3">
      <c r="F258" s="178"/>
      <c r="G258" s="178"/>
      <c r="H258" s="100"/>
    </row>
  </sheetData>
  <autoFilter ref="A14:AQ233" xr:uid="{00000000-0009-0000-0000-000000000000}">
    <filterColumn colId="8">
      <filters blank="1"/>
    </filterColumn>
  </autoFilter>
  <sortState xmlns:xlrd2="http://schemas.microsoft.com/office/spreadsheetml/2017/richdata2" ref="C14:AQ227">
    <sortCondition descending="1" ref="S14:S227"/>
  </sortState>
  <mergeCells count="54">
    <mergeCell ref="C251:C254"/>
    <mergeCell ref="F251:G254"/>
    <mergeCell ref="F239:G239"/>
    <mergeCell ref="F240:G240"/>
    <mergeCell ref="F247:G247"/>
    <mergeCell ref="F248:G248"/>
    <mergeCell ref="F249:G250"/>
    <mergeCell ref="D251:D254"/>
    <mergeCell ref="E11:E12"/>
    <mergeCell ref="D11:D12"/>
    <mergeCell ref="C235:C238"/>
    <mergeCell ref="F235:G238"/>
    <mergeCell ref="C243:C246"/>
    <mergeCell ref="F243:G246"/>
    <mergeCell ref="F241:G242"/>
    <mergeCell ref="D235:D238"/>
    <mergeCell ref="D243:D246"/>
    <mergeCell ref="AO11:AO12"/>
    <mergeCell ref="AP11:AP12"/>
    <mergeCell ref="AQ11:AQ12"/>
    <mergeCell ref="A10:H10"/>
    <mergeCell ref="I10:T10"/>
    <mergeCell ref="AA10:AQ10"/>
    <mergeCell ref="A11:B12"/>
    <mergeCell ref="C11:C12"/>
    <mergeCell ref="F11:F12"/>
    <mergeCell ref="G11:G12"/>
    <mergeCell ref="I11:J11"/>
    <mergeCell ref="K11:K12"/>
    <mergeCell ref="L11:L12"/>
    <mergeCell ref="M11:M12"/>
    <mergeCell ref="U11:U12"/>
    <mergeCell ref="Q11:Q12"/>
    <mergeCell ref="X11:X12"/>
    <mergeCell ref="Z11:Z12"/>
    <mergeCell ref="Y11:Y12"/>
    <mergeCell ref="AL11:AN11"/>
    <mergeCell ref="AA11:AC11"/>
    <mergeCell ref="AD11:AE11"/>
    <mergeCell ref="AF11:AG11"/>
    <mergeCell ref="AH11:AI11"/>
    <mergeCell ref="AJ11:AK11"/>
    <mergeCell ref="F257:G258"/>
    <mergeCell ref="W11:W12"/>
    <mergeCell ref="V11:V12"/>
    <mergeCell ref="N11:N12"/>
    <mergeCell ref="O11:P11"/>
    <mergeCell ref="I235:I238"/>
    <mergeCell ref="F256:G256"/>
    <mergeCell ref="F255:G255"/>
    <mergeCell ref="H11:H12"/>
    <mergeCell ref="R11:R12"/>
    <mergeCell ref="S11:S12"/>
    <mergeCell ref="T11:T12"/>
  </mergeCells>
  <conditionalFormatting sqref="T15:T233 AO15:AO233">
    <cfRule type="containsText" dxfId="335" priority="767" stopIfTrue="1" operator="containsText" text="SEDANG-RENDAH">
      <formula>NOT(ISERROR(SEARCH("SEDANG-RENDAH",T15)))</formula>
    </cfRule>
    <cfRule type="containsText" dxfId="334" priority="768" stopIfTrue="1" operator="containsText" text="SEDANG-TINGGI">
      <formula>NOT(ISERROR(SEARCH("SEDANG-TINGGI",T15)))</formula>
    </cfRule>
    <cfRule type="containsText" dxfId="333" priority="769" stopIfTrue="1" operator="containsText" text="SEDANG">
      <formula>NOT(ISERROR(SEARCH("SEDANG",T15)))</formula>
    </cfRule>
    <cfRule type="containsText" dxfId="332" priority="770" stopIfTrue="1" operator="containsText" text="TINGGI">
      <formula>NOT(ISERROR(SEARCH("TINGGI",T15)))</formula>
    </cfRule>
    <cfRule type="containsText" dxfId="331" priority="771" stopIfTrue="1" operator="containsText" text="RENDAH">
      <formula>NOT(ISERROR(SEARCH("RENDAH",T15)))</formula>
    </cfRule>
  </conditionalFormatting>
  <conditionalFormatting sqref="Y147:Y232 X16:X20 Y15:Z24 X22:X24">
    <cfRule type="containsText" dxfId="330" priority="332" stopIfTrue="1" operator="containsText" text="SEDANG-TINGGI">
      <formula>NOT(ISERROR(SEARCH(("SEDANG-TINGGI"),(X15))))</formula>
    </cfRule>
    <cfRule type="containsText" dxfId="329" priority="333" stopIfTrue="1" operator="containsText" text="SEDANG">
      <formula>NOT(ISERROR(SEARCH(("SEDANG"),(X15))))</formula>
    </cfRule>
    <cfRule type="containsText" dxfId="328" priority="334" stopIfTrue="1" operator="containsText" text="TINGGI">
      <formula>NOT(ISERROR(SEARCH(("TINGGI"),(X15))))</formula>
    </cfRule>
    <cfRule type="containsText" dxfId="327" priority="335" stopIfTrue="1" operator="containsText" text="RENDAH">
      <formula>NOT(ISERROR(SEARCH(("RENDAH"),(X15))))</formula>
    </cfRule>
  </conditionalFormatting>
  <conditionalFormatting sqref="X25:Z25 Y25:Y144 Y26:Z57 Y166:Z168 X212:X232 X16:X20 Y15:Z24 X22:X24">
    <cfRule type="containsText" dxfId="326" priority="782" stopIfTrue="1" operator="containsText" text="SEDANG-RENDAH">
      <formula>NOT(ISERROR(SEARCH(("SEDANG-RENDAH"),(X15))))</formula>
    </cfRule>
  </conditionalFormatting>
  <conditionalFormatting sqref="X25:Z25 Y26:Z57">
    <cfRule type="containsText" dxfId="325" priority="446" stopIfTrue="1" operator="containsText" text="SEDANG-RENDAH">
      <formula>NOT(ISERROR(SEARCH(("SEDANG-RENDAH"),(X25))))</formula>
    </cfRule>
    <cfRule type="containsText" dxfId="324" priority="447" stopIfTrue="1" operator="containsText" text="SEDANG-TINGGI">
      <formula>NOT(ISERROR(SEARCH(("SEDANG-TINGGI"),(X25))))</formula>
    </cfRule>
    <cfRule type="containsText" dxfId="323" priority="448" stopIfTrue="1" operator="containsText" text="SEDANG">
      <formula>NOT(ISERROR(SEARCH(("SEDANG"),(X25))))</formula>
    </cfRule>
    <cfRule type="containsText" dxfId="322" priority="449" stopIfTrue="1" operator="containsText" text="TINGGI">
      <formula>NOT(ISERROR(SEARCH(("TINGGI"),(X25))))</formula>
    </cfRule>
    <cfRule type="containsText" dxfId="321" priority="450" stopIfTrue="1" operator="containsText" text="RENDAH">
      <formula>NOT(ISERROR(SEARCH(("RENDAH"),(X25))))</formula>
    </cfRule>
  </conditionalFormatting>
  <conditionalFormatting sqref="Y25:Y144">
    <cfRule type="containsText" dxfId="320" priority="311" stopIfTrue="1" operator="containsText" text="SEDANG-RENDAH">
      <formula>NOT(ISERROR(SEARCH(("SEDANG-RENDAH"),(Y25))))</formula>
    </cfRule>
    <cfRule type="containsText" dxfId="319" priority="312" stopIfTrue="1" operator="containsText" text="SEDANG-TINGGI">
      <formula>NOT(ISERROR(SEARCH(("SEDANG-TINGGI"),(Y25))))</formula>
    </cfRule>
    <cfRule type="containsText" dxfId="318" priority="313" stopIfTrue="1" operator="containsText" text="SEDANG">
      <formula>NOT(ISERROR(SEARCH(("SEDANG"),(Y25))))</formula>
    </cfRule>
    <cfRule type="containsText" dxfId="317" priority="314" stopIfTrue="1" operator="containsText" text="TINGGI">
      <formula>NOT(ISERROR(SEARCH(("TINGGI"),(Y25))))</formula>
    </cfRule>
    <cfRule type="containsText" dxfId="316" priority="315" stopIfTrue="1" operator="containsText" text="RENDAH">
      <formula>NOT(ISERROR(SEARCH(("RENDAH"),(Y25))))</formula>
    </cfRule>
  </conditionalFormatting>
  <conditionalFormatting sqref="Y58:Y144">
    <cfRule type="containsText" dxfId="315" priority="286" stopIfTrue="1" operator="containsText" text="SEDANG-RENDAH">
      <formula>NOT(ISERROR(SEARCH(("SEDANG-RENDAH"),(Y58))))</formula>
    </cfRule>
    <cfRule type="containsText" dxfId="314" priority="287" stopIfTrue="1" operator="containsText" text="SEDANG-TINGGI">
      <formula>NOT(ISERROR(SEARCH(("SEDANG-TINGGI"),(Y58))))</formula>
    </cfRule>
    <cfRule type="containsText" dxfId="313" priority="288" stopIfTrue="1" operator="containsText" text="SEDANG">
      <formula>NOT(ISERROR(SEARCH(("SEDANG"),(Y58))))</formula>
    </cfRule>
    <cfRule type="containsText" dxfId="312" priority="289" stopIfTrue="1" operator="containsText" text="TINGGI">
      <formula>NOT(ISERROR(SEARCH(("TINGGI"),(Y58))))</formula>
    </cfRule>
    <cfRule type="containsText" dxfId="311" priority="290" stopIfTrue="1" operator="containsText" text="RENDAH">
      <formula>NOT(ISERROR(SEARCH(("RENDAH"),(Y58))))</formula>
    </cfRule>
  </conditionalFormatting>
  <conditionalFormatting sqref="Y58:Y232">
    <cfRule type="containsText" dxfId="310" priority="16" stopIfTrue="1" operator="containsText" text="SEDANG-RENDAH">
      <formula>NOT(ISERROR(SEARCH(("SEDANG-RENDAH"),(Y58))))</formula>
    </cfRule>
    <cfRule type="containsText" dxfId="309" priority="17" stopIfTrue="1" operator="containsText" text="SEDANG-TINGGI">
      <formula>NOT(ISERROR(SEARCH(("SEDANG-TINGGI"),(Y58))))</formula>
    </cfRule>
    <cfRule type="containsText" dxfId="308" priority="18" stopIfTrue="1" operator="containsText" text="SEDANG">
      <formula>NOT(ISERROR(SEARCH(("SEDANG"),(Y58))))</formula>
    </cfRule>
    <cfRule type="containsText" dxfId="307" priority="19" stopIfTrue="1" operator="containsText" text="TINGGI">
      <formula>NOT(ISERROR(SEARCH(("TINGGI"),(Y58))))</formula>
    </cfRule>
    <cfRule type="containsText" dxfId="306" priority="20" stopIfTrue="1" operator="containsText" text="RENDAH">
      <formula>NOT(ISERROR(SEARCH(("RENDAH"),(Y58))))</formula>
    </cfRule>
    <cfRule type="containsText" dxfId="305" priority="376" stopIfTrue="1" operator="containsText" text="SEDANG-RENDAH">
      <formula>NOT(ISERROR(SEARCH(("SEDANG-RENDAH"),(Y58))))</formula>
    </cfRule>
    <cfRule type="containsText" dxfId="304" priority="377" stopIfTrue="1" operator="containsText" text="SEDANG-TINGGI">
      <formula>NOT(ISERROR(SEARCH(("SEDANG-TINGGI"),(Y58))))</formula>
    </cfRule>
    <cfRule type="containsText" dxfId="303" priority="378" stopIfTrue="1" operator="containsText" text="SEDANG">
      <formula>NOT(ISERROR(SEARCH(("SEDANG"),(Y58))))</formula>
    </cfRule>
    <cfRule type="containsText" dxfId="302" priority="379" stopIfTrue="1" operator="containsText" text="TINGGI">
      <formula>NOT(ISERROR(SEARCH(("TINGGI"),(Y58))))</formula>
    </cfRule>
    <cfRule type="containsText" dxfId="301" priority="380" stopIfTrue="1" operator="containsText" text="RENDAH">
      <formula>NOT(ISERROR(SEARCH(("RENDAH"),(Y58))))</formula>
    </cfRule>
  </conditionalFormatting>
  <conditionalFormatting sqref="Y145:Y146">
    <cfRule type="containsText" dxfId="300" priority="1" stopIfTrue="1" operator="containsText" text="SEDANG-RENDAH">
      <formula>NOT(ISERROR(SEARCH(("SEDANG-RENDAH"),(Y145))))</formula>
    </cfRule>
    <cfRule type="containsText" dxfId="299" priority="2" stopIfTrue="1" operator="containsText" text="SEDANG-TINGGI">
      <formula>NOT(ISERROR(SEARCH(("SEDANG-TINGGI"),(Y145))))</formula>
    </cfRule>
    <cfRule type="containsText" dxfId="298" priority="3" stopIfTrue="1" operator="containsText" text="SEDANG">
      <formula>NOT(ISERROR(SEARCH(("SEDANG"),(Y145))))</formula>
    </cfRule>
    <cfRule type="containsText" dxfId="297" priority="4" stopIfTrue="1" operator="containsText" text="TINGGI">
      <formula>NOT(ISERROR(SEARCH(("TINGGI"),(Y145))))</formula>
    </cfRule>
    <cfRule type="containsText" dxfId="296" priority="5" stopIfTrue="1" operator="containsText" text="RENDAH">
      <formula>NOT(ISERROR(SEARCH(("RENDAH"),(Y145))))</formula>
    </cfRule>
    <cfRule type="containsText" dxfId="295" priority="6" stopIfTrue="1" operator="containsText" text="SEDANG-RENDAH">
      <formula>NOT(ISERROR(SEARCH(("SEDANG-RENDAH"),(Y145))))</formula>
    </cfRule>
    <cfRule type="containsText" dxfId="294" priority="7" stopIfTrue="1" operator="containsText" text="SEDANG-TINGGI">
      <formula>NOT(ISERROR(SEARCH(("SEDANG-TINGGI"),(Y145))))</formula>
    </cfRule>
    <cfRule type="containsText" dxfId="293" priority="8" stopIfTrue="1" operator="containsText" text="SEDANG">
      <formula>NOT(ISERROR(SEARCH(("SEDANG"),(Y145))))</formula>
    </cfRule>
    <cfRule type="containsText" dxfId="292" priority="9" stopIfTrue="1" operator="containsText" text="TINGGI">
      <formula>NOT(ISERROR(SEARCH(("TINGGI"),(Y145))))</formula>
    </cfRule>
    <cfRule type="containsText" dxfId="291" priority="10" stopIfTrue="1" operator="containsText" text="RENDAH">
      <formula>NOT(ISERROR(SEARCH(("RENDAH"),(Y145))))</formula>
    </cfRule>
    <cfRule type="containsText" dxfId="290" priority="11" stopIfTrue="1" operator="containsText" text="SEDANG-RENDAH">
      <formula>NOT(ISERROR(SEARCH(("SEDANG-RENDAH"),(Y145))))</formula>
    </cfRule>
    <cfRule type="containsText" dxfId="289" priority="12" stopIfTrue="1" operator="containsText" text="SEDANG-TINGGI">
      <formula>NOT(ISERROR(SEARCH(("SEDANG-TINGGI"),(Y145))))</formula>
    </cfRule>
    <cfRule type="containsText" dxfId="288" priority="13" stopIfTrue="1" operator="containsText" text="SEDANG">
      <formula>NOT(ISERROR(SEARCH(("SEDANG"),(Y145))))</formula>
    </cfRule>
    <cfRule type="containsText" dxfId="287" priority="14" stopIfTrue="1" operator="containsText" text="TINGGI">
      <formula>NOT(ISERROR(SEARCH(("TINGGI"),(Y145))))</formula>
    </cfRule>
    <cfRule type="containsText" dxfId="286" priority="15" stopIfTrue="1" operator="containsText" text="RENDAH">
      <formula>NOT(ISERROR(SEARCH(("RENDAH"),(Y145))))</formula>
    </cfRule>
  </conditionalFormatting>
  <conditionalFormatting sqref="Y147:Y232">
    <cfRule type="containsText" dxfId="285" priority="331" stopIfTrue="1" operator="containsText" text="SEDANG-RENDAH">
      <formula>NOT(ISERROR(SEARCH(("SEDANG-RENDAH"),(Y147))))</formula>
    </cfRule>
  </conditionalFormatting>
  <conditionalFormatting sqref="X25:Z25 Y25:Y144 Y26:Z57 Y166:Z168 X212:X232">
    <cfRule type="containsText" dxfId="284" priority="783" stopIfTrue="1" operator="containsText" text="SEDANG-TINGGI">
      <formula>NOT(ISERROR(SEARCH(("SEDANG-TINGGI"),(X25))))</formula>
    </cfRule>
    <cfRule type="containsText" dxfId="283" priority="784" stopIfTrue="1" operator="containsText" text="SEDANG">
      <formula>NOT(ISERROR(SEARCH(("SEDANG"),(X25))))</formula>
    </cfRule>
    <cfRule type="containsText" dxfId="282" priority="785" stopIfTrue="1" operator="containsText" text="TINGGI">
      <formula>NOT(ISERROR(SEARCH(("TINGGI"),(X25))))</formula>
    </cfRule>
    <cfRule type="containsText" dxfId="281" priority="786" stopIfTrue="1" operator="containsText" text="RENDAH">
      <formula>NOT(ISERROR(SEARCH(("RENDAH"),(X25))))</formula>
    </cfRule>
  </conditionalFormatting>
  <conditionalFormatting sqref="Y168:Z168">
    <cfRule type="containsText" dxfId="280" priority="441" stopIfTrue="1" operator="containsText" text="SEDANG-RENDAH">
      <formula>NOT(ISERROR(SEARCH(("SEDANG-RENDAH"),(Y168))))</formula>
    </cfRule>
    <cfRule type="containsText" dxfId="279" priority="442" stopIfTrue="1" operator="containsText" text="SEDANG-TINGGI">
      <formula>NOT(ISERROR(SEARCH(("SEDANG-TINGGI"),(Y168))))</formula>
    </cfRule>
    <cfRule type="containsText" dxfId="278" priority="443" stopIfTrue="1" operator="containsText" text="SEDANG">
      <formula>NOT(ISERROR(SEARCH(("SEDANG"),(Y168))))</formula>
    </cfRule>
    <cfRule type="containsText" dxfId="277" priority="444" stopIfTrue="1" operator="containsText" text="TINGGI">
      <formula>NOT(ISERROR(SEARCH(("TINGGI"),(Y168))))</formula>
    </cfRule>
    <cfRule type="containsText" dxfId="276" priority="445" stopIfTrue="1" operator="containsText" text="RENDAH">
      <formula>NOT(ISERROR(SEARCH(("RENDAH"),(Y168))))</formula>
    </cfRule>
  </conditionalFormatting>
  <conditionalFormatting sqref="Z54">
    <cfRule type="containsText" dxfId="275" priority="301" stopIfTrue="1" operator="containsText" text="SEDANG-RENDAH">
      <formula>NOT(ISERROR(SEARCH(("SEDANG-RENDAH"),(Z54))))</formula>
    </cfRule>
    <cfRule type="containsText" dxfId="274" priority="302" stopIfTrue="1" operator="containsText" text="SEDANG-TINGGI">
      <formula>NOT(ISERROR(SEARCH(("SEDANG-TINGGI"),(Z54))))</formula>
    </cfRule>
    <cfRule type="containsText" dxfId="273" priority="303" stopIfTrue="1" operator="containsText" text="SEDANG">
      <formula>NOT(ISERROR(SEARCH(("SEDANG"),(Z54))))</formula>
    </cfRule>
    <cfRule type="containsText" dxfId="272" priority="304" stopIfTrue="1" operator="containsText" text="TINGGI">
      <formula>NOT(ISERROR(SEARCH(("TINGGI"),(Z54))))</formula>
    </cfRule>
    <cfRule type="containsText" dxfId="271" priority="305" stopIfTrue="1" operator="containsText" text="RENDAH">
      <formula>NOT(ISERROR(SEARCH(("RENDAH"),(Z54))))</formula>
    </cfRule>
    <cfRule type="containsText" dxfId="270" priority="306" stopIfTrue="1" operator="containsText" text="SEDANG-RENDAH">
      <formula>NOT(ISERROR(SEARCH(("SEDANG-RENDAH"),(Z54))))</formula>
    </cfRule>
    <cfRule type="containsText" dxfId="269" priority="307" stopIfTrue="1" operator="containsText" text="SEDANG-TINGGI">
      <formula>NOT(ISERROR(SEARCH(("SEDANG-TINGGI"),(Z54))))</formula>
    </cfRule>
    <cfRule type="containsText" dxfId="268" priority="308" stopIfTrue="1" operator="containsText" text="SEDANG">
      <formula>NOT(ISERROR(SEARCH(("SEDANG"),(Z54))))</formula>
    </cfRule>
    <cfRule type="containsText" dxfId="267" priority="309" stopIfTrue="1" operator="containsText" text="TINGGI">
      <formula>NOT(ISERROR(SEARCH(("TINGGI"),(Z54))))</formula>
    </cfRule>
    <cfRule type="containsText" dxfId="266" priority="310" stopIfTrue="1" operator="containsText" text="RENDAH">
      <formula>NOT(ISERROR(SEARCH(("RENDAH"),(Z54))))</formula>
    </cfRule>
  </conditionalFormatting>
  <conditionalFormatting sqref="Z57">
    <cfRule type="containsText" dxfId="265" priority="291" stopIfTrue="1" operator="containsText" text="SEDANG-RENDAH">
      <formula>NOT(ISERROR(SEARCH(("SEDANG-RENDAH"),(Z57))))</formula>
    </cfRule>
    <cfRule type="containsText" dxfId="264" priority="292" stopIfTrue="1" operator="containsText" text="SEDANG-TINGGI">
      <formula>NOT(ISERROR(SEARCH(("SEDANG-TINGGI"),(Z57))))</formula>
    </cfRule>
    <cfRule type="containsText" dxfId="263" priority="293" stopIfTrue="1" operator="containsText" text="SEDANG">
      <formula>NOT(ISERROR(SEARCH(("SEDANG"),(Z57))))</formula>
    </cfRule>
    <cfRule type="containsText" dxfId="262" priority="294" stopIfTrue="1" operator="containsText" text="TINGGI">
      <formula>NOT(ISERROR(SEARCH(("TINGGI"),(Z57))))</formula>
    </cfRule>
    <cfRule type="containsText" dxfId="261" priority="295" stopIfTrue="1" operator="containsText" text="RENDAH">
      <formula>NOT(ISERROR(SEARCH(("RENDAH"),(Z57))))</formula>
    </cfRule>
  </conditionalFormatting>
  <conditionalFormatting sqref="Z57:Z59">
    <cfRule type="containsText" dxfId="260" priority="296" stopIfTrue="1" operator="containsText" text="SEDANG-RENDAH">
      <formula>NOT(ISERROR(SEARCH(("SEDANG-RENDAH"),(Z57))))</formula>
    </cfRule>
    <cfRule type="containsText" dxfId="259" priority="297" stopIfTrue="1" operator="containsText" text="SEDANG-TINGGI">
      <formula>NOT(ISERROR(SEARCH(("SEDANG-TINGGI"),(Z57))))</formula>
    </cfRule>
    <cfRule type="containsText" dxfId="258" priority="298" stopIfTrue="1" operator="containsText" text="SEDANG">
      <formula>NOT(ISERROR(SEARCH(("SEDANG"),(Z57))))</formula>
    </cfRule>
    <cfRule type="containsText" dxfId="257" priority="299" stopIfTrue="1" operator="containsText" text="TINGGI">
      <formula>NOT(ISERROR(SEARCH(("TINGGI"),(Z57))))</formula>
    </cfRule>
    <cfRule type="containsText" dxfId="256" priority="300" stopIfTrue="1" operator="containsText" text="RENDAH">
      <formula>NOT(ISERROR(SEARCH(("RENDAH"),(Z57))))</formula>
    </cfRule>
  </conditionalFormatting>
  <conditionalFormatting sqref="Z60">
    <cfRule type="containsText" dxfId="255" priority="251" stopIfTrue="1" operator="containsText" text="SEDANG-RENDAH">
      <formula>NOT(ISERROR(SEARCH(("SEDANG-RENDAH"),(Z60))))</formula>
    </cfRule>
    <cfRule type="containsText" dxfId="254" priority="252" stopIfTrue="1" operator="containsText" text="SEDANG-TINGGI">
      <formula>NOT(ISERROR(SEARCH(("SEDANG-TINGGI"),(Z60))))</formula>
    </cfRule>
    <cfRule type="containsText" dxfId="253" priority="253" stopIfTrue="1" operator="containsText" text="SEDANG">
      <formula>NOT(ISERROR(SEARCH(("SEDANG"),(Z60))))</formula>
    </cfRule>
    <cfRule type="containsText" dxfId="252" priority="254" stopIfTrue="1" operator="containsText" text="TINGGI">
      <formula>NOT(ISERROR(SEARCH(("TINGGI"),(Z60))))</formula>
    </cfRule>
    <cfRule type="containsText" dxfId="251" priority="255" stopIfTrue="1" operator="containsText" text="RENDAH">
      <formula>NOT(ISERROR(SEARCH(("RENDAH"),(Z60))))</formula>
    </cfRule>
    <cfRule type="containsText" dxfId="250" priority="256" stopIfTrue="1" operator="containsText" text="SEDANG-RENDAH">
      <formula>NOT(ISERROR(SEARCH(("SEDANG-RENDAH"),(Z60))))</formula>
    </cfRule>
    <cfRule type="containsText" dxfId="249" priority="257" stopIfTrue="1" operator="containsText" text="SEDANG-TINGGI">
      <formula>NOT(ISERROR(SEARCH(("SEDANG-TINGGI"),(Z60))))</formula>
    </cfRule>
    <cfRule type="containsText" dxfId="248" priority="258" stopIfTrue="1" operator="containsText" text="SEDANG">
      <formula>NOT(ISERROR(SEARCH(("SEDANG"),(Z60))))</formula>
    </cfRule>
    <cfRule type="containsText" dxfId="247" priority="259" stopIfTrue="1" operator="containsText" text="TINGGI">
      <formula>NOT(ISERROR(SEARCH(("TINGGI"),(Z60))))</formula>
    </cfRule>
    <cfRule type="containsText" dxfId="246" priority="260" stopIfTrue="1" operator="containsText" text="RENDAH">
      <formula>NOT(ISERROR(SEARCH(("RENDAH"),(Z60))))</formula>
    </cfRule>
    <cfRule type="containsText" dxfId="245" priority="261" stopIfTrue="1" operator="containsText" text="SEDANG-RENDAH">
      <formula>NOT(ISERROR(SEARCH(("SEDANG-RENDAH"),(Z60))))</formula>
    </cfRule>
    <cfRule type="containsText" dxfId="244" priority="262" stopIfTrue="1" operator="containsText" text="SEDANG-TINGGI">
      <formula>NOT(ISERROR(SEARCH(("SEDANG-TINGGI"),(Z60))))</formula>
    </cfRule>
    <cfRule type="containsText" dxfId="243" priority="263" stopIfTrue="1" operator="containsText" text="SEDANG">
      <formula>NOT(ISERROR(SEARCH(("SEDANG"),(Z60))))</formula>
    </cfRule>
    <cfRule type="containsText" dxfId="242" priority="264" stopIfTrue="1" operator="containsText" text="TINGGI">
      <formula>NOT(ISERROR(SEARCH(("TINGGI"),(Z60))))</formula>
    </cfRule>
    <cfRule type="containsText" dxfId="241" priority="265" stopIfTrue="1" operator="containsText" text="RENDAH">
      <formula>NOT(ISERROR(SEARCH(("RENDAH"),(Z60))))</formula>
    </cfRule>
    <cfRule type="containsText" dxfId="240" priority="266" stopIfTrue="1" operator="containsText" text="SEDANG-RENDAH">
      <formula>NOT(ISERROR(SEARCH(("SEDANG-RENDAH"),(Z60))))</formula>
    </cfRule>
    <cfRule type="containsText" dxfId="239" priority="267" stopIfTrue="1" operator="containsText" text="SEDANG-TINGGI">
      <formula>NOT(ISERROR(SEARCH(("SEDANG-TINGGI"),(Z60))))</formula>
    </cfRule>
    <cfRule type="containsText" dxfId="238" priority="268" stopIfTrue="1" operator="containsText" text="SEDANG">
      <formula>NOT(ISERROR(SEARCH(("SEDANG"),(Z60))))</formula>
    </cfRule>
    <cfRule type="containsText" dxfId="237" priority="269" stopIfTrue="1" operator="containsText" text="TINGGI">
      <formula>NOT(ISERROR(SEARCH(("TINGGI"),(Z60))))</formula>
    </cfRule>
    <cfRule type="containsText" dxfId="236" priority="270" stopIfTrue="1" operator="containsText" text="RENDAH">
      <formula>NOT(ISERROR(SEARCH(("RENDAH"),(Z60))))</formula>
    </cfRule>
  </conditionalFormatting>
  <conditionalFormatting sqref="Z60:Z65">
    <cfRule type="containsText" dxfId="235" priority="271" stopIfTrue="1" operator="containsText" text="SEDANG-RENDAH">
      <formula>NOT(ISERROR(SEARCH(("SEDANG-RENDAH"),(Z60))))</formula>
    </cfRule>
    <cfRule type="containsText" dxfId="234" priority="272" stopIfTrue="1" operator="containsText" text="SEDANG-TINGGI">
      <formula>NOT(ISERROR(SEARCH(("SEDANG-TINGGI"),(Z60))))</formula>
    </cfRule>
    <cfRule type="containsText" dxfId="233" priority="273" stopIfTrue="1" operator="containsText" text="SEDANG">
      <formula>NOT(ISERROR(SEARCH(("SEDANG"),(Z60))))</formula>
    </cfRule>
    <cfRule type="containsText" dxfId="232" priority="274" stopIfTrue="1" operator="containsText" text="TINGGI">
      <formula>NOT(ISERROR(SEARCH(("TINGGI"),(Z60))))</formula>
    </cfRule>
    <cfRule type="containsText" dxfId="231" priority="275" stopIfTrue="1" operator="containsText" text="RENDAH">
      <formula>NOT(ISERROR(SEARCH(("RENDAH"),(Z60))))</formula>
    </cfRule>
  </conditionalFormatting>
  <conditionalFormatting sqref="Z66">
    <cfRule type="containsText" dxfId="230" priority="226" stopIfTrue="1" operator="containsText" text="SEDANG-RENDAH">
      <formula>NOT(ISERROR(SEARCH(("SEDANG-RENDAH"),(Z66))))</formula>
    </cfRule>
    <cfRule type="containsText" dxfId="229" priority="227" stopIfTrue="1" operator="containsText" text="SEDANG-TINGGI">
      <formula>NOT(ISERROR(SEARCH(("SEDANG-TINGGI"),(Z66))))</formula>
    </cfRule>
    <cfRule type="containsText" dxfId="228" priority="228" stopIfTrue="1" operator="containsText" text="SEDANG">
      <formula>NOT(ISERROR(SEARCH(("SEDANG"),(Z66))))</formula>
    </cfRule>
    <cfRule type="containsText" dxfId="227" priority="229" stopIfTrue="1" operator="containsText" text="TINGGI">
      <formula>NOT(ISERROR(SEARCH(("TINGGI"),(Z66))))</formula>
    </cfRule>
    <cfRule type="containsText" dxfId="226" priority="230" stopIfTrue="1" operator="containsText" text="RENDAH">
      <formula>NOT(ISERROR(SEARCH(("RENDAH"),(Z66))))</formula>
    </cfRule>
    <cfRule type="containsText" dxfId="225" priority="231" stopIfTrue="1" operator="containsText" text="SEDANG-RENDAH">
      <formula>NOT(ISERROR(SEARCH(("SEDANG-RENDAH"),(Z66))))</formula>
    </cfRule>
    <cfRule type="containsText" dxfId="224" priority="232" stopIfTrue="1" operator="containsText" text="SEDANG-TINGGI">
      <formula>NOT(ISERROR(SEARCH(("SEDANG-TINGGI"),(Z66))))</formula>
    </cfRule>
    <cfRule type="containsText" dxfId="223" priority="233" stopIfTrue="1" operator="containsText" text="SEDANG">
      <formula>NOT(ISERROR(SEARCH(("SEDANG"),(Z66))))</formula>
    </cfRule>
    <cfRule type="containsText" dxfId="222" priority="234" stopIfTrue="1" operator="containsText" text="TINGGI">
      <formula>NOT(ISERROR(SEARCH(("TINGGI"),(Z66))))</formula>
    </cfRule>
    <cfRule type="containsText" dxfId="221" priority="235" stopIfTrue="1" operator="containsText" text="RENDAH">
      <formula>NOT(ISERROR(SEARCH(("RENDAH"),(Z66))))</formula>
    </cfRule>
    <cfRule type="containsText" dxfId="220" priority="236" stopIfTrue="1" operator="containsText" text="SEDANG-RENDAH">
      <formula>NOT(ISERROR(SEARCH(("SEDANG-RENDAH"),(Z66))))</formula>
    </cfRule>
    <cfRule type="containsText" dxfId="219" priority="237" stopIfTrue="1" operator="containsText" text="SEDANG-TINGGI">
      <formula>NOT(ISERROR(SEARCH(("SEDANG-TINGGI"),(Z66))))</formula>
    </cfRule>
    <cfRule type="containsText" dxfId="218" priority="238" stopIfTrue="1" operator="containsText" text="SEDANG">
      <formula>NOT(ISERROR(SEARCH(("SEDANG"),(Z66))))</formula>
    </cfRule>
    <cfRule type="containsText" dxfId="217" priority="239" stopIfTrue="1" operator="containsText" text="TINGGI">
      <formula>NOT(ISERROR(SEARCH(("TINGGI"),(Z66))))</formula>
    </cfRule>
    <cfRule type="containsText" dxfId="216" priority="240" stopIfTrue="1" operator="containsText" text="RENDAH">
      <formula>NOT(ISERROR(SEARCH(("RENDAH"),(Z66))))</formula>
    </cfRule>
    <cfRule type="containsText" dxfId="215" priority="241" stopIfTrue="1" operator="containsText" text="SEDANG-RENDAH">
      <formula>NOT(ISERROR(SEARCH(("SEDANG-RENDAH"),(Z66))))</formula>
    </cfRule>
    <cfRule type="containsText" dxfId="214" priority="242" stopIfTrue="1" operator="containsText" text="SEDANG-TINGGI">
      <formula>NOT(ISERROR(SEARCH(("SEDANG-TINGGI"),(Z66))))</formula>
    </cfRule>
    <cfRule type="containsText" dxfId="213" priority="243" stopIfTrue="1" operator="containsText" text="SEDANG">
      <formula>NOT(ISERROR(SEARCH(("SEDANG"),(Z66))))</formula>
    </cfRule>
    <cfRule type="containsText" dxfId="212" priority="244" stopIfTrue="1" operator="containsText" text="TINGGI">
      <formula>NOT(ISERROR(SEARCH(("TINGGI"),(Z66))))</formula>
    </cfRule>
    <cfRule type="containsText" dxfId="211" priority="245" stopIfTrue="1" operator="containsText" text="RENDAH">
      <formula>NOT(ISERROR(SEARCH(("RENDAH"),(Z66))))</formula>
    </cfRule>
  </conditionalFormatting>
  <conditionalFormatting sqref="Z66:Z69">
    <cfRule type="containsText" dxfId="210" priority="246" stopIfTrue="1" operator="containsText" text="SEDANG-RENDAH">
      <formula>NOT(ISERROR(SEARCH(("SEDANG-RENDAH"),(Z66))))</formula>
    </cfRule>
    <cfRule type="containsText" dxfId="209" priority="247" stopIfTrue="1" operator="containsText" text="SEDANG-TINGGI">
      <formula>NOT(ISERROR(SEARCH(("SEDANG-TINGGI"),(Z66))))</formula>
    </cfRule>
    <cfRule type="containsText" dxfId="208" priority="248" stopIfTrue="1" operator="containsText" text="SEDANG">
      <formula>NOT(ISERROR(SEARCH(("SEDANG"),(Z66))))</formula>
    </cfRule>
    <cfRule type="containsText" dxfId="207" priority="249" stopIfTrue="1" operator="containsText" text="TINGGI">
      <formula>NOT(ISERROR(SEARCH(("TINGGI"),(Z66))))</formula>
    </cfRule>
    <cfRule type="containsText" dxfId="206" priority="250" stopIfTrue="1" operator="containsText" text="RENDAH">
      <formula>NOT(ISERROR(SEARCH(("RENDAH"),(Z66))))</formula>
    </cfRule>
  </conditionalFormatting>
  <conditionalFormatting sqref="Z70">
    <cfRule type="containsText" dxfId="205" priority="201" stopIfTrue="1" operator="containsText" text="SEDANG-RENDAH">
      <formula>NOT(ISERROR(SEARCH(("SEDANG-RENDAH"),(Z70))))</formula>
    </cfRule>
    <cfRule type="containsText" dxfId="204" priority="202" stopIfTrue="1" operator="containsText" text="SEDANG-TINGGI">
      <formula>NOT(ISERROR(SEARCH(("SEDANG-TINGGI"),(Z70))))</formula>
    </cfRule>
    <cfRule type="containsText" dxfId="203" priority="203" stopIfTrue="1" operator="containsText" text="SEDANG">
      <formula>NOT(ISERROR(SEARCH(("SEDANG"),(Z70))))</formula>
    </cfRule>
    <cfRule type="containsText" dxfId="202" priority="204" stopIfTrue="1" operator="containsText" text="TINGGI">
      <formula>NOT(ISERROR(SEARCH(("TINGGI"),(Z70))))</formula>
    </cfRule>
    <cfRule type="containsText" dxfId="201" priority="205" stopIfTrue="1" operator="containsText" text="RENDAH">
      <formula>NOT(ISERROR(SEARCH(("RENDAH"),(Z70))))</formula>
    </cfRule>
    <cfRule type="containsText" dxfId="200" priority="206" stopIfTrue="1" operator="containsText" text="SEDANG-RENDAH">
      <formula>NOT(ISERROR(SEARCH(("SEDANG-RENDAH"),(Z70))))</formula>
    </cfRule>
    <cfRule type="containsText" dxfId="199" priority="207" stopIfTrue="1" operator="containsText" text="SEDANG-TINGGI">
      <formula>NOT(ISERROR(SEARCH(("SEDANG-TINGGI"),(Z70))))</formula>
    </cfRule>
    <cfRule type="containsText" dxfId="198" priority="208" stopIfTrue="1" operator="containsText" text="SEDANG">
      <formula>NOT(ISERROR(SEARCH(("SEDANG"),(Z70))))</formula>
    </cfRule>
    <cfRule type="containsText" dxfId="197" priority="209" stopIfTrue="1" operator="containsText" text="TINGGI">
      <formula>NOT(ISERROR(SEARCH(("TINGGI"),(Z70))))</formula>
    </cfRule>
    <cfRule type="containsText" dxfId="196" priority="210" stopIfTrue="1" operator="containsText" text="RENDAH">
      <formula>NOT(ISERROR(SEARCH(("RENDAH"),(Z70))))</formula>
    </cfRule>
    <cfRule type="containsText" dxfId="195" priority="211" stopIfTrue="1" operator="containsText" text="SEDANG-RENDAH">
      <formula>NOT(ISERROR(SEARCH(("SEDANG-RENDAH"),(Z70))))</formula>
    </cfRule>
    <cfRule type="containsText" dxfId="194" priority="212" stopIfTrue="1" operator="containsText" text="SEDANG-TINGGI">
      <formula>NOT(ISERROR(SEARCH(("SEDANG-TINGGI"),(Z70))))</formula>
    </cfRule>
    <cfRule type="containsText" dxfId="193" priority="213" stopIfTrue="1" operator="containsText" text="SEDANG">
      <formula>NOT(ISERROR(SEARCH(("SEDANG"),(Z70))))</formula>
    </cfRule>
    <cfRule type="containsText" dxfId="192" priority="214" stopIfTrue="1" operator="containsText" text="TINGGI">
      <formula>NOT(ISERROR(SEARCH(("TINGGI"),(Z70))))</formula>
    </cfRule>
    <cfRule type="containsText" dxfId="191" priority="215" stopIfTrue="1" operator="containsText" text="RENDAH">
      <formula>NOT(ISERROR(SEARCH(("RENDAH"),(Z70))))</formula>
    </cfRule>
    <cfRule type="containsText" dxfId="190" priority="216" stopIfTrue="1" operator="containsText" text="SEDANG-RENDAH">
      <formula>NOT(ISERROR(SEARCH(("SEDANG-RENDAH"),(Z70))))</formula>
    </cfRule>
    <cfRule type="containsText" dxfId="189" priority="217" stopIfTrue="1" operator="containsText" text="SEDANG-TINGGI">
      <formula>NOT(ISERROR(SEARCH(("SEDANG-TINGGI"),(Z70))))</formula>
    </cfRule>
    <cfRule type="containsText" dxfId="188" priority="218" stopIfTrue="1" operator="containsText" text="SEDANG">
      <formula>NOT(ISERROR(SEARCH(("SEDANG"),(Z70))))</formula>
    </cfRule>
    <cfRule type="containsText" dxfId="187" priority="219" stopIfTrue="1" operator="containsText" text="TINGGI">
      <formula>NOT(ISERROR(SEARCH(("TINGGI"),(Z70))))</formula>
    </cfRule>
    <cfRule type="containsText" dxfId="186" priority="220" stopIfTrue="1" operator="containsText" text="RENDAH">
      <formula>NOT(ISERROR(SEARCH(("RENDAH"),(Z70))))</formula>
    </cfRule>
  </conditionalFormatting>
  <conditionalFormatting sqref="Z70:Z71">
    <cfRule type="containsText" dxfId="185" priority="221" stopIfTrue="1" operator="containsText" text="SEDANG-RENDAH">
      <formula>NOT(ISERROR(SEARCH(("SEDANG-RENDAH"),(Z70))))</formula>
    </cfRule>
    <cfRule type="containsText" dxfId="184" priority="222" stopIfTrue="1" operator="containsText" text="SEDANG-TINGGI">
      <formula>NOT(ISERROR(SEARCH(("SEDANG-TINGGI"),(Z70))))</formula>
    </cfRule>
    <cfRule type="containsText" dxfId="183" priority="223" stopIfTrue="1" operator="containsText" text="SEDANG">
      <formula>NOT(ISERROR(SEARCH(("SEDANG"),(Z70))))</formula>
    </cfRule>
    <cfRule type="containsText" dxfId="182" priority="224" stopIfTrue="1" operator="containsText" text="TINGGI">
      <formula>NOT(ISERROR(SEARCH(("TINGGI"),(Z70))))</formula>
    </cfRule>
    <cfRule type="containsText" dxfId="181" priority="225" stopIfTrue="1" operator="containsText" text="RENDAH">
      <formula>NOT(ISERROR(SEARCH(("RENDAH"),(Z70))))</formula>
    </cfRule>
  </conditionalFormatting>
  <conditionalFormatting sqref="Z72">
    <cfRule type="containsText" dxfId="180" priority="176" stopIfTrue="1" operator="containsText" text="SEDANG-RENDAH">
      <formula>NOT(ISERROR(SEARCH(("SEDANG-RENDAH"),(Z72))))</formula>
    </cfRule>
    <cfRule type="containsText" dxfId="179" priority="177" stopIfTrue="1" operator="containsText" text="SEDANG-TINGGI">
      <formula>NOT(ISERROR(SEARCH(("SEDANG-TINGGI"),(Z72))))</formula>
    </cfRule>
    <cfRule type="containsText" dxfId="178" priority="178" stopIfTrue="1" operator="containsText" text="SEDANG">
      <formula>NOT(ISERROR(SEARCH(("SEDANG"),(Z72))))</formula>
    </cfRule>
    <cfRule type="containsText" dxfId="177" priority="179" stopIfTrue="1" operator="containsText" text="TINGGI">
      <formula>NOT(ISERROR(SEARCH(("TINGGI"),(Z72))))</formula>
    </cfRule>
    <cfRule type="containsText" dxfId="176" priority="180" stopIfTrue="1" operator="containsText" text="RENDAH">
      <formula>NOT(ISERROR(SEARCH(("RENDAH"),(Z72))))</formula>
    </cfRule>
    <cfRule type="containsText" dxfId="175" priority="181" stopIfTrue="1" operator="containsText" text="SEDANG-RENDAH">
      <formula>NOT(ISERROR(SEARCH(("SEDANG-RENDAH"),(Z72))))</formula>
    </cfRule>
    <cfRule type="containsText" dxfId="174" priority="182" stopIfTrue="1" operator="containsText" text="SEDANG-TINGGI">
      <formula>NOT(ISERROR(SEARCH(("SEDANG-TINGGI"),(Z72))))</formula>
    </cfRule>
    <cfRule type="containsText" dxfId="173" priority="183" stopIfTrue="1" operator="containsText" text="SEDANG">
      <formula>NOT(ISERROR(SEARCH(("SEDANG"),(Z72))))</formula>
    </cfRule>
    <cfRule type="containsText" dxfId="172" priority="184" stopIfTrue="1" operator="containsText" text="TINGGI">
      <formula>NOT(ISERROR(SEARCH(("TINGGI"),(Z72))))</formula>
    </cfRule>
    <cfRule type="containsText" dxfId="171" priority="185" stopIfTrue="1" operator="containsText" text="RENDAH">
      <formula>NOT(ISERROR(SEARCH(("RENDAH"),(Z72))))</formula>
    </cfRule>
    <cfRule type="containsText" dxfId="170" priority="186" stopIfTrue="1" operator="containsText" text="SEDANG-RENDAH">
      <formula>NOT(ISERROR(SEARCH(("SEDANG-RENDAH"),(Z72))))</formula>
    </cfRule>
    <cfRule type="containsText" dxfId="169" priority="187" stopIfTrue="1" operator="containsText" text="SEDANG-TINGGI">
      <formula>NOT(ISERROR(SEARCH(("SEDANG-TINGGI"),(Z72))))</formula>
    </cfRule>
    <cfRule type="containsText" dxfId="168" priority="188" stopIfTrue="1" operator="containsText" text="SEDANG">
      <formula>NOT(ISERROR(SEARCH(("SEDANG"),(Z72))))</formula>
    </cfRule>
    <cfRule type="containsText" dxfId="167" priority="189" stopIfTrue="1" operator="containsText" text="TINGGI">
      <formula>NOT(ISERROR(SEARCH(("TINGGI"),(Z72))))</formula>
    </cfRule>
    <cfRule type="containsText" dxfId="166" priority="190" stopIfTrue="1" operator="containsText" text="RENDAH">
      <formula>NOT(ISERROR(SEARCH(("RENDAH"),(Z72))))</formula>
    </cfRule>
    <cfRule type="containsText" dxfId="165" priority="191" stopIfTrue="1" operator="containsText" text="SEDANG-RENDAH">
      <formula>NOT(ISERROR(SEARCH(("SEDANG-RENDAH"),(Z72))))</formula>
    </cfRule>
    <cfRule type="containsText" dxfId="164" priority="192" stopIfTrue="1" operator="containsText" text="SEDANG-TINGGI">
      <formula>NOT(ISERROR(SEARCH(("SEDANG-TINGGI"),(Z72))))</formula>
    </cfRule>
    <cfRule type="containsText" dxfId="163" priority="193" stopIfTrue="1" operator="containsText" text="SEDANG">
      <formula>NOT(ISERROR(SEARCH(("SEDANG"),(Z72))))</formula>
    </cfRule>
    <cfRule type="containsText" dxfId="162" priority="194" stopIfTrue="1" operator="containsText" text="TINGGI">
      <formula>NOT(ISERROR(SEARCH(("TINGGI"),(Z72))))</formula>
    </cfRule>
    <cfRule type="containsText" dxfId="161" priority="195" stopIfTrue="1" operator="containsText" text="RENDAH">
      <formula>NOT(ISERROR(SEARCH(("RENDAH"),(Z72))))</formula>
    </cfRule>
  </conditionalFormatting>
  <conditionalFormatting sqref="Z72:Z79">
    <cfRule type="containsText" dxfId="160" priority="196" stopIfTrue="1" operator="containsText" text="SEDANG-RENDAH">
      <formula>NOT(ISERROR(SEARCH(("SEDANG-RENDAH"),(Z72))))</formula>
    </cfRule>
    <cfRule type="containsText" dxfId="159" priority="197" stopIfTrue="1" operator="containsText" text="SEDANG-TINGGI">
      <formula>NOT(ISERROR(SEARCH(("SEDANG-TINGGI"),(Z72))))</formula>
    </cfRule>
    <cfRule type="containsText" dxfId="158" priority="198" stopIfTrue="1" operator="containsText" text="SEDANG">
      <formula>NOT(ISERROR(SEARCH(("SEDANG"),(Z72))))</formula>
    </cfRule>
    <cfRule type="containsText" dxfId="157" priority="199" stopIfTrue="1" operator="containsText" text="TINGGI">
      <formula>NOT(ISERROR(SEARCH(("TINGGI"),(Z72))))</formula>
    </cfRule>
    <cfRule type="containsText" dxfId="156" priority="200" stopIfTrue="1" operator="containsText" text="RENDAH">
      <formula>NOT(ISERROR(SEARCH(("RENDAH"),(Z72))))</formula>
    </cfRule>
  </conditionalFormatting>
  <conditionalFormatting sqref="Z80">
    <cfRule type="containsText" dxfId="155" priority="151" stopIfTrue="1" operator="containsText" text="SEDANG-RENDAH">
      <formula>NOT(ISERROR(SEARCH(("SEDANG-RENDAH"),(Z80))))</formula>
    </cfRule>
    <cfRule type="containsText" dxfId="154" priority="152" stopIfTrue="1" operator="containsText" text="SEDANG-TINGGI">
      <formula>NOT(ISERROR(SEARCH(("SEDANG-TINGGI"),(Z80))))</formula>
    </cfRule>
    <cfRule type="containsText" dxfId="153" priority="153" stopIfTrue="1" operator="containsText" text="SEDANG">
      <formula>NOT(ISERROR(SEARCH(("SEDANG"),(Z80))))</formula>
    </cfRule>
    <cfRule type="containsText" dxfId="152" priority="154" stopIfTrue="1" operator="containsText" text="TINGGI">
      <formula>NOT(ISERROR(SEARCH(("TINGGI"),(Z80))))</formula>
    </cfRule>
    <cfRule type="containsText" dxfId="151" priority="155" stopIfTrue="1" operator="containsText" text="RENDAH">
      <formula>NOT(ISERROR(SEARCH(("RENDAH"),(Z80))))</formula>
    </cfRule>
    <cfRule type="containsText" dxfId="150" priority="156" stopIfTrue="1" operator="containsText" text="SEDANG-RENDAH">
      <formula>NOT(ISERROR(SEARCH(("SEDANG-RENDAH"),(Z80))))</formula>
    </cfRule>
    <cfRule type="containsText" dxfId="149" priority="157" stopIfTrue="1" operator="containsText" text="SEDANG-TINGGI">
      <formula>NOT(ISERROR(SEARCH(("SEDANG-TINGGI"),(Z80))))</formula>
    </cfRule>
    <cfRule type="containsText" dxfId="148" priority="158" stopIfTrue="1" operator="containsText" text="SEDANG">
      <formula>NOT(ISERROR(SEARCH(("SEDANG"),(Z80))))</formula>
    </cfRule>
    <cfRule type="containsText" dxfId="147" priority="159" stopIfTrue="1" operator="containsText" text="TINGGI">
      <formula>NOT(ISERROR(SEARCH(("TINGGI"),(Z80))))</formula>
    </cfRule>
    <cfRule type="containsText" dxfId="146" priority="160" stopIfTrue="1" operator="containsText" text="RENDAH">
      <formula>NOT(ISERROR(SEARCH(("RENDAH"),(Z80))))</formula>
    </cfRule>
    <cfRule type="containsText" dxfId="145" priority="161" stopIfTrue="1" operator="containsText" text="SEDANG-RENDAH">
      <formula>NOT(ISERROR(SEARCH(("SEDANG-RENDAH"),(Z80))))</formula>
    </cfRule>
    <cfRule type="containsText" dxfId="144" priority="162" stopIfTrue="1" operator="containsText" text="SEDANG-TINGGI">
      <formula>NOT(ISERROR(SEARCH(("SEDANG-TINGGI"),(Z80))))</formula>
    </cfRule>
    <cfRule type="containsText" dxfId="143" priority="163" stopIfTrue="1" operator="containsText" text="SEDANG">
      <formula>NOT(ISERROR(SEARCH(("SEDANG"),(Z80))))</formula>
    </cfRule>
    <cfRule type="containsText" dxfId="142" priority="164" stopIfTrue="1" operator="containsText" text="TINGGI">
      <formula>NOT(ISERROR(SEARCH(("TINGGI"),(Z80))))</formula>
    </cfRule>
    <cfRule type="containsText" dxfId="141" priority="165" stopIfTrue="1" operator="containsText" text="RENDAH">
      <formula>NOT(ISERROR(SEARCH(("RENDAH"),(Z80))))</formula>
    </cfRule>
    <cfRule type="containsText" dxfId="140" priority="166" stopIfTrue="1" operator="containsText" text="SEDANG-RENDAH">
      <formula>NOT(ISERROR(SEARCH(("SEDANG-RENDAH"),(Z80))))</formula>
    </cfRule>
    <cfRule type="containsText" dxfId="139" priority="167" stopIfTrue="1" operator="containsText" text="SEDANG-TINGGI">
      <formula>NOT(ISERROR(SEARCH(("SEDANG-TINGGI"),(Z80))))</formula>
    </cfRule>
    <cfRule type="containsText" dxfId="138" priority="168" stopIfTrue="1" operator="containsText" text="SEDANG">
      <formula>NOT(ISERROR(SEARCH(("SEDANG"),(Z80))))</formula>
    </cfRule>
    <cfRule type="containsText" dxfId="137" priority="169" stopIfTrue="1" operator="containsText" text="TINGGI">
      <formula>NOT(ISERROR(SEARCH(("TINGGI"),(Z80))))</formula>
    </cfRule>
    <cfRule type="containsText" dxfId="136" priority="170" stopIfTrue="1" operator="containsText" text="RENDAH">
      <formula>NOT(ISERROR(SEARCH(("RENDAH"),(Z80))))</formula>
    </cfRule>
  </conditionalFormatting>
  <conditionalFormatting sqref="Z80:Z81">
    <cfRule type="containsText" dxfId="135" priority="171" stopIfTrue="1" operator="containsText" text="SEDANG-RENDAH">
      <formula>NOT(ISERROR(SEARCH(("SEDANG-RENDAH"),(Z80))))</formula>
    </cfRule>
    <cfRule type="containsText" dxfId="134" priority="172" stopIfTrue="1" operator="containsText" text="SEDANG-TINGGI">
      <formula>NOT(ISERROR(SEARCH(("SEDANG-TINGGI"),(Z80))))</formula>
    </cfRule>
    <cfRule type="containsText" dxfId="133" priority="173" stopIfTrue="1" operator="containsText" text="SEDANG">
      <formula>NOT(ISERROR(SEARCH(("SEDANG"),(Z80))))</formula>
    </cfRule>
    <cfRule type="containsText" dxfId="132" priority="174" stopIfTrue="1" operator="containsText" text="TINGGI">
      <formula>NOT(ISERROR(SEARCH(("TINGGI"),(Z80))))</formula>
    </cfRule>
    <cfRule type="containsText" dxfId="131" priority="175" stopIfTrue="1" operator="containsText" text="RENDAH">
      <formula>NOT(ISERROR(SEARCH(("RENDAH"),(Z80))))</formula>
    </cfRule>
  </conditionalFormatting>
  <conditionalFormatting sqref="Z82">
    <cfRule type="containsText" dxfId="130" priority="126" stopIfTrue="1" operator="containsText" text="SEDANG-RENDAH">
      <formula>NOT(ISERROR(SEARCH(("SEDANG-RENDAH"),(Z82))))</formula>
    </cfRule>
    <cfRule type="containsText" dxfId="129" priority="127" stopIfTrue="1" operator="containsText" text="SEDANG-TINGGI">
      <formula>NOT(ISERROR(SEARCH(("SEDANG-TINGGI"),(Z82))))</formula>
    </cfRule>
    <cfRule type="containsText" dxfId="128" priority="128" stopIfTrue="1" operator="containsText" text="SEDANG">
      <formula>NOT(ISERROR(SEARCH(("SEDANG"),(Z82))))</formula>
    </cfRule>
    <cfRule type="containsText" dxfId="127" priority="129" stopIfTrue="1" operator="containsText" text="TINGGI">
      <formula>NOT(ISERROR(SEARCH(("TINGGI"),(Z82))))</formula>
    </cfRule>
    <cfRule type="containsText" dxfId="126" priority="130" stopIfTrue="1" operator="containsText" text="RENDAH">
      <formula>NOT(ISERROR(SEARCH(("RENDAH"),(Z82))))</formula>
    </cfRule>
    <cfRule type="containsText" dxfId="125" priority="131" stopIfTrue="1" operator="containsText" text="SEDANG-RENDAH">
      <formula>NOT(ISERROR(SEARCH(("SEDANG-RENDAH"),(Z82))))</formula>
    </cfRule>
    <cfRule type="containsText" dxfId="124" priority="132" stopIfTrue="1" operator="containsText" text="SEDANG-TINGGI">
      <formula>NOT(ISERROR(SEARCH(("SEDANG-TINGGI"),(Z82))))</formula>
    </cfRule>
    <cfRule type="containsText" dxfId="123" priority="133" stopIfTrue="1" operator="containsText" text="SEDANG">
      <formula>NOT(ISERROR(SEARCH(("SEDANG"),(Z82))))</formula>
    </cfRule>
    <cfRule type="containsText" dxfId="122" priority="134" stopIfTrue="1" operator="containsText" text="TINGGI">
      <formula>NOT(ISERROR(SEARCH(("TINGGI"),(Z82))))</formula>
    </cfRule>
    <cfRule type="containsText" dxfId="121" priority="135" stopIfTrue="1" operator="containsText" text="RENDAH">
      <formula>NOT(ISERROR(SEARCH(("RENDAH"),(Z82))))</formula>
    </cfRule>
    <cfRule type="containsText" dxfId="120" priority="136" stopIfTrue="1" operator="containsText" text="SEDANG-RENDAH">
      <formula>NOT(ISERROR(SEARCH(("SEDANG-RENDAH"),(Z82))))</formula>
    </cfRule>
    <cfRule type="containsText" dxfId="119" priority="137" stopIfTrue="1" operator="containsText" text="SEDANG-TINGGI">
      <formula>NOT(ISERROR(SEARCH(("SEDANG-TINGGI"),(Z82))))</formula>
    </cfRule>
    <cfRule type="containsText" dxfId="118" priority="138" stopIfTrue="1" operator="containsText" text="SEDANG">
      <formula>NOT(ISERROR(SEARCH(("SEDANG"),(Z82))))</formula>
    </cfRule>
    <cfRule type="containsText" dxfId="117" priority="139" stopIfTrue="1" operator="containsText" text="TINGGI">
      <formula>NOT(ISERROR(SEARCH(("TINGGI"),(Z82))))</formula>
    </cfRule>
    <cfRule type="containsText" dxfId="116" priority="140" stopIfTrue="1" operator="containsText" text="RENDAH">
      <formula>NOT(ISERROR(SEARCH(("RENDAH"),(Z82))))</formula>
    </cfRule>
    <cfRule type="containsText" dxfId="115" priority="141" stopIfTrue="1" operator="containsText" text="SEDANG-RENDAH">
      <formula>NOT(ISERROR(SEARCH(("SEDANG-RENDAH"),(Z82))))</formula>
    </cfRule>
    <cfRule type="containsText" dxfId="114" priority="142" stopIfTrue="1" operator="containsText" text="SEDANG-TINGGI">
      <formula>NOT(ISERROR(SEARCH(("SEDANG-TINGGI"),(Z82))))</formula>
    </cfRule>
    <cfRule type="containsText" dxfId="113" priority="143" stopIfTrue="1" operator="containsText" text="SEDANG">
      <formula>NOT(ISERROR(SEARCH(("SEDANG"),(Z82))))</formula>
    </cfRule>
    <cfRule type="containsText" dxfId="112" priority="144" stopIfTrue="1" operator="containsText" text="TINGGI">
      <formula>NOT(ISERROR(SEARCH(("TINGGI"),(Z82))))</formula>
    </cfRule>
    <cfRule type="containsText" dxfId="111" priority="145" stopIfTrue="1" operator="containsText" text="RENDAH">
      <formula>NOT(ISERROR(SEARCH(("RENDAH"),(Z82))))</formula>
    </cfRule>
  </conditionalFormatting>
  <conditionalFormatting sqref="Z82:Z83">
    <cfRule type="containsText" dxfId="110" priority="146" stopIfTrue="1" operator="containsText" text="SEDANG-RENDAH">
      <formula>NOT(ISERROR(SEARCH(("SEDANG-RENDAH"),(Z82))))</formula>
    </cfRule>
    <cfRule type="containsText" dxfId="109" priority="147" stopIfTrue="1" operator="containsText" text="SEDANG-TINGGI">
      <formula>NOT(ISERROR(SEARCH(("SEDANG-TINGGI"),(Z82))))</formula>
    </cfRule>
    <cfRule type="containsText" dxfId="108" priority="148" stopIfTrue="1" operator="containsText" text="SEDANG">
      <formula>NOT(ISERROR(SEARCH(("SEDANG"),(Z82))))</formula>
    </cfRule>
    <cfRule type="containsText" dxfId="107" priority="149" stopIfTrue="1" operator="containsText" text="TINGGI">
      <formula>NOT(ISERROR(SEARCH(("TINGGI"),(Z82))))</formula>
    </cfRule>
    <cfRule type="containsText" dxfId="106" priority="150" stopIfTrue="1" operator="containsText" text="RENDAH">
      <formula>NOT(ISERROR(SEARCH(("RENDAH"),(Z82))))</formula>
    </cfRule>
  </conditionalFormatting>
  <conditionalFormatting sqref="Z84">
    <cfRule type="containsText" dxfId="105" priority="106" stopIfTrue="1" operator="containsText" text="SEDANG-RENDAH">
      <formula>NOT(ISERROR(SEARCH(("SEDANG-RENDAH"),(Z84))))</formula>
    </cfRule>
    <cfRule type="containsText" dxfId="104" priority="107" stopIfTrue="1" operator="containsText" text="SEDANG-TINGGI">
      <formula>NOT(ISERROR(SEARCH(("SEDANG-TINGGI"),(Z84))))</formula>
    </cfRule>
    <cfRule type="containsText" dxfId="103" priority="108" stopIfTrue="1" operator="containsText" text="SEDANG">
      <formula>NOT(ISERROR(SEARCH(("SEDANG"),(Z84))))</formula>
    </cfRule>
    <cfRule type="containsText" dxfId="102" priority="109" stopIfTrue="1" operator="containsText" text="TINGGI">
      <formula>NOT(ISERROR(SEARCH(("TINGGI"),(Z84))))</formula>
    </cfRule>
    <cfRule type="containsText" dxfId="101" priority="110" stopIfTrue="1" operator="containsText" text="RENDAH">
      <formula>NOT(ISERROR(SEARCH(("RENDAH"),(Z84))))</formula>
    </cfRule>
    <cfRule type="containsText" dxfId="100" priority="111" stopIfTrue="1" operator="containsText" text="SEDANG-RENDAH">
      <formula>NOT(ISERROR(SEARCH(("SEDANG-RENDAH"),(Z84))))</formula>
    </cfRule>
    <cfRule type="containsText" dxfId="99" priority="112" stopIfTrue="1" operator="containsText" text="SEDANG-TINGGI">
      <formula>NOT(ISERROR(SEARCH(("SEDANG-TINGGI"),(Z84))))</formula>
    </cfRule>
    <cfRule type="containsText" dxfId="98" priority="113" stopIfTrue="1" operator="containsText" text="SEDANG">
      <formula>NOT(ISERROR(SEARCH(("SEDANG"),(Z84))))</formula>
    </cfRule>
    <cfRule type="containsText" dxfId="97" priority="114" stopIfTrue="1" operator="containsText" text="TINGGI">
      <formula>NOT(ISERROR(SEARCH(("TINGGI"),(Z84))))</formula>
    </cfRule>
    <cfRule type="containsText" dxfId="96" priority="115" stopIfTrue="1" operator="containsText" text="RENDAH">
      <formula>NOT(ISERROR(SEARCH(("RENDAH"),(Z84))))</formula>
    </cfRule>
    <cfRule type="containsText" dxfId="95" priority="116" stopIfTrue="1" operator="containsText" text="SEDANG-RENDAH">
      <formula>NOT(ISERROR(SEARCH(("SEDANG-RENDAH"),(Z84))))</formula>
    </cfRule>
    <cfRule type="containsText" dxfId="94" priority="117" stopIfTrue="1" operator="containsText" text="SEDANG-TINGGI">
      <formula>NOT(ISERROR(SEARCH(("SEDANG-TINGGI"),(Z84))))</formula>
    </cfRule>
    <cfRule type="containsText" dxfId="93" priority="118" stopIfTrue="1" operator="containsText" text="SEDANG">
      <formula>NOT(ISERROR(SEARCH(("SEDANG"),(Z84))))</formula>
    </cfRule>
    <cfRule type="containsText" dxfId="92" priority="119" stopIfTrue="1" operator="containsText" text="TINGGI">
      <formula>NOT(ISERROR(SEARCH(("TINGGI"),(Z84))))</formula>
    </cfRule>
    <cfRule type="containsText" dxfId="91" priority="120" stopIfTrue="1" operator="containsText" text="RENDAH">
      <formula>NOT(ISERROR(SEARCH(("RENDAH"),(Z84))))</formula>
    </cfRule>
    <cfRule type="containsText" dxfId="90" priority="121" stopIfTrue="1" operator="containsText" text="SEDANG-RENDAH">
      <formula>NOT(ISERROR(SEARCH(("SEDANG-RENDAH"),(Z84))))</formula>
    </cfRule>
    <cfRule type="containsText" dxfId="89" priority="122" stopIfTrue="1" operator="containsText" text="SEDANG-TINGGI">
      <formula>NOT(ISERROR(SEARCH(("SEDANG-TINGGI"),(Z84))))</formula>
    </cfRule>
    <cfRule type="containsText" dxfId="88" priority="123" stopIfTrue="1" operator="containsText" text="SEDANG">
      <formula>NOT(ISERROR(SEARCH(("SEDANG"),(Z84))))</formula>
    </cfRule>
    <cfRule type="containsText" dxfId="87" priority="124" stopIfTrue="1" operator="containsText" text="TINGGI">
      <formula>NOT(ISERROR(SEARCH(("TINGGI"),(Z84))))</formula>
    </cfRule>
    <cfRule type="containsText" dxfId="86" priority="125" stopIfTrue="1" operator="containsText" text="RENDAH">
      <formula>NOT(ISERROR(SEARCH(("RENDAH"),(Z84))))</formula>
    </cfRule>
  </conditionalFormatting>
  <conditionalFormatting sqref="Z84:Z85">
    <cfRule type="containsText" dxfId="85" priority="96" stopIfTrue="1" operator="containsText" text="SEDANG-RENDAH">
      <formula>NOT(ISERROR(SEARCH(("SEDANG-RENDAH"),(Z84))))</formula>
    </cfRule>
    <cfRule type="containsText" dxfId="84" priority="97" stopIfTrue="1" operator="containsText" text="SEDANG-TINGGI">
      <formula>NOT(ISERROR(SEARCH(("SEDANG-TINGGI"),(Z84))))</formula>
    </cfRule>
    <cfRule type="containsText" dxfId="83" priority="98" stopIfTrue="1" operator="containsText" text="SEDANG">
      <formula>NOT(ISERROR(SEARCH(("SEDANG"),(Z84))))</formula>
    </cfRule>
    <cfRule type="containsText" dxfId="82" priority="99" stopIfTrue="1" operator="containsText" text="TINGGI">
      <formula>NOT(ISERROR(SEARCH(("TINGGI"),(Z84))))</formula>
    </cfRule>
    <cfRule type="containsText" dxfId="81" priority="100" stopIfTrue="1" operator="containsText" text="RENDAH">
      <formula>NOT(ISERROR(SEARCH(("RENDAH"),(Z84))))</formula>
    </cfRule>
  </conditionalFormatting>
  <conditionalFormatting sqref="Z85">
    <cfRule type="containsText" dxfId="80" priority="81" stopIfTrue="1" operator="containsText" text="SEDANG-RENDAH">
      <formula>NOT(ISERROR(SEARCH(("SEDANG-RENDAH"),(Z85))))</formula>
    </cfRule>
    <cfRule type="containsText" dxfId="79" priority="82" stopIfTrue="1" operator="containsText" text="SEDANG-TINGGI">
      <formula>NOT(ISERROR(SEARCH(("SEDANG-TINGGI"),(Z85))))</formula>
    </cfRule>
    <cfRule type="containsText" dxfId="78" priority="83" stopIfTrue="1" operator="containsText" text="SEDANG">
      <formula>NOT(ISERROR(SEARCH(("SEDANG"),(Z85))))</formula>
    </cfRule>
    <cfRule type="containsText" dxfId="77" priority="84" stopIfTrue="1" operator="containsText" text="TINGGI">
      <formula>NOT(ISERROR(SEARCH(("TINGGI"),(Z85))))</formula>
    </cfRule>
    <cfRule type="containsText" dxfId="76" priority="85" stopIfTrue="1" operator="containsText" text="RENDAH">
      <formula>NOT(ISERROR(SEARCH(("RENDAH"),(Z85))))</formula>
    </cfRule>
    <cfRule type="containsText" dxfId="75" priority="86" stopIfTrue="1" operator="containsText" text="SEDANG-RENDAH">
      <formula>NOT(ISERROR(SEARCH(("SEDANG-RENDAH"),(Z85))))</formula>
    </cfRule>
    <cfRule type="containsText" dxfId="74" priority="87" stopIfTrue="1" operator="containsText" text="SEDANG-TINGGI">
      <formula>NOT(ISERROR(SEARCH(("SEDANG-TINGGI"),(Z85))))</formula>
    </cfRule>
    <cfRule type="containsText" dxfId="73" priority="88" stopIfTrue="1" operator="containsText" text="SEDANG">
      <formula>NOT(ISERROR(SEARCH(("SEDANG"),(Z85))))</formula>
    </cfRule>
    <cfRule type="containsText" dxfId="72" priority="89" stopIfTrue="1" operator="containsText" text="TINGGI">
      <formula>NOT(ISERROR(SEARCH(("TINGGI"),(Z85))))</formula>
    </cfRule>
    <cfRule type="containsText" dxfId="71" priority="90" stopIfTrue="1" operator="containsText" text="RENDAH">
      <formula>NOT(ISERROR(SEARCH(("RENDAH"),(Z85))))</formula>
    </cfRule>
    <cfRule type="containsText" dxfId="70" priority="91" stopIfTrue="1" operator="containsText" text="SEDANG-RENDAH">
      <formula>NOT(ISERROR(SEARCH(("SEDANG-RENDAH"),(Z85))))</formula>
    </cfRule>
    <cfRule type="containsText" dxfId="69" priority="92" stopIfTrue="1" operator="containsText" text="SEDANG-TINGGI">
      <formula>NOT(ISERROR(SEARCH(("SEDANG-TINGGI"),(Z85))))</formula>
    </cfRule>
    <cfRule type="containsText" dxfId="68" priority="93" stopIfTrue="1" operator="containsText" text="SEDANG">
      <formula>NOT(ISERROR(SEARCH(("SEDANG"),(Z85))))</formula>
    </cfRule>
    <cfRule type="containsText" dxfId="67" priority="94" stopIfTrue="1" operator="containsText" text="TINGGI">
      <formula>NOT(ISERROR(SEARCH(("TINGGI"),(Z85))))</formula>
    </cfRule>
    <cfRule type="containsText" dxfId="66" priority="95" stopIfTrue="1" operator="containsText" text="RENDAH">
      <formula>NOT(ISERROR(SEARCH(("RENDAH"),(Z85))))</formula>
    </cfRule>
  </conditionalFormatting>
  <conditionalFormatting sqref="Z85:Z89">
    <cfRule type="containsText" dxfId="65" priority="71" stopIfTrue="1" operator="containsText" text="SEDANG-RENDAH">
      <formula>NOT(ISERROR(SEARCH(("SEDANG-RENDAH"),(Z85))))</formula>
    </cfRule>
    <cfRule type="containsText" dxfId="64" priority="72" stopIfTrue="1" operator="containsText" text="SEDANG-TINGGI">
      <formula>NOT(ISERROR(SEARCH(("SEDANG-TINGGI"),(Z85))))</formula>
    </cfRule>
    <cfRule type="containsText" dxfId="63" priority="73" stopIfTrue="1" operator="containsText" text="SEDANG">
      <formula>NOT(ISERROR(SEARCH(("SEDANG"),(Z85))))</formula>
    </cfRule>
    <cfRule type="containsText" dxfId="62" priority="74" stopIfTrue="1" operator="containsText" text="TINGGI">
      <formula>NOT(ISERROR(SEARCH(("TINGGI"),(Z85))))</formula>
    </cfRule>
    <cfRule type="containsText" dxfId="61" priority="75" stopIfTrue="1" operator="containsText" text="RENDAH">
      <formula>NOT(ISERROR(SEARCH(("RENDAH"),(Z85))))</formula>
    </cfRule>
  </conditionalFormatting>
  <conditionalFormatting sqref="Z86:Z87">
    <cfRule type="containsText" dxfId="60" priority="51" stopIfTrue="1" operator="containsText" text="SEDANG-RENDAH">
      <formula>NOT(ISERROR(SEARCH(("SEDANG-RENDAH"),(Z86))))</formula>
    </cfRule>
    <cfRule type="containsText" dxfId="59" priority="52" stopIfTrue="1" operator="containsText" text="SEDANG-TINGGI">
      <formula>NOT(ISERROR(SEARCH(("SEDANG-TINGGI"),(Z86))))</formula>
    </cfRule>
    <cfRule type="containsText" dxfId="58" priority="53" stopIfTrue="1" operator="containsText" text="SEDANG">
      <formula>NOT(ISERROR(SEARCH(("SEDANG"),(Z86))))</formula>
    </cfRule>
    <cfRule type="containsText" dxfId="57" priority="54" stopIfTrue="1" operator="containsText" text="TINGGI">
      <formula>NOT(ISERROR(SEARCH(("TINGGI"),(Z86))))</formula>
    </cfRule>
    <cfRule type="containsText" dxfId="56" priority="55" stopIfTrue="1" operator="containsText" text="RENDAH">
      <formula>NOT(ISERROR(SEARCH(("RENDAH"),(Z86))))</formula>
    </cfRule>
    <cfRule type="containsText" dxfId="55" priority="56" stopIfTrue="1" operator="containsText" text="SEDANG-RENDAH">
      <formula>NOT(ISERROR(SEARCH(("SEDANG-RENDAH"),(Z86))))</formula>
    </cfRule>
    <cfRule type="containsText" dxfId="54" priority="57" stopIfTrue="1" operator="containsText" text="SEDANG-TINGGI">
      <formula>NOT(ISERROR(SEARCH(("SEDANG-TINGGI"),(Z86))))</formula>
    </cfRule>
    <cfRule type="containsText" dxfId="53" priority="58" stopIfTrue="1" operator="containsText" text="SEDANG">
      <formula>NOT(ISERROR(SEARCH(("SEDANG"),(Z86))))</formula>
    </cfRule>
    <cfRule type="containsText" dxfId="52" priority="59" stopIfTrue="1" operator="containsText" text="TINGGI">
      <formula>NOT(ISERROR(SEARCH(("TINGGI"),(Z86))))</formula>
    </cfRule>
    <cfRule type="containsText" dxfId="51" priority="60" stopIfTrue="1" operator="containsText" text="RENDAH">
      <formula>NOT(ISERROR(SEARCH(("RENDAH"),(Z86))))</formula>
    </cfRule>
    <cfRule type="containsText" dxfId="50" priority="61" stopIfTrue="1" operator="containsText" text="SEDANG-RENDAH">
      <formula>NOT(ISERROR(SEARCH(("SEDANG-RENDAH"),(Z86))))</formula>
    </cfRule>
    <cfRule type="containsText" dxfId="49" priority="62" stopIfTrue="1" operator="containsText" text="SEDANG-TINGGI">
      <formula>NOT(ISERROR(SEARCH(("SEDANG-TINGGI"),(Z86))))</formula>
    </cfRule>
    <cfRule type="containsText" dxfId="48" priority="63" stopIfTrue="1" operator="containsText" text="SEDANG">
      <formula>NOT(ISERROR(SEARCH(("SEDANG"),(Z86))))</formula>
    </cfRule>
    <cfRule type="containsText" dxfId="47" priority="64" stopIfTrue="1" operator="containsText" text="TINGGI">
      <formula>NOT(ISERROR(SEARCH(("TINGGI"),(Z86))))</formula>
    </cfRule>
    <cfRule type="containsText" dxfId="46" priority="65" stopIfTrue="1" operator="containsText" text="RENDAH">
      <formula>NOT(ISERROR(SEARCH(("RENDAH"),(Z86))))</formula>
    </cfRule>
    <cfRule type="containsText" dxfId="45" priority="66" stopIfTrue="1" operator="containsText" text="SEDANG-RENDAH">
      <formula>NOT(ISERROR(SEARCH(("SEDANG-RENDAH"),(Z86))))</formula>
    </cfRule>
    <cfRule type="containsText" dxfId="44" priority="67" stopIfTrue="1" operator="containsText" text="SEDANG-TINGGI">
      <formula>NOT(ISERROR(SEARCH(("SEDANG-TINGGI"),(Z86))))</formula>
    </cfRule>
    <cfRule type="containsText" dxfId="43" priority="68" stopIfTrue="1" operator="containsText" text="SEDANG">
      <formula>NOT(ISERROR(SEARCH(("SEDANG"),(Z86))))</formula>
    </cfRule>
    <cfRule type="containsText" dxfId="42" priority="69" stopIfTrue="1" operator="containsText" text="TINGGI">
      <formula>NOT(ISERROR(SEARCH(("TINGGI"),(Z86))))</formula>
    </cfRule>
    <cfRule type="containsText" dxfId="41" priority="70" stopIfTrue="1" operator="containsText" text="RENDAH">
      <formula>NOT(ISERROR(SEARCH(("RENDAH"),(Z86))))</formula>
    </cfRule>
  </conditionalFormatting>
  <conditionalFormatting sqref="Z90:Z232">
    <cfRule type="containsText" dxfId="40" priority="26" stopIfTrue="1" operator="containsText" text="SEDANG-RENDAH">
      <formula>NOT(ISERROR(SEARCH(("SEDANG-RENDAH"),(Z90))))</formula>
    </cfRule>
    <cfRule type="containsText" dxfId="39" priority="27" stopIfTrue="1" operator="containsText" text="SEDANG-TINGGI">
      <formula>NOT(ISERROR(SEARCH(("SEDANG-TINGGI"),(Z90))))</formula>
    </cfRule>
    <cfRule type="containsText" dxfId="38" priority="28" stopIfTrue="1" operator="containsText" text="SEDANG">
      <formula>NOT(ISERROR(SEARCH(("SEDANG"),(Z90))))</formula>
    </cfRule>
    <cfRule type="containsText" dxfId="37" priority="29" stopIfTrue="1" operator="containsText" text="TINGGI">
      <formula>NOT(ISERROR(SEARCH(("TINGGI"),(Z90))))</formula>
    </cfRule>
    <cfRule type="containsText" dxfId="36" priority="30" stopIfTrue="1" operator="containsText" text="RENDAH">
      <formula>NOT(ISERROR(SEARCH(("RENDAH"),(Z90))))</formula>
    </cfRule>
    <cfRule type="containsText" dxfId="35" priority="31" stopIfTrue="1" operator="containsText" text="SEDANG-RENDAH">
      <formula>NOT(ISERROR(SEARCH(("SEDANG-RENDAH"),(Z90))))</formula>
    </cfRule>
    <cfRule type="containsText" dxfId="34" priority="32" stopIfTrue="1" operator="containsText" text="SEDANG-TINGGI">
      <formula>NOT(ISERROR(SEARCH(("SEDANG-TINGGI"),(Z90))))</formula>
    </cfRule>
    <cfRule type="containsText" dxfId="33" priority="33" stopIfTrue="1" operator="containsText" text="SEDANG">
      <formula>NOT(ISERROR(SEARCH(("SEDANG"),(Z90))))</formula>
    </cfRule>
    <cfRule type="containsText" dxfId="32" priority="34" stopIfTrue="1" operator="containsText" text="TINGGI">
      <formula>NOT(ISERROR(SEARCH(("TINGGI"),(Z90))))</formula>
    </cfRule>
    <cfRule type="containsText" dxfId="31" priority="35" stopIfTrue="1" operator="containsText" text="RENDAH">
      <formula>NOT(ISERROR(SEARCH(("RENDAH"),(Z90))))</formula>
    </cfRule>
    <cfRule type="containsText" dxfId="30" priority="36" stopIfTrue="1" operator="containsText" text="SEDANG-RENDAH">
      <formula>NOT(ISERROR(SEARCH(("SEDANG-RENDAH"),(Z90))))</formula>
    </cfRule>
    <cfRule type="containsText" dxfId="29" priority="37" stopIfTrue="1" operator="containsText" text="SEDANG-TINGGI">
      <formula>NOT(ISERROR(SEARCH(("SEDANG-TINGGI"),(Z90))))</formula>
    </cfRule>
    <cfRule type="containsText" dxfId="28" priority="38" stopIfTrue="1" operator="containsText" text="SEDANG">
      <formula>NOT(ISERROR(SEARCH(("SEDANG"),(Z90))))</formula>
    </cfRule>
    <cfRule type="containsText" dxfId="27" priority="39" stopIfTrue="1" operator="containsText" text="TINGGI">
      <formula>NOT(ISERROR(SEARCH(("TINGGI"),(Z90))))</formula>
    </cfRule>
    <cfRule type="containsText" dxfId="26" priority="40" stopIfTrue="1" operator="containsText" text="RENDAH">
      <formula>NOT(ISERROR(SEARCH(("RENDAH"),(Z90))))</formula>
    </cfRule>
    <cfRule type="containsText" dxfId="25" priority="41" stopIfTrue="1" operator="containsText" text="SEDANG-RENDAH">
      <formula>NOT(ISERROR(SEARCH(("SEDANG-RENDAH"),(Z90))))</formula>
    </cfRule>
    <cfRule type="containsText" dxfId="24" priority="42" stopIfTrue="1" operator="containsText" text="SEDANG-TINGGI">
      <formula>NOT(ISERROR(SEARCH(("SEDANG-TINGGI"),(Z90))))</formula>
    </cfRule>
    <cfRule type="containsText" dxfId="23" priority="43" stopIfTrue="1" operator="containsText" text="SEDANG">
      <formula>NOT(ISERROR(SEARCH(("SEDANG"),(Z90))))</formula>
    </cfRule>
    <cfRule type="containsText" dxfId="22" priority="44" stopIfTrue="1" operator="containsText" text="TINGGI">
      <formula>NOT(ISERROR(SEARCH(("TINGGI"),(Z90))))</formula>
    </cfRule>
    <cfRule type="containsText" dxfId="21" priority="45" stopIfTrue="1" operator="containsText" text="RENDAH">
      <formula>NOT(ISERROR(SEARCH(("RENDAH"),(Z90))))</formula>
    </cfRule>
    <cfRule type="containsText" dxfId="20" priority="46" stopIfTrue="1" operator="containsText" text="SEDANG-RENDAH">
      <formula>NOT(ISERROR(SEARCH(("SEDANG-RENDAH"),(Z90))))</formula>
    </cfRule>
    <cfRule type="containsText" dxfId="19" priority="47" stopIfTrue="1" operator="containsText" text="SEDANG-TINGGI">
      <formula>NOT(ISERROR(SEARCH(("SEDANG-TINGGI"),(Z90))))</formula>
    </cfRule>
    <cfRule type="containsText" dxfId="18" priority="48" stopIfTrue="1" operator="containsText" text="SEDANG">
      <formula>NOT(ISERROR(SEARCH(("SEDANG"),(Z90))))</formula>
    </cfRule>
    <cfRule type="containsText" dxfId="17" priority="49" stopIfTrue="1" operator="containsText" text="TINGGI">
      <formula>NOT(ISERROR(SEARCH(("TINGGI"),(Z90))))</formula>
    </cfRule>
    <cfRule type="containsText" dxfId="16" priority="50" stopIfTrue="1" operator="containsText" text="RENDAH">
      <formula>NOT(ISERROR(SEARCH(("RENDAH"),(Z90))))</formula>
    </cfRule>
  </conditionalFormatting>
  <conditionalFormatting sqref="AP15:AP232">
    <cfRule type="cellIs" dxfId="15" priority="761" operator="equal">
      <formula>"Closed"</formula>
    </cfRule>
  </conditionalFormatting>
  <conditionalFormatting sqref="AP233">
    <cfRule type="containsText" dxfId="14" priority="762" stopIfTrue="1" operator="containsText" text="SEDANG-RENDAH">
      <formula>NOT(ISERROR(SEARCH("SEDANG-RENDAH",AP233)))</formula>
    </cfRule>
    <cfRule type="containsText" dxfId="13" priority="763" stopIfTrue="1" operator="containsText" text="SEDANG-TINGGI">
      <formula>NOT(ISERROR(SEARCH("SEDANG-TINGGI",AP233)))</formula>
    </cfRule>
    <cfRule type="containsText" dxfId="12" priority="764" stopIfTrue="1" operator="containsText" text="SEDANG">
      <formula>NOT(ISERROR(SEARCH("SEDANG",AP233)))</formula>
    </cfRule>
    <cfRule type="containsText" dxfId="11" priority="765" stopIfTrue="1" operator="containsText" text="TINGGI">
      <formula>NOT(ISERROR(SEARCH("TINGGI",AP233)))</formula>
    </cfRule>
    <cfRule type="containsText" dxfId="10" priority="766" stopIfTrue="1" operator="containsText" text="RENDAH">
      <formula>NOT(ISERROR(SEARCH("RENDAH",AP233)))</formula>
    </cfRule>
  </conditionalFormatting>
  <pageMargins left="0.7" right="0.7" top="0.75" bottom="0.75" header="0" footer="0"/>
  <pageSetup paperSize="8" orientation="landscape" r:id="rId1"/>
  <extLst>
    <ext xmlns:x14="http://schemas.microsoft.com/office/spreadsheetml/2009/9/main" uri="{CCE6A557-97BC-4b89-ADB6-D9C93CAAB3DF}">
      <x14:dataValidations xmlns:xm="http://schemas.microsoft.com/office/excel/2006/main" count="9">
        <x14:dataValidation type="list" allowBlank="1" showErrorMessage="1" xr:uid="{00000000-0002-0000-0000-000002000000}">
          <x14:formula1>
            <xm:f>Parameter!$A$89:$A$90</xm:f>
          </x14:formula1>
          <xm:sqref>H233</xm:sqref>
        </x14:dataValidation>
        <x14:dataValidation type="list" allowBlank="1" showInputMessage="1" showErrorMessage="1" xr:uid="{D4AFA6C7-004F-457D-8AE7-443BB80394E2}">
          <x14:formula1>
            <xm:f>REF!$O$2:$O$18</xm:f>
          </x14:formula1>
          <xm:sqref>Z60 Z54 Z57 Z66 Z70 Z72 Z80 Z82 Z84:Z87 Z90:Z232 Y25:Y232 Y15:Z24</xm:sqref>
        </x14:dataValidation>
        <x14:dataValidation type="list" allowBlank="1" showInputMessage="1" showErrorMessage="1" xr:uid="{61089F03-3E2B-4339-AB86-3BAC6BB8B011}">
          <x14:formula1>
            <xm:f>REF!$G$2:$G$11</xm:f>
          </x14:formula1>
          <xm:sqref>F15:F232</xm:sqref>
        </x14:dataValidation>
        <x14:dataValidation type="list" allowBlank="1" showErrorMessage="1" xr:uid="{50D9309F-5527-4C92-8084-61371336F397}">
          <x14:formula1>
            <xm:f>REF!$K$2:$K$3</xm:f>
          </x14:formula1>
          <xm:sqref>G15:G232</xm:sqref>
        </x14:dataValidation>
        <x14:dataValidation type="list" allowBlank="1" showErrorMessage="1" xr:uid="{6044AD9C-A94D-45F9-9318-FCB40E5ACD76}">
          <x14:formula1>
            <xm:f>REF!$E$2:$E$6</xm:f>
          </x14:formula1>
          <xm:sqref>E15:E232</xm:sqref>
        </x14:dataValidation>
        <x14:dataValidation type="list" allowBlank="1" showErrorMessage="1" xr:uid="{B3AA3C08-93A7-47AC-912E-446138F08CB0}">
          <x14:formula1>
            <xm:f>REF!$C$2:$C$8</xm:f>
          </x14:formula1>
          <xm:sqref>N15:N232</xm:sqref>
        </x14:dataValidation>
        <x14:dataValidation type="list" allowBlank="1" showErrorMessage="1" xr:uid="{682D2285-9450-47D2-A221-C6AEBD1B0983}">
          <x14:formula1>
            <xm:f>REF!$I$2:$I$3</xm:f>
          </x14:formula1>
          <xm:sqref>H15:H232</xm:sqref>
        </x14:dataValidation>
        <x14:dataValidation type="list" allowBlank="1" showInputMessage="1" showErrorMessage="1" xr:uid="{69C19577-5CAE-476E-A0E7-FC5F04034A83}">
          <x14:formula1>
            <xm:f>REF!$M$2:$M$4</xm:f>
          </x14:formula1>
          <xm:sqref>AP15:AP232</xm:sqref>
        </x14:dataValidation>
        <x14:dataValidation type="list" allowBlank="1" showInputMessage="1" showErrorMessage="1" xr:uid="{84BA5E52-2379-4376-A683-B071518C070B}">
          <x14:formula1>
            <xm:f>REF!$A$2:$A$100</xm:f>
          </x14:formula1>
          <xm:sqref>D15:D232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224396-D409-4106-8C68-3F1030953D8F}">
  <dimension ref="A1:O100"/>
  <sheetViews>
    <sheetView zoomScale="85" zoomScaleNormal="85" workbookViewId="0">
      <selection activeCell="E23" sqref="E23"/>
    </sheetView>
  </sheetViews>
  <sheetFormatPr defaultRowHeight="14.4" x14ac:dyDescent="0.3"/>
  <cols>
    <col min="1" max="1" width="62.44140625" customWidth="1"/>
    <col min="2" max="2" width="2.77734375" customWidth="1"/>
    <col min="3" max="3" width="36.21875" customWidth="1"/>
    <col min="4" max="4" width="2.77734375" customWidth="1"/>
    <col min="5" max="5" width="28" customWidth="1"/>
    <col min="6" max="6" width="2.77734375" customWidth="1"/>
    <col min="7" max="7" width="31.77734375" customWidth="1"/>
    <col min="8" max="8" width="2.77734375" customWidth="1"/>
    <col min="9" max="9" width="21.21875" customWidth="1"/>
    <col min="10" max="10" width="2.77734375" customWidth="1"/>
    <col min="11" max="11" width="21.77734375" customWidth="1"/>
    <col min="12" max="12" width="2.77734375" customWidth="1"/>
    <col min="13" max="13" width="21.77734375" customWidth="1"/>
    <col min="14" max="14" width="2.77734375" customWidth="1"/>
    <col min="15" max="15" width="51.5546875" customWidth="1"/>
  </cols>
  <sheetData>
    <row r="1" spans="1:15" ht="18" x14ac:dyDescent="0.3">
      <c r="A1" s="103" t="s">
        <v>359</v>
      </c>
      <c r="C1" s="103" t="s">
        <v>360</v>
      </c>
      <c r="E1" s="103" t="s">
        <v>194</v>
      </c>
      <c r="G1" s="103" t="s">
        <v>366</v>
      </c>
      <c r="I1" s="103" t="s">
        <v>376</v>
      </c>
      <c r="K1" s="103" t="s">
        <v>378</v>
      </c>
      <c r="M1" s="103" t="s">
        <v>33</v>
      </c>
      <c r="O1" s="103" t="s">
        <v>746</v>
      </c>
    </row>
    <row r="2" spans="1:15" ht="18" x14ac:dyDescent="0.3">
      <c r="A2" s="105" t="s">
        <v>865</v>
      </c>
      <c r="C2" s="105" t="s">
        <v>361</v>
      </c>
      <c r="E2" s="105" t="s">
        <v>256</v>
      </c>
      <c r="G2" s="105" t="s">
        <v>367</v>
      </c>
      <c r="I2" s="105" t="s">
        <v>50</v>
      </c>
      <c r="K2" s="105" t="s">
        <v>49</v>
      </c>
      <c r="M2" s="105" t="s">
        <v>379</v>
      </c>
      <c r="O2" s="105" t="s">
        <v>262</v>
      </c>
    </row>
    <row r="3" spans="1:15" ht="18" x14ac:dyDescent="0.3">
      <c r="A3" s="105" t="s">
        <v>261</v>
      </c>
      <c r="C3" s="105" t="s">
        <v>362</v>
      </c>
      <c r="E3" s="105" t="s">
        <v>52</v>
      </c>
      <c r="G3" s="105" t="s">
        <v>368</v>
      </c>
      <c r="I3" s="105" t="s">
        <v>190</v>
      </c>
      <c r="K3" s="105" t="s">
        <v>377</v>
      </c>
      <c r="M3" s="105" t="s">
        <v>380</v>
      </c>
      <c r="O3" s="105" t="s">
        <v>327</v>
      </c>
    </row>
    <row r="4" spans="1:15" ht="18" x14ac:dyDescent="0.3">
      <c r="A4" s="105" t="s">
        <v>994</v>
      </c>
      <c r="C4" s="105" t="s">
        <v>363</v>
      </c>
      <c r="E4" s="105" t="s">
        <v>189</v>
      </c>
      <c r="G4" s="105" t="s">
        <v>369</v>
      </c>
      <c r="M4" s="105" t="s">
        <v>381</v>
      </c>
      <c r="O4" s="105" t="s">
        <v>333</v>
      </c>
    </row>
    <row r="5" spans="1:15" ht="18" x14ac:dyDescent="0.3">
      <c r="A5" s="105" t="s">
        <v>365</v>
      </c>
      <c r="C5" s="105" t="s">
        <v>382</v>
      </c>
      <c r="E5" s="105" t="s">
        <v>260</v>
      </c>
      <c r="G5" s="105" t="s">
        <v>370</v>
      </c>
      <c r="O5" s="105" t="s">
        <v>279</v>
      </c>
    </row>
    <row r="6" spans="1:15" ht="18" x14ac:dyDescent="0.3">
      <c r="A6" s="105" t="s">
        <v>992</v>
      </c>
      <c r="C6" s="105" t="s">
        <v>383</v>
      </c>
      <c r="E6" s="105" t="s">
        <v>57</v>
      </c>
      <c r="G6" s="105" t="s">
        <v>371</v>
      </c>
      <c r="O6" s="105" t="s">
        <v>290</v>
      </c>
    </row>
    <row r="7" spans="1:15" ht="18" x14ac:dyDescent="0.3">
      <c r="A7" s="105" t="s">
        <v>319</v>
      </c>
      <c r="C7" s="105" t="s">
        <v>384</v>
      </c>
      <c r="G7" s="105" t="s">
        <v>372</v>
      </c>
      <c r="O7" s="105" t="s">
        <v>254</v>
      </c>
    </row>
    <row r="8" spans="1:15" ht="18" x14ac:dyDescent="0.3">
      <c r="A8" s="105" t="s">
        <v>319</v>
      </c>
      <c r="C8" s="105" t="s">
        <v>385</v>
      </c>
      <c r="G8" s="105" t="s">
        <v>373</v>
      </c>
      <c r="O8" s="105" t="s">
        <v>273</v>
      </c>
    </row>
    <row r="9" spans="1:15" ht="18" x14ac:dyDescent="0.3">
      <c r="A9" s="105" t="s">
        <v>993</v>
      </c>
      <c r="G9" s="105" t="s">
        <v>371</v>
      </c>
      <c r="O9" s="105" t="s">
        <v>325</v>
      </c>
    </row>
    <row r="10" spans="1:15" ht="18" x14ac:dyDescent="0.3">
      <c r="A10" s="105" t="s">
        <v>991</v>
      </c>
      <c r="G10" s="105" t="s">
        <v>374</v>
      </c>
      <c r="O10" s="105" t="s">
        <v>321</v>
      </c>
    </row>
    <row r="11" spans="1:15" ht="18" x14ac:dyDescent="0.3">
      <c r="A11" s="105" t="s">
        <v>270</v>
      </c>
      <c r="G11" s="105" t="s">
        <v>375</v>
      </c>
      <c r="O11" s="105" t="s">
        <v>337</v>
      </c>
    </row>
    <row r="12" spans="1:15" ht="18" x14ac:dyDescent="0.3">
      <c r="A12" s="105" t="s">
        <v>308</v>
      </c>
      <c r="O12" s="105" t="s">
        <v>310</v>
      </c>
    </row>
    <row r="13" spans="1:15" ht="18" x14ac:dyDescent="0.3">
      <c r="A13" s="105" t="s">
        <v>990</v>
      </c>
      <c r="O13" s="105" t="s">
        <v>297</v>
      </c>
    </row>
    <row r="14" spans="1:15" ht="18" x14ac:dyDescent="0.3">
      <c r="A14" s="105" t="s">
        <v>334</v>
      </c>
      <c r="O14" s="105" t="s">
        <v>750</v>
      </c>
    </row>
    <row r="15" spans="1:15" ht="18" x14ac:dyDescent="0.3">
      <c r="A15" s="105" t="s">
        <v>306</v>
      </c>
      <c r="O15" s="105" t="s">
        <v>317</v>
      </c>
    </row>
    <row r="16" spans="1:15" ht="18" x14ac:dyDescent="0.3">
      <c r="A16" s="105" t="s">
        <v>302</v>
      </c>
      <c r="O16" s="105" t="s">
        <v>747</v>
      </c>
    </row>
    <row r="17" spans="1:15" ht="18" x14ac:dyDescent="0.3">
      <c r="A17" s="105" t="s">
        <v>269</v>
      </c>
      <c r="O17" s="105" t="s">
        <v>345</v>
      </c>
    </row>
    <row r="18" spans="1:15" ht="18" x14ac:dyDescent="0.3">
      <c r="A18" s="105" t="s">
        <v>997</v>
      </c>
      <c r="O18" s="105" t="s">
        <v>267</v>
      </c>
    </row>
    <row r="19" spans="1:15" ht="18" x14ac:dyDescent="0.3">
      <c r="A19" s="105" t="s">
        <v>293</v>
      </c>
    </row>
    <row r="20" spans="1:15" ht="18" x14ac:dyDescent="0.3">
      <c r="A20" s="105" t="s">
        <v>280</v>
      </c>
    </row>
    <row r="21" spans="1:15" ht="18" x14ac:dyDescent="0.3">
      <c r="A21" s="105" t="s">
        <v>282</v>
      </c>
    </row>
    <row r="22" spans="1:15" ht="18" x14ac:dyDescent="0.3">
      <c r="A22" s="105" t="s">
        <v>281</v>
      </c>
    </row>
    <row r="23" spans="1:15" ht="18" x14ac:dyDescent="0.3">
      <c r="A23" s="105" t="s">
        <v>257</v>
      </c>
    </row>
    <row r="24" spans="1:15" ht="18" x14ac:dyDescent="0.3">
      <c r="A24" s="105" t="s">
        <v>283</v>
      </c>
    </row>
    <row r="25" spans="1:15" ht="18" x14ac:dyDescent="0.3">
      <c r="A25" s="105" t="s">
        <v>305</v>
      </c>
    </row>
    <row r="26" spans="1:15" ht="18" x14ac:dyDescent="0.3">
      <c r="A26" s="105" t="s">
        <v>1012</v>
      </c>
    </row>
    <row r="27" spans="1:15" ht="18" x14ac:dyDescent="0.3">
      <c r="A27" s="105" t="s">
        <v>263</v>
      </c>
    </row>
    <row r="28" spans="1:15" ht="18" x14ac:dyDescent="0.3">
      <c r="A28" s="105" t="s">
        <v>998</v>
      </c>
    </row>
    <row r="29" spans="1:15" ht="18" x14ac:dyDescent="0.3">
      <c r="A29" s="105" t="s">
        <v>1010</v>
      </c>
    </row>
    <row r="30" spans="1:15" ht="18" x14ac:dyDescent="0.3">
      <c r="A30" s="105" t="s">
        <v>289</v>
      </c>
    </row>
    <row r="31" spans="1:15" ht="18" x14ac:dyDescent="0.3">
      <c r="A31" s="105" t="s">
        <v>1016</v>
      </c>
    </row>
    <row r="32" spans="1:15" ht="18" x14ac:dyDescent="0.3">
      <c r="A32" s="105" t="s">
        <v>1011</v>
      </c>
    </row>
    <row r="33" spans="1:1" ht="18" x14ac:dyDescent="0.3">
      <c r="A33" s="105" t="s">
        <v>353</v>
      </c>
    </row>
    <row r="34" spans="1:1" ht="18" x14ac:dyDescent="0.3">
      <c r="A34" s="105" t="s">
        <v>328</v>
      </c>
    </row>
    <row r="35" spans="1:1" ht="18" x14ac:dyDescent="0.3">
      <c r="A35" s="105" t="s">
        <v>1017</v>
      </c>
    </row>
    <row r="36" spans="1:1" ht="18" x14ac:dyDescent="0.3">
      <c r="A36" s="105" t="s">
        <v>1015</v>
      </c>
    </row>
    <row r="37" spans="1:1" ht="18" x14ac:dyDescent="0.3">
      <c r="A37" s="105" t="s">
        <v>329</v>
      </c>
    </row>
    <row r="38" spans="1:1" ht="18" x14ac:dyDescent="0.3">
      <c r="A38" s="105" t="s">
        <v>1005</v>
      </c>
    </row>
    <row r="39" spans="1:1" ht="18" x14ac:dyDescent="0.3">
      <c r="A39" s="105" t="s">
        <v>1006</v>
      </c>
    </row>
    <row r="40" spans="1:1" ht="18" x14ac:dyDescent="0.3">
      <c r="A40" s="105" t="s">
        <v>346</v>
      </c>
    </row>
    <row r="41" spans="1:1" ht="18" x14ac:dyDescent="0.3">
      <c r="A41" s="105" t="s">
        <v>1001</v>
      </c>
    </row>
    <row r="42" spans="1:1" ht="18" x14ac:dyDescent="0.3">
      <c r="A42" s="105" t="s">
        <v>1002</v>
      </c>
    </row>
    <row r="43" spans="1:1" ht="18" x14ac:dyDescent="0.3">
      <c r="A43" s="105" t="s">
        <v>1013</v>
      </c>
    </row>
    <row r="44" spans="1:1" ht="18" x14ac:dyDescent="0.3">
      <c r="A44" s="105" t="s">
        <v>331</v>
      </c>
    </row>
    <row r="45" spans="1:1" ht="18" x14ac:dyDescent="0.3">
      <c r="A45" s="105" t="s">
        <v>1014</v>
      </c>
    </row>
    <row r="46" spans="1:1" ht="18" x14ac:dyDescent="0.3">
      <c r="A46" s="105" t="s">
        <v>340</v>
      </c>
    </row>
    <row r="47" spans="1:1" ht="18" x14ac:dyDescent="0.3">
      <c r="A47" s="105" t="s">
        <v>1003</v>
      </c>
    </row>
    <row r="48" spans="1:1" ht="18" x14ac:dyDescent="0.3">
      <c r="A48" s="105" t="s">
        <v>288</v>
      </c>
    </row>
    <row r="49" spans="1:1" ht="18" x14ac:dyDescent="0.3">
      <c r="A49" s="105" t="s">
        <v>323</v>
      </c>
    </row>
    <row r="50" spans="1:1" ht="18" x14ac:dyDescent="0.3">
      <c r="A50" s="105" t="s">
        <v>1007</v>
      </c>
    </row>
    <row r="51" spans="1:1" ht="18" x14ac:dyDescent="0.3">
      <c r="A51" s="105" t="s">
        <v>1009</v>
      </c>
    </row>
    <row r="52" spans="1:1" ht="18" x14ac:dyDescent="0.3">
      <c r="A52" s="105" t="s">
        <v>999</v>
      </c>
    </row>
    <row r="53" spans="1:1" ht="18" x14ac:dyDescent="0.3">
      <c r="A53" s="105" t="s">
        <v>318</v>
      </c>
    </row>
    <row r="54" spans="1:1" ht="18" x14ac:dyDescent="0.3">
      <c r="A54" s="105" t="s">
        <v>277</v>
      </c>
    </row>
    <row r="55" spans="1:1" ht="18" x14ac:dyDescent="0.3">
      <c r="A55" s="105" t="s">
        <v>258</v>
      </c>
    </row>
    <row r="56" spans="1:1" ht="18" x14ac:dyDescent="0.3">
      <c r="A56" s="105" t="s">
        <v>278</v>
      </c>
    </row>
    <row r="57" spans="1:1" ht="18" x14ac:dyDescent="0.3">
      <c r="A57" s="105" t="s">
        <v>335</v>
      </c>
    </row>
    <row r="58" spans="1:1" ht="18" x14ac:dyDescent="0.3">
      <c r="A58" s="105" t="s">
        <v>348</v>
      </c>
    </row>
    <row r="59" spans="1:1" ht="18" x14ac:dyDescent="0.3">
      <c r="A59" s="105" t="s">
        <v>314</v>
      </c>
    </row>
    <row r="60" spans="1:1" ht="18" x14ac:dyDescent="0.3">
      <c r="A60" s="105" t="s">
        <v>304</v>
      </c>
    </row>
    <row r="61" spans="1:1" ht="18" x14ac:dyDescent="0.3">
      <c r="A61" s="105" t="s">
        <v>1000</v>
      </c>
    </row>
    <row r="62" spans="1:1" ht="18" x14ac:dyDescent="0.3">
      <c r="A62" s="105" t="s">
        <v>399</v>
      </c>
    </row>
    <row r="63" spans="1:1" ht="18" x14ac:dyDescent="0.3">
      <c r="A63" s="105" t="s">
        <v>307</v>
      </c>
    </row>
    <row r="64" spans="1:1" ht="18" x14ac:dyDescent="0.3">
      <c r="A64" s="105" t="s">
        <v>286</v>
      </c>
    </row>
    <row r="65" spans="1:1" ht="18" x14ac:dyDescent="0.3">
      <c r="A65" s="105" t="s">
        <v>315</v>
      </c>
    </row>
    <row r="66" spans="1:1" ht="18" x14ac:dyDescent="0.3">
      <c r="A66" s="105" t="s">
        <v>356</v>
      </c>
    </row>
    <row r="67" spans="1:1" ht="18" x14ac:dyDescent="0.3">
      <c r="A67" s="105" t="s">
        <v>266</v>
      </c>
    </row>
    <row r="68" spans="1:1" ht="18" x14ac:dyDescent="0.3">
      <c r="A68" s="105" t="s">
        <v>296</v>
      </c>
    </row>
    <row r="69" spans="1:1" ht="18" x14ac:dyDescent="0.3">
      <c r="A69" s="105" t="s">
        <v>311</v>
      </c>
    </row>
    <row r="70" spans="1:1" ht="18" x14ac:dyDescent="0.3">
      <c r="A70" s="105" t="s">
        <v>298</v>
      </c>
    </row>
    <row r="71" spans="1:1" ht="18" x14ac:dyDescent="0.3">
      <c r="A71" s="105" t="s">
        <v>265</v>
      </c>
    </row>
    <row r="72" spans="1:1" ht="18" x14ac:dyDescent="0.3">
      <c r="A72" s="105" t="s">
        <v>332</v>
      </c>
    </row>
    <row r="73" spans="1:1" ht="18" x14ac:dyDescent="0.3">
      <c r="A73" s="105" t="s">
        <v>336</v>
      </c>
    </row>
    <row r="74" spans="1:1" ht="18" x14ac:dyDescent="0.3">
      <c r="A74" s="105" t="s">
        <v>284</v>
      </c>
    </row>
    <row r="75" spans="1:1" ht="18" x14ac:dyDescent="0.3">
      <c r="A75" s="105" t="s">
        <v>285</v>
      </c>
    </row>
    <row r="76" spans="1:1" ht="18" x14ac:dyDescent="0.3">
      <c r="A76" s="105" t="s">
        <v>294</v>
      </c>
    </row>
    <row r="77" spans="1:1" ht="18" x14ac:dyDescent="0.3">
      <c r="A77" s="105" t="s">
        <v>996</v>
      </c>
    </row>
    <row r="78" spans="1:1" ht="18" x14ac:dyDescent="0.3">
      <c r="A78" s="105" t="s">
        <v>995</v>
      </c>
    </row>
    <row r="79" spans="1:1" ht="18" x14ac:dyDescent="0.3">
      <c r="A79" s="105" t="s">
        <v>324</v>
      </c>
    </row>
    <row r="80" spans="1:1" ht="18" x14ac:dyDescent="0.3">
      <c r="A80" s="105" t="s">
        <v>341</v>
      </c>
    </row>
    <row r="81" spans="1:1" ht="18" x14ac:dyDescent="0.3">
      <c r="A81" s="105" t="s">
        <v>313</v>
      </c>
    </row>
    <row r="82" spans="1:1" ht="18" x14ac:dyDescent="0.3">
      <c r="A82" s="105" t="s">
        <v>303</v>
      </c>
    </row>
    <row r="83" spans="1:1" ht="18" x14ac:dyDescent="0.3">
      <c r="A83" s="105" t="s">
        <v>634</v>
      </c>
    </row>
    <row r="84" spans="1:1" ht="18" x14ac:dyDescent="0.3">
      <c r="A84" s="105" t="s">
        <v>326</v>
      </c>
    </row>
    <row r="85" spans="1:1" ht="18" x14ac:dyDescent="0.3">
      <c r="A85" s="105" t="s">
        <v>349</v>
      </c>
    </row>
    <row r="86" spans="1:1" ht="18" x14ac:dyDescent="0.3">
      <c r="A86" s="105" t="s">
        <v>271</v>
      </c>
    </row>
    <row r="87" spans="1:1" ht="18" x14ac:dyDescent="0.3">
      <c r="A87" s="105" t="s">
        <v>295</v>
      </c>
    </row>
    <row r="88" spans="1:1" ht="18" x14ac:dyDescent="0.3">
      <c r="A88" s="105" t="s">
        <v>1004</v>
      </c>
    </row>
    <row r="89" spans="1:1" ht="18" x14ac:dyDescent="0.3">
      <c r="A89" s="105" t="s">
        <v>989</v>
      </c>
    </row>
    <row r="90" spans="1:1" ht="18" x14ac:dyDescent="0.3">
      <c r="A90" s="105" t="s">
        <v>767</v>
      </c>
    </row>
    <row r="91" spans="1:1" ht="18" x14ac:dyDescent="0.3">
      <c r="A91" s="105" t="s">
        <v>343</v>
      </c>
    </row>
    <row r="92" spans="1:1" ht="18" x14ac:dyDescent="0.3">
      <c r="A92" s="105" t="s">
        <v>291</v>
      </c>
    </row>
    <row r="93" spans="1:1" ht="18" x14ac:dyDescent="0.3">
      <c r="A93" s="105" t="s">
        <v>299</v>
      </c>
    </row>
    <row r="94" spans="1:1" ht="18" x14ac:dyDescent="0.3">
      <c r="A94" s="105" t="s">
        <v>354</v>
      </c>
    </row>
    <row r="95" spans="1:1" ht="18" x14ac:dyDescent="0.3">
      <c r="A95" s="105" t="s">
        <v>338</v>
      </c>
    </row>
    <row r="96" spans="1:1" ht="18" x14ac:dyDescent="0.3">
      <c r="A96" s="105" t="s">
        <v>255</v>
      </c>
    </row>
    <row r="97" spans="1:1" ht="18" x14ac:dyDescent="0.3">
      <c r="A97" s="105" t="s">
        <v>322</v>
      </c>
    </row>
    <row r="98" spans="1:1" ht="18" x14ac:dyDescent="0.3">
      <c r="A98" s="105" t="s">
        <v>268</v>
      </c>
    </row>
    <row r="99" spans="1:1" ht="18" x14ac:dyDescent="0.3">
      <c r="A99" s="105" t="s">
        <v>272</v>
      </c>
    </row>
    <row r="100" spans="1:1" ht="18" x14ac:dyDescent="0.3">
      <c r="A100" s="105" t="s">
        <v>292</v>
      </c>
    </row>
  </sheetData>
  <sortState xmlns:xlrd2="http://schemas.microsoft.com/office/spreadsheetml/2017/richdata2" ref="A2:A100">
    <sortCondition ref="A2:A100"/>
  </sortState>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534065-31C4-4867-B32A-9A52EBD202FD}">
  <dimension ref="A1:D89"/>
  <sheetViews>
    <sheetView topLeftCell="A13" workbookViewId="0">
      <selection activeCell="B2" sqref="B2:B89"/>
    </sheetView>
  </sheetViews>
  <sheetFormatPr defaultRowHeight="18" x14ac:dyDescent="0.55000000000000004"/>
  <cols>
    <col min="1" max="1" width="3.77734375" style="104" bestFit="1" customWidth="1"/>
    <col min="2" max="2" width="37.5546875" style="104" customWidth="1"/>
    <col min="3" max="3" width="61" style="104" customWidth="1"/>
    <col min="4" max="4" width="35.109375" style="104" customWidth="1"/>
    <col min="5" max="16384" width="8.88671875" style="104"/>
  </cols>
  <sheetData>
    <row r="1" spans="1:4" x14ac:dyDescent="0.55000000000000004">
      <c r="A1" s="103" t="s">
        <v>204</v>
      </c>
      <c r="B1" s="103" t="s">
        <v>252</v>
      </c>
      <c r="C1" s="103" t="s">
        <v>253</v>
      </c>
      <c r="D1" s="103" t="s">
        <v>194</v>
      </c>
    </row>
    <row r="2" spans="1:4" x14ac:dyDescent="0.55000000000000004">
      <c r="A2" s="105">
        <v>1</v>
      </c>
      <c r="B2" s="105" t="s">
        <v>254</v>
      </c>
      <c r="C2" s="105" t="s">
        <v>255</v>
      </c>
      <c r="D2" s="105" t="s">
        <v>256</v>
      </c>
    </row>
    <row r="3" spans="1:4" x14ac:dyDescent="0.55000000000000004">
      <c r="A3" s="105">
        <v>2</v>
      </c>
      <c r="B3" s="105" t="s">
        <v>254</v>
      </c>
      <c r="C3" s="105" t="s">
        <v>257</v>
      </c>
      <c r="D3" s="105" t="s">
        <v>52</v>
      </c>
    </row>
    <row r="4" spans="1:4" x14ac:dyDescent="0.55000000000000004">
      <c r="A4" s="105">
        <v>3</v>
      </c>
      <c r="B4" s="105" t="s">
        <v>254</v>
      </c>
      <c r="C4" s="105" t="s">
        <v>258</v>
      </c>
      <c r="D4" s="105" t="s">
        <v>189</v>
      </c>
    </row>
    <row r="5" spans="1:4" x14ac:dyDescent="0.55000000000000004">
      <c r="A5" s="105">
        <v>4</v>
      </c>
      <c r="B5" s="105" t="s">
        <v>254</v>
      </c>
      <c r="C5" s="105" t="s">
        <v>259</v>
      </c>
      <c r="D5" s="105" t="s">
        <v>260</v>
      </c>
    </row>
    <row r="6" spans="1:4" x14ac:dyDescent="0.55000000000000004">
      <c r="A6" s="105">
        <v>5</v>
      </c>
      <c r="B6" s="105" t="s">
        <v>254</v>
      </c>
      <c r="C6" s="105" t="s">
        <v>261</v>
      </c>
      <c r="D6" s="105" t="s">
        <v>256</v>
      </c>
    </row>
    <row r="7" spans="1:4" x14ac:dyDescent="0.55000000000000004">
      <c r="A7" s="105">
        <v>6</v>
      </c>
      <c r="B7" s="105" t="s">
        <v>262</v>
      </c>
      <c r="C7" s="105" t="s">
        <v>263</v>
      </c>
      <c r="D7" s="105" t="s">
        <v>256</v>
      </c>
    </row>
    <row r="8" spans="1:4" x14ac:dyDescent="0.55000000000000004">
      <c r="A8" s="105">
        <v>7</v>
      </c>
      <c r="B8" s="105" t="s">
        <v>262</v>
      </c>
      <c r="C8" s="105" t="s">
        <v>264</v>
      </c>
      <c r="D8" s="105" t="s">
        <v>256</v>
      </c>
    </row>
    <row r="9" spans="1:4" x14ac:dyDescent="0.55000000000000004">
      <c r="A9" s="105">
        <v>8</v>
      </c>
      <c r="B9" s="105" t="s">
        <v>262</v>
      </c>
      <c r="C9" s="105" t="s">
        <v>265</v>
      </c>
      <c r="D9" s="105" t="s">
        <v>260</v>
      </c>
    </row>
    <row r="10" spans="1:4" x14ac:dyDescent="0.55000000000000004">
      <c r="A10" s="105">
        <v>9</v>
      </c>
      <c r="B10" s="105" t="s">
        <v>262</v>
      </c>
      <c r="C10" s="105" t="s">
        <v>266</v>
      </c>
      <c r="D10" s="105" t="s">
        <v>256</v>
      </c>
    </row>
    <row r="11" spans="1:4" x14ac:dyDescent="0.55000000000000004">
      <c r="A11" s="105">
        <v>10</v>
      </c>
      <c r="B11" s="105" t="s">
        <v>267</v>
      </c>
      <c r="C11" s="105" t="s">
        <v>268</v>
      </c>
      <c r="D11" s="105" t="s">
        <v>256</v>
      </c>
    </row>
    <row r="12" spans="1:4" x14ac:dyDescent="0.55000000000000004">
      <c r="A12" s="105">
        <v>11</v>
      </c>
      <c r="B12" s="105" t="s">
        <v>267</v>
      </c>
      <c r="C12" s="105" t="s">
        <v>269</v>
      </c>
      <c r="D12" s="105" t="s">
        <v>256</v>
      </c>
    </row>
    <row r="13" spans="1:4" x14ac:dyDescent="0.55000000000000004">
      <c r="A13" s="105">
        <v>12</v>
      </c>
      <c r="B13" s="105" t="s">
        <v>267</v>
      </c>
      <c r="C13" s="105" t="s">
        <v>270</v>
      </c>
      <c r="D13" s="105" t="s">
        <v>52</v>
      </c>
    </row>
    <row r="14" spans="1:4" x14ac:dyDescent="0.55000000000000004">
      <c r="A14" s="105">
        <v>13</v>
      </c>
      <c r="B14" s="105" t="s">
        <v>267</v>
      </c>
      <c r="C14" s="105" t="s">
        <v>271</v>
      </c>
      <c r="D14" s="105" t="s">
        <v>260</v>
      </c>
    </row>
    <row r="15" spans="1:4" x14ac:dyDescent="0.55000000000000004">
      <c r="A15" s="105">
        <v>14</v>
      </c>
      <c r="B15" s="105" t="s">
        <v>267</v>
      </c>
      <c r="C15" s="105" t="s">
        <v>272</v>
      </c>
      <c r="D15" s="105" t="s">
        <v>57</v>
      </c>
    </row>
    <row r="16" spans="1:4" x14ac:dyDescent="0.55000000000000004">
      <c r="A16" s="105">
        <v>15</v>
      </c>
      <c r="B16" s="105" t="s">
        <v>273</v>
      </c>
      <c r="C16" s="105" t="s">
        <v>274</v>
      </c>
      <c r="D16" s="105" t="s">
        <v>256</v>
      </c>
    </row>
    <row r="17" spans="1:4" x14ac:dyDescent="0.55000000000000004">
      <c r="A17" s="105">
        <v>16</v>
      </c>
      <c r="B17" s="105" t="s">
        <v>273</v>
      </c>
      <c r="C17" s="105" t="s">
        <v>275</v>
      </c>
      <c r="D17" s="105" t="s">
        <v>256</v>
      </c>
    </row>
    <row r="18" spans="1:4" x14ac:dyDescent="0.55000000000000004">
      <c r="A18" s="105">
        <v>17</v>
      </c>
      <c r="B18" s="105" t="s">
        <v>273</v>
      </c>
      <c r="C18" s="105" t="s">
        <v>276</v>
      </c>
      <c r="D18" s="105" t="s">
        <v>260</v>
      </c>
    </row>
    <row r="19" spans="1:4" x14ac:dyDescent="0.55000000000000004">
      <c r="A19" s="105">
        <v>18</v>
      </c>
      <c r="B19" s="105" t="s">
        <v>273</v>
      </c>
      <c r="C19" s="105" t="s">
        <v>277</v>
      </c>
      <c r="D19" s="105" t="s">
        <v>256</v>
      </c>
    </row>
    <row r="20" spans="1:4" x14ac:dyDescent="0.55000000000000004">
      <c r="A20" s="105">
        <v>19</v>
      </c>
      <c r="B20" s="105" t="s">
        <v>273</v>
      </c>
      <c r="C20" s="105" t="s">
        <v>278</v>
      </c>
      <c r="D20" s="105" t="s">
        <v>256</v>
      </c>
    </row>
    <row r="21" spans="1:4" x14ac:dyDescent="0.55000000000000004">
      <c r="A21" s="105">
        <v>20</v>
      </c>
      <c r="B21" s="105" t="s">
        <v>279</v>
      </c>
      <c r="C21" s="105" t="s">
        <v>280</v>
      </c>
      <c r="D21" s="105" t="s">
        <v>256</v>
      </c>
    </row>
    <row r="22" spans="1:4" x14ac:dyDescent="0.55000000000000004">
      <c r="A22" s="105">
        <v>21</v>
      </c>
      <c r="B22" s="105" t="s">
        <v>279</v>
      </c>
      <c r="C22" s="105" t="s">
        <v>281</v>
      </c>
      <c r="D22" s="105" t="s">
        <v>256</v>
      </c>
    </row>
    <row r="23" spans="1:4" x14ac:dyDescent="0.55000000000000004">
      <c r="A23" s="105">
        <v>22</v>
      </c>
      <c r="B23" s="105" t="s">
        <v>279</v>
      </c>
      <c r="C23" s="105" t="s">
        <v>282</v>
      </c>
      <c r="D23" s="105" t="s">
        <v>52</v>
      </c>
    </row>
    <row r="24" spans="1:4" x14ac:dyDescent="0.55000000000000004">
      <c r="A24" s="105">
        <v>23</v>
      </c>
      <c r="B24" s="105" t="s">
        <v>279</v>
      </c>
      <c r="C24" s="105" t="s">
        <v>283</v>
      </c>
      <c r="D24" s="105" t="s">
        <v>256</v>
      </c>
    </row>
    <row r="25" spans="1:4" x14ac:dyDescent="0.55000000000000004">
      <c r="A25" s="105">
        <v>24</v>
      </c>
      <c r="B25" s="105" t="s">
        <v>279</v>
      </c>
      <c r="C25" s="105" t="s">
        <v>284</v>
      </c>
      <c r="D25" s="105" t="s">
        <v>260</v>
      </c>
    </row>
    <row r="26" spans="1:4" x14ac:dyDescent="0.55000000000000004">
      <c r="A26" s="105">
        <v>25</v>
      </c>
      <c r="B26" s="105" t="s">
        <v>279</v>
      </c>
      <c r="C26" s="105" t="s">
        <v>285</v>
      </c>
      <c r="D26" s="105" t="s">
        <v>260</v>
      </c>
    </row>
    <row r="27" spans="1:4" x14ac:dyDescent="0.55000000000000004">
      <c r="A27" s="105">
        <v>26</v>
      </c>
      <c r="B27" s="105" t="s">
        <v>279</v>
      </c>
      <c r="C27" s="105" t="s">
        <v>286</v>
      </c>
      <c r="D27" s="105" t="s">
        <v>256</v>
      </c>
    </row>
    <row r="28" spans="1:4" x14ac:dyDescent="0.55000000000000004">
      <c r="A28" s="105">
        <v>27</v>
      </c>
      <c r="B28" s="105" t="s">
        <v>279</v>
      </c>
      <c r="C28" s="105" t="s">
        <v>287</v>
      </c>
      <c r="D28" s="105" t="s">
        <v>256</v>
      </c>
    </row>
    <row r="29" spans="1:4" x14ac:dyDescent="0.55000000000000004">
      <c r="A29" s="105">
        <v>28</v>
      </c>
      <c r="B29" s="105" t="s">
        <v>279</v>
      </c>
      <c r="C29" s="105" t="s">
        <v>288</v>
      </c>
      <c r="D29" s="105" t="s">
        <v>256</v>
      </c>
    </row>
    <row r="30" spans="1:4" x14ac:dyDescent="0.55000000000000004">
      <c r="A30" s="105">
        <v>29</v>
      </c>
      <c r="B30" s="105" t="s">
        <v>279</v>
      </c>
      <c r="C30" s="105" t="s">
        <v>289</v>
      </c>
      <c r="D30" s="105" t="s">
        <v>256</v>
      </c>
    </row>
    <row r="31" spans="1:4" x14ac:dyDescent="0.55000000000000004">
      <c r="A31" s="105">
        <v>30</v>
      </c>
      <c r="B31" s="105" t="s">
        <v>290</v>
      </c>
      <c r="C31" s="105" t="s">
        <v>291</v>
      </c>
      <c r="D31" s="105" t="s">
        <v>256</v>
      </c>
    </row>
    <row r="32" spans="1:4" x14ac:dyDescent="0.55000000000000004">
      <c r="A32" s="105">
        <v>31</v>
      </c>
      <c r="B32" s="105" t="s">
        <v>290</v>
      </c>
      <c r="C32" s="105" t="s">
        <v>292</v>
      </c>
      <c r="D32" s="105" t="s">
        <v>52</v>
      </c>
    </row>
    <row r="33" spans="1:4" x14ac:dyDescent="0.55000000000000004">
      <c r="A33" s="105">
        <v>32</v>
      </c>
      <c r="B33" s="105" t="s">
        <v>290</v>
      </c>
      <c r="C33" s="105" t="s">
        <v>293</v>
      </c>
      <c r="D33" s="105" t="s">
        <v>256</v>
      </c>
    </row>
    <row r="34" spans="1:4" x14ac:dyDescent="0.55000000000000004">
      <c r="A34" s="105">
        <v>33</v>
      </c>
      <c r="B34" s="105" t="s">
        <v>290</v>
      </c>
      <c r="C34" s="105" t="s">
        <v>294</v>
      </c>
      <c r="D34" s="105" t="s">
        <v>260</v>
      </c>
    </row>
    <row r="35" spans="1:4" x14ac:dyDescent="0.55000000000000004">
      <c r="A35" s="105">
        <v>34</v>
      </c>
      <c r="B35" s="105" t="s">
        <v>290</v>
      </c>
      <c r="C35" s="105" t="s">
        <v>295</v>
      </c>
      <c r="D35" s="105" t="s">
        <v>260</v>
      </c>
    </row>
    <row r="36" spans="1:4" x14ac:dyDescent="0.55000000000000004">
      <c r="A36" s="105">
        <v>35</v>
      </c>
      <c r="B36" s="105" t="s">
        <v>290</v>
      </c>
      <c r="C36" s="105" t="s">
        <v>296</v>
      </c>
      <c r="D36" s="105" t="s">
        <v>52</v>
      </c>
    </row>
    <row r="37" spans="1:4" x14ac:dyDescent="0.55000000000000004">
      <c r="A37" s="105">
        <v>36</v>
      </c>
      <c r="B37" s="105" t="s">
        <v>297</v>
      </c>
      <c r="C37" s="105" t="s">
        <v>298</v>
      </c>
      <c r="D37" s="105" t="s">
        <v>57</v>
      </c>
    </row>
    <row r="38" spans="1:4" x14ac:dyDescent="0.55000000000000004">
      <c r="A38" s="105">
        <v>37</v>
      </c>
      <c r="B38" s="105" t="s">
        <v>297</v>
      </c>
      <c r="C38" s="105" t="s">
        <v>299</v>
      </c>
      <c r="D38" s="105" t="s">
        <v>52</v>
      </c>
    </row>
    <row r="39" spans="1:4" x14ac:dyDescent="0.55000000000000004">
      <c r="A39" s="105">
        <v>38</v>
      </c>
      <c r="B39" s="105" t="s">
        <v>297</v>
      </c>
      <c r="C39" s="105" t="s">
        <v>300</v>
      </c>
      <c r="D39" s="105" t="s">
        <v>256</v>
      </c>
    </row>
    <row r="40" spans="1:4" x14ac:dyDescent="0.55000000000000004">
      <c r="A40" s="105">
        <v>39</v>
      </c>
      <c r="B40" s="105" t="s">
        <v>297</v>
      </c>
      <c r="C40" s="105" t="s">
        <v>301</v>
      </c>
      <c r="D40" s="105" t="s">
        <v>189</v>
      </c>
    </row>
    <row r="41" spans="1:4" x14ac:dyDescent="0.55000000000000004">
      <c r="A41" s="105">
        <v>40</v>
      </c>
      <c r="B41" s="105" t="s">
        <v>297</v>
      </c>
      <c r="C41" s="105" t="s">
        <v>302</v>
      </c>
      <c r="D41" s="105" t="s">
        <v>57</v>
      </c>
    </row>
    <row r="42" spans="1:4" x14ac:dyDescent="0.55000000000000004">
      <c r="A42" s="105">
        <v>41</v>
      </c>
      <c r="B42" s="105" t="s">
        <v>297</v>
      </c>
      <c r="C42" s="105" t="s">
        <v>303</v>
      </c>
      <c r="D42" s="105" t="s">
        <v>260</v>
      </c>
    </row>
    <row r="43" spans="1:4" x14ac:dyDescent="0.55000000000000004">
      <c r="A43" s="105">
        <v>42</v>
      </c>
      <c r="B43" s="105" t="s">
        <v>297</v>
      </c>
      <c r="C43" s="105" t="s">
        <v>304</v>
      </c>
      <c r="D43" s="105" t="s">
        <v>189</v>
      </c>
    </row>
    <row r="44" spans="1:4" x14ac:dyDescent="0.55000000000000004">
      <c r="A44" s="105">
        <v>43</v>
      </c>
      <c r="B44" s="105" t="s">
        <v>297</v>
      </c>
      <c r="C44" s="105" t="s">
        <v>305</v>
      </c>
      <c r="D44" s="105" t="s">
        <v>256</v>
      </c>
    </row>
    <row r="45" spans="1:4" x14ac:dyDescent="0.55000000000000004">
      <c r="A45" s="105">
        <v>44</v>
      </c>
      <c r="B45" s="105" t="s">
        <v>297</v>
      </c>
      <c r="C45" s="105" t="s">
        <v>306</v>
      </c>
      <c r="D45" s="105" t="s">
        <v>256</v>
      </c>
    </row>
    <row r="46" spans="1:4" x14ac:dyDescent="0.55000000000000004">
      <c r="A46" s="105">
        <v>45</v>
      </c>
      <c r="B46" s="105" t="s">
        <v>297</v>
      </c>
      <c r="C46" s="105" t="s">
        <v>307</v>
      </c>
      <c r="D46" s="105" t="s">
        <v>57</v>
      </c>
    </row>
    <row r="47" spans="1:4" x14ac:dyDescent="0.55000000000000004">
      <c r="A47" s="105">
        <v>46</v>
      </c>
      <c r="B47" s="105" t="s">
        <v>297</v>
      </c>
      <c r="C47" s="105" t="s">
        <v>308</v>
      </c>
      <c r="D47" s="105" t="s">
        <v>52</v>
      </c>
    </row>
    <row r="48" spans="1:4" x14ac:dyDescent="0.55000000000000004">
      <c r="A48" s="105">
        <v>47</v>
      </c>
      <c r="B48" s="105" t="s">
        <v>297</v>
      </c>
      <c r="C48" s="105" t="s">
        <v>309</v>
      </c>
      <c r="D48" s="105" t="s">
        <v>189</v>
      </c>
    </row>
    <row r="49" spans="1:4" x14ac:dyDescent="0.55000000000000004">
      <c r="A49" s="105">
        <v>48</v>
      </c>
      <c r="B49" s="105" t="s">
        <v>310</v>
      </c>
      <c r="C49" s="105" t="s">
        <v>311</v>
      </c>
      <c r="D49" s="105" t="s">
        <v>57</v>
      </c>
    </row>
    <row r="50" spans="1:4" x14ac:dyDescent="0.55000000000000004">
      <c r="A50" s="105">
        <v>49</v>
      </c>
      <c r="B50" s="105" t="s">
        <v>310</v>
      </c>
      <c r="C50" s="105" t="s">
        <v>312</v>
      </c>
      <c r="D50" s="105" t="s">
        <v>256</v>
      </c>
    </row>
    <row r="51" spans="1:4" x14ac:dyDescent="0.55000000000000004">
      <c r="A51" s="105">
        <v>50</v>
      </c>
      <c r="B51" s="105" t="s">
        <v>310</v>
      </c>
      <c r="C51" s="105" t="s">
        <v>313</v>
      </c>
      <c r="D51" s="105" t="s">
        <v>260</v>
      </c>
    </row>
    <row r="52" spans="1:4" x14ac:dyDescent="0.55000000000000004">
      <c r="A52" s="105">
        <v>51</v>
      </c>
      <c r="B52" s="105" t="s">
        <v>310</v>
      </c>
      <c r="C52" s="105" t="s">
        <v>314</v>
      </c>
      <c r="D52" s="105" t="s">
        <v>189</v>
      </c>
    </row>
    <row r="53" spans="1:4" x14ac:dyDescent="0.55000000000000004">
      <c r="A53" s="105">
        <v>52</v>
      </c>
      <c r="B53" s="105" t="s">
        <v>310</v>
      </c>
      <c r="C53" s="105" t="s">
        <v>315</v>
      </c>
      <c r="D53" s="105" t="s">
        <v>256</v>
      </c>
    </row>
    <row r="54" spans="1:4" x14ac:dyDescent="0.55000000000000004">
      <c r="A54" s="105">
        <v>53</v>
      </c>
      <c r="B54" s="105" t="s">
        <v>310</v>
      </c>
      <c r="C54" s="105" t="s">
        <v>316</v>
      </c>
      <c r="D54" s="105" t="s">
        <v>256</v>
      </c>
    </row>
    <row r="55" spans="1:4" x14ac:dyDescent="0.55000000000000004">
      <c r="A55" s="105">
        <v>54</v>
      </c>
      <c r="B55" s="105" t="s">
        <v>317</v>
      </c>
      <c r="C55" s="105" t="s">
        <v>318</v>
      </c>
      <c r="D55" s="105" t="s">
        <v>57</v>
      </c>
    </row>
    <row r="56" spans="1:4" x14ac:dyDescent="0.55000000000000004">
      <c r="A56" s="105">
        <v>55</v>
      </c>
      <c r="B56" s="105" t="s">
        <v>317</v>
      </c>
      <c r="C56" s="105" t="s">
        <v>319</v>
      </c>
      <c r="D56" s="105" t="s">
        <v>52</v>
      </c>
    </row>
    <row r="57" spans="1:4" x14ac:dyDescent="0.55000000000000004">
      <c r="A57" s="105">
        <v>56</v>
      </c>
      <c r="B57" s="105" t="s">
        <v>317</v>
      </c>
      <c r="C57" s="105" t="s">
        <v>320</v>
      </c>
      <c r="D57" s="105" t="s">
        <v>256</v>
      </c>
    </row>
    <row r="58" spans="1:4" x14ac:dyDescent="0.55000000000000004">
      <c r="A58" s="105">
        <v>57</v>
      </c>
      <c r="B58" s="105" t="s">
        <v>321</v>
      </c>
      <c r="C58" s="105" t="s">
        <v>322</v>
      </c>
      <c r="D58" s="105" t="s">
        <v>256</v>
      </c>
    </row>
    <row r="59" spans="1:4" x14ac:dyDescent="0.55000000000000004">
      <c r="A59" s="105">
        <v>58</v>
      </c>
      <c r="B59" s="105" t="s">
        <v>321</v>
      </c>
      <c r="C59" s="105" t="s">
        <v>323</v>
      </c>
      <c r="D59" s="105" t="s">
        <v>256</v>
      </c>
    </row>
    <row r="60" spans="1:4" x14ac:dyDescent="0.55000000000000004">
      <c r="A60" s="105">
        <v>59</v>
      </c>
      <c r="B60" s="105" t="s">
        <v>321</v>
      </c>
      <c r="C60" s="105" t="s">
        <v>324</v>
      </c>
      <c r="D60" s="105" t="s">
        <v>260</v>
      </c>
    </row>
    <row r="61" spans="1:4" x14ac:dyDescent="0.55000000000000004">
      <c r="A61" s="105">
        <v>60</v>
      </c>
      <c r="B61" s="105" t="s">
        <v>325</v>
      </c>
      <c r="C61" s="105" t="s">
        <v>319</v>
      </c>
      <c r="D61" s="105" t="s">
        <v>52</v>
      </c>
    </row>
    <row r="62" spans="1:4" x14ac:dyDescent="0.55000000000000004">
      <c r="A62" s="105">
        <v>61</v>
      </c>
      <c r="B62" s="105" t="s">
        <v>325</v>
      </c>
      <c r="C62" s="105" t="s">
        <v>326</v>
      </c>
      <c r="D62" s="105" t="s">
        <v>260</v>
      </c>
    </row>
    <row r="63" spans="1:4" ht="36" x14ac:dyDescent="0.55000000000000004">
      <c r="A63" s="105">
        <v>62</v>
      </c>
      <c r="B63" s="105" t="s">
        <v>327</v>
      </c>
      <c r="C63" s="105" t="s">
        <v>328</v>
      </c>
      <c r="D63" s="105" t="s">
        <v>256</v>
      </c>
    </row>
    <row r="64" spans="1:4" ht="36" x14ac:dyDescent="0.55000000000000004">
      <c r="A64" s="105">
        <v>63</v>
      </c>
      <c r="B64" s="105" t="s">
        <v>327</v>
      </c>
      <c r="C64" s="105" t="s">
        <v>329</v>
      </c>
      <c r="D64" s="105" t="s">
        <v>256</v>
      </c>
    </row>
    <row r="65" spans="1:4" ht="36" x14ac:dyDescent="0.55000000000000004">
      <c r="A65" s="105">
        <v>64</v>
      </c>
      <c r="B65" s="105" t="s">
        <v>327</v>
      </c>
      <c r="C65" s="105" t="s">
        <v>330</v>
      </c>
      <c r="D65" s="105" t="s">
        <v>256</v>
      </c>
    </row>
    <row r="66" spans="1:4" ht="36" x14ac:dyDescent="0.55000000000000004">
      <c r="A66" s="105">
        <v>65</v>
      </c>
      <c r="B66" s="105" t="s">
        <v>327</v>
      </c>
      <c r="C66" s="105" t="s">
        <v>331</v>
      </c>
      <c r="D66" s="105" t="s">
        <v>256</v>
      </c>
    </row>
    <row r="67" spans="1:4" ht="36" x14ac:dyDescent="0.55000000000000004">
      <c r="A67" s="105">
        <v>66</v>
      </c>
      <c r="B67" s="105" t="s">
        <v>327</v>
      </c>
      <c r="C67" s="105" t="s">
        <v>332</v>
      </c>
      <c r="D67" s="105" t="s">
        <v>260</v>
      </c>
    </row>
    <row r="68" spans="1:4" x14ac:dyDescent="0.55000000000000004">
      <c r="A68" s="105">
        <v>67</v>
      </c>
      <c r="B68" s="105" t="s">
        <v>333</v>
      </c>
      <c r="C68" s="105" t="s">
        <v>334</v>
      </c>
      <c r="D68" s="105" t="s">
        <v>52</v>
      </c>
    </row>
    <row r="69" spans="1:4" x14ac:dyDescent="0.55000000000000004">
      <c r="A69" s="105">
        <v>68</v>
      </c>
      <c r="B69" s="105" t="s">
        <v>333</v>
      </c>
      <c r="C69" s="105" t="s">
        <v>335</v>
      </c>
      <c r="D69" s="105" t="s">
        <v>256</v>
      </c>
    </row>
    <row r="70" spans="1:4" x14ac:dyDescent="0.55000000000000004">
      <c r="A70" s="105">
        <v>69</v>
      </c>
      <c r="B70" s="105" t="s">
        <v>333</v>
      </c>
      <c r="C70" s="105" t="s">
        <v>336</v>
      </c>
      <c r="D70" s="105" t="s">
        <v>260</v>
      </c>
    </row>
    <row r="71" spans="1:4" x14ac:dyDescent="0.55000000000000004">
      <c r="A71" s="105">
        <v>70</v>
      </c>
      <c r="B71" s="105" t="s">
        <v>337</v>
      </c>
      <c r="C71" s="105" t="s">
        <v>338</v>
      </c>
      <c r="D71" s="105" t="s">
        <v>256</v>
      </c>
    </row>
    <row r="72" spans="1:4" x14ac:dyDescent="0.55000000000000004">
      <c r="A72" s="105">
        <v>71</v>
      </c>
      <c r="B72" s="105" t="s">
        <v>337</v>
      </c>
      <c r="C72" s="105" t="s">
        <v>339</v>
      </c>
      <c r="D72" s="105" t="s">
        <v>256</v>
      </c>
    </row>
    <row r="73" spans="1:4" x14ac:dyDescent="0.55000000000000004">
      <c r="A73" s="105">
        <v>72</v>
      </c>
      <c r="B73" s="105" t="s">
        <v>337</v>
      </c>
      <c r="C73" s="105" t="s">
        <v>340</v>
      </c>
      <c r="D73" s="105" t="s">
        <v>256</v>
      </c>
    </row>
    <row r="74" spans="1:4" x14ac:dyDescent="0.55000000000000004">
      <c r="A74" s="105">
        <v>73</v>
      </c>
      <c r="B74" s="105" t="s">
        <v>337</v>
      </c>
      <c r="C74" s="105" t="s">
        <v>341</v>
      </c>
      <c r="D74" s="105" t="s">
        <v>260</v>
      </c>
    </row>
    <row r="75" spans="1:4" x14ac:dyDescent="0.55000000000000004">
      <c r="A75" s="105">
        <v>74</v>
      </c>
      <c r="B75" s="105" t="s">
        <v>337</v>
      </c>
      <c r="C75" s="105" t="s">
        <v>342</v>
      </c>
      <c r="D75" s="105" t="s">
        <v>256</v>
      </c>
    </row>
    <row r="76" spans="1:4" x14ac:dyDescent="0.55000000000000004">
      <c r="A76" s="105">
        <v>75</v>
      </c>
      <c r="B76" s="105" t="s">
        <v>337</v>
      </c>
      <c r="C76" s="105" t="s">
        <v>343</v>
      </c>
      <c r="D76" s="105" t="s">
        <v>256</v>
      </c>
    </row>
    <row r="77" spans="1:4" x14ac:dyDescent="0.55000000000000004">
      <c r="A77" s="105">
        <v>76</v>
      </c>
      <c r="B77" s="105" t="s">
        <v>337</v>
      </c>
      <c r="C77" s="105" t="s">
        <v>344</v>
      </c>
      <c r="D77" s="105" t="s">
        <v>256</v>
      </c>
    </row>
    <row r="78" spans="1:4" x14ac:dyDescent="0.55000000000000004">
      <c r="A78" s="105">
        <v>77</v>
      </c>
      <c r="B78" s="105" t="s">
        <v>345</v>
      </c>
      <c r="C78" s="105" t="s">
        <v>346</v>
      </c>
      <c r="D78" s="105" t="s">
        <v>256</v>
      </c>
    </row>
    <row r="79" spans="1:4" x14ac:dyDescent="0.55000000000000004">
      <c r="A79" s="105">
        <v>78</v>
      </c>
      <c r="B79" s="105" t="s">
        <v>345</v>
      </c>
      <c r="C79" s="105" t="s">
        <v>347</v>
      </c>
      <c r="D79" s="105" t="s">
        <v>256</v>
      </c>
    </row>
    <row r="80" spans="1:4" x14ac:dyDescent="0.55000000000000004">
      <c r="A80" s="105">
        <v>79</v>
      </c>
      <c r="B80" s="105" t="s">
        <v>345</v>
      </c>
      <c r="C80" s="105" t="s">
        <v>348</v>
      </c>
      <c r="D80" s="105" t="s">
        <v>189</v>
      </c>
    </row>
    <row r="81" spans="1:4" x14ac:dyDescent="0.55000000000000004">
      <c r="A81" s="105">
        <v>80</v>
      </c>
      <c r="B81" s="105" t="s">
        <v>345</v>
      </c>
      <c r="C81" s="105" t="s">
        <v>349</v>
      </c>
      <c r="D81" s="105" t="s">
        <v>260</v>
      </c>
    </row>
    <row r="82" spans="1:4" x14ac:dyDescent="0.55000000000000004">
      <c r="A82" s="105">
        <v>81</v>
      </c>
      <c r="B82" s="105" t="s">
        <v>345</v>
      </c>
      <c r="C82" s="105" t="s">
        <v>350</v>
      </c>
      <c r="D82" s="105" t="s">
        <v>260</v>
      </c>
    </row>
    <row r="83" spans="1:4" x14ac:dyDescent="0.55000000000000004">
      <c r="A83" s="105">
        <v>82</v>
      </c>
      <c r="B83" s="105" t="s">
        <v>351</v>
      </c>
      <c r="C83" s="105" t="s">
        <v>352</v>
      </c>
      <c r="D83" s="105" t="s">
        <v>256</v>
      </c>
    </row>
    <row r="84" spans="1:4" x14ac:dyDescent="0.55000000000000004">
      <c r="A84" s="105">
        <v>83</v>
      </c>
      <c r="B84" s="105" t="s">
        <v>351</v>
      </c>
      <c r="C84" s="105" t="s">
        <v>353</v>
      </c>
      <c r="D84" s="105" t="s">
        <v>256</v>
      </c>
    </row>
    <row r="85" spans="1:4" x14ac:dyDescent="0.55000000000000004">
      <c r="A85" s="105">
        <v>84</v>
      </c>
      <c r="B85" s="105" t="s">
        <v>351</v>
      </c>
      <c r="C85" s="105" t="s">
        <v>354</v>
      </c>
      <c r="D85" s="105" t="s">
        <v>52</v>
      </c>
    </row>
    <row r="86" spans="1:4" ht="36" x14ac:dyDescent="0.55000000000000004">
      <c r="A86" s="105">
        <v>85</v>
      </c>
      <c r="B86" s="105" t="s">
        <v>351</v>
      </c>
      <c r="C86" s="105" t="s">
        <v>355</v>
      </c>
      <c r="D86" s="105" t="s">
        <v>256</v>
      </c>
    </row>
    <row r="87" spans="1:4" ht="36" x14ac:dyDescent="0.55000000000000004">
      <c r="A87" s="105">
        <v>86</v>
      </c>
      <c r="B87" s="105" t="s">
        <v>351</v>
      </c>
      <c r="C87" s="105" t="s">
        <v>356</v>
      </c>
      <c r="D87" s="105" t="s">
        <v>256</v>
      </c>
    </row>
    <row r="88" spans="1:4" x14ac:dyDescent="0.55000000000000004">
      <c r="A88" s="105">
        <v>87</v>
      </c>
      <c r="B88" s="105" t="s">
        <v>351</v>
      </c>
      <c r="C88" s="105" t="s">
        <v>357</v>
      </c>
      <c r="D88" s="105" t="s">
        <v>256</v>
      </c>
    </row>
    <row r="89" spans="1:4" x14ac:dyDescent="0.55000000000000004">
      <c r="A89" s="105">
        <v>88</v>
      </c>
      <c r="B89" s="105" t="s">
        <v>351</v>
      </c>
      <c r="C89" s="105" t="s">
        <v>358</v>
      </c>
      <c r="D89" s="105" t="s">
        <v>256</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Q77"/>
  <sheetViews>
    <sheetView showGridLines="0" topLeftCell="A17" workbookViewId="0">
      <selection activeCell="H44" sqref="H44"/>
    </sheetView>
  </sheetViews>
  <sheetFormatPr defaultColWidth="14.44140625" defaultRowHeight="15" customHeight="1" x14ac:dyDescent="0.3"/>
  <cols>
    <col min="1" max="1" width="10.77734375" customWidth="1"/>
    <col min="2" max="2" width="14.109375" customWidth="1"/>
    <col min="3" max="3" width="38.33203125" customWidth="1"/>
    <col min="4" max="4" width="16.44140625" customWidth="1"/>
    <col min="5" max="6" width="16.6640625" customWidth="1"/>
    <col min="7" max="7" width="16.44140625" customWidth="1"/>
    <col min="8" max="8" width="16.6640625" customWidth="1"/>
    <col min="9" max="9" width="6.44140625" customWidth="1"/>
    <col min="10" max="10" width="22.109375" customWidth="1"/>
    <col min="11" max="11" width="15.77734375" customWidth="1"/>
    <col min="12" max="12" width="16" customWidth="1"/>
    <col min="13" max="13" width="18.44140625" customWidth="1"/>
    <col min="14" max="14" width="17" customWidth="1"/>
    <col min="15" max="17" width="11.77734375" customWidth="1"/>
    <col min="18" max="37" width="11.44140625" customWidth="1"/>
  </cols>
  <sheetData>
    <row r="2" spans="1:14" ht="28.5" customHeight="1" x14ac:dyDescent="0.3">
      <c r="A2" s="228" t="s">
        <v>58</v>
      </c>
      <c r="B2" s="229"/>
      <c r="C2" s="230"/>
      <c r="D2" s="11"/>
      <c r="E2" s="11"/>
      <c r="F2" s="11"/>
      <c r="G2" s="10"/>
      <c r="H2" s="10"/>
      <c r="I2" s="10"/>
      <c r="J2" s="10"/>
      <c r="K2" s="10"/>
      <c r="L2" s="10"/>
      <c r="M2" s="10"/>
      <c r="N2" s="10"/>
    </row>
    <row r="3" spans="1:14" ht="22.5" customHeight="1" x14ac:dyDescent="0.3">
      <c r="A3" s="12" t="s">
        <v>59</v>
      </c>
      <c r="B3" s="12" t="s">
        <v>60</v>
      </c>
      <c r="C3" s="12" t="s">
        <v>46</v>
      </c>
      <c r="D3" s="12" t="s">
        <v>61</v>
      </c>
      <c r="E3" s="12" t="s">
        <v>62</v>
      </c>
      <c r="F3" s="12" t="s">
        <v>63</v>
      </c>
      <c r="G3" s="12" t="s">
        <v>64</v>
      </c>
      <c r="H3" s="12" t="s">
        <v>65</v>
      </c>
      <c r="I3" s="10"/>
      <c r="J3" s="10"/>
      <c r="K3" s="10"/>
      <c r="L3" s="10"/>
      <c r="M3" s="10"/>
      <c r="N3" s="10"/>
    </row>
    <row r="4" spans="1:14" ht="14.4" x14ac:dyDescent="0.3">
      <c r="A4" s="13">
        <v>1</v>
      </c>
      <c r="B4" s="14" t="s">
        <v>66</v>
      </c>
      <c r="C4" s="14" t="s">
        <v>67</v>
      </c>
      <c r="D4" s="15"/>
      <c r="E4" s="16"/>
      <c r="F4" s="15"/>
      <c r="G4" s="17"/>
      <c r="H4" s="10"/>
      <c r="I4" s="10"/>
      <c r="J4" s="10"/>
      <c r="K4" s="10"/>
      <c r="L4" s="10"/>
      <c r="M4" s="10"/>
      <c r="N4" s="10"/>
    </row>
    <row r="5" spans="1:14" ht="14.4" x14ac:dyDescent="0.3">
      <c r="A5" s="13">
        <v>2</v>
      </c>
      <c r="B5" s="14" t="s">
        <v>68</v>
      </c>
      <c r="C5" s="14" t="s">
        <v>69</v>
      </c>
      <c r="D5" s="15"/>
      <c r="E5" s="16"/>
      <c r="F5" s="15"/>
      <c r="G5" s="17"/>
      <c r="H5" s="10"/>
      <c r="I5" s="10"/>
      <c r="J5" s="10"/>
      <c r="K5" s="10"/>
      <c r="L5" s="10"/>
      <c r="M5" s="10"/>
      <c r="N5" s="10"/>
    </row>
    <row r="6" spans="1:14" ht="14.4" x14ac:dyDescent="0.3">
      <c r="A6" s="13">
        <v>3</v>
      </c>
      <c r="B6" s="14" t="s">
        <v>70</v>
      </c>
      <c r="C6" s="14" t="s">
        <v>71</v>
      </c>
      <c r="D6" s="15"/>
      <c r="E6" s="16"/>
      <c r="F6" s="15"/>
      <c r="G6" s="18"/>
      <c r="H6" s="10"/>
      <c r="I6" s="10"/>
      <c r="J6" s="10"/>
      <c r="K6" s="10"/>
      <c r="L6" s="10"/>
      <c r="M6" s="10"/>
      <c r="N6" s="10"/>
    </row>
    <row r="7" spans="1:14" ht="14.4" x14ac:dyDescent="0.3">
      <c r="A7" s="13">
        <v>4</v>
      </c>
      <c r="B7" s="14" t="s">
        <v>72</v>
      </c>
      <c r="C7" s="14" t="s">
        <v>73</v>
      </c>
      <c r="D7" s="15"/>
      <c r="E7" s="16"/>
      <c r="F7" s="15"/>
      <c r="G7" s="19"/>
      <c r="H7" s="10"/>
      <c r="I7" s="10"/>
      <c r="J7" s="10"/>
      <c r="K7" s="10"/>
      <c r="L7" s="10"/>
      <c r="M7" s="10"/>
      <c r="N7" s="10"/>
    </row>
    <row r="8" spans="1:14" ht="14.4" x14ac:dyDescent="0.3">
      <c r="A8" s="13">
        <v>5</v>
      </c>
      <c r="B8" s="14" t="s">
        <v>74</v>
      </c>
      <c r="C8" s="14" t="s">
        <v>75</v>
      </c>
      <c r="D8" s="15"/>
      <c r="E8" s="16"/>
      <c r="F8" s="15"/>
      <c r="G8" s="18"/>
      <c r="H8" s="10"/>
      <c r="I8" s="10"/>
      <c r="J8" s="10"/>
      <c r="K8" s="10"/>
      <c r="L8" s="10"/>
      <c r="M8" s="10"/>
      <c r="N8" s="10"/>
    </row>
    <row r="9" spans="1:14" ht="14.4" x14ac:dyDescent="0.3">
      <c r="A9" s="20"/>
      <c r="B9" s="15"/>
      <c r="C9" s="15"/>
      <c r="D9" s="15"/>
      <c r="E9" s="21"/>
      <c r="F9" s="21"/>
      <c r="G9" s="17"/>
      <c r="H9" s="15"/>
      <c r="I9" s="10"/>
      <c r="J9" s="10"/>
      <c r="K9" s="10"/>
      <c r="L9" s="10"/>
      <c r="M9" s="10"/>
      <c r="N9" s="10"/>
    </row>
    <row r="10" spans="1:14" ht="27" customHeight="1" x14ac:dyDescent="0.3">
      <c r="A10" s="231" t="s">
        <v>76</v>
      </c>
      <c r="B10" s="232"/>
      <c r="C10" s="232"/>
      <c r="D10" s="232"/>
      <c r="E10" s="232"/>
      <c r="F10" s="232"/>
      <c r="G10" s="232"/>
      <c r="H10" s="233"/>
      <c r="I10" s="10"/>
      <c r="J10" s="234" t="s">
        <v>77</v>
      </c>
      <c r="K10" s="229"/>
      <c r="L10" s="229"/>
      <c r="M10" s="229"/>
      <c r="N10" s="230"/>
    </row>
    <row r="11" spans="1:14" ht="21.75" customHeight="1" x14ac:dyDescent="0.3">
      <c r="A11" s="235" t="s">
        <v>59</v>
      </c>
      <c r="B11" s="236" t="s">
        <v>60</v>
      </c>
      <c r="C11" s="237" t="s">
        <v>78</v>
      </c>
      <c r="D11" s="229"/>
      <c r="E11" s="229"/>
      <c r="F11" s="229"/>
      <c r="G11" s="229"/>
      <c r="H11" s="238"/>
      <c r="I11" s="10"/>
      <c r="J11" s="223" t="s">
        <v>79</v>
      </c>
      <c r="K11" s="223" t="s">
        <v>80</v>
      </c>
      <c r="L11" s="223" t="s">
        <v>81</v>
      </c>
      <c r="M11" s="223" t="s">
        <v>82</v>
      </c>
      <c r="N11" s="223" t="s">
        <v>83</v>
      </c>
    </row>
    <row r="12" spans="1:14" ht="41.4" x14ac:dyDescent="0.3">
      <c r="A12" s="224"/>
      <c r="B12" s="224"/>
      <c r="C12" s="22" t="s">
        <v>84</v>
      </c>
      <c r="D12" s="23" t="s">
        <v>85</v>
      </c>
      <c r="E12" s="23" t="s">
        <v>86</v>
      </c>
      <c r="F12" s="23" t="s">
        <v>87</v>
      </c>
      <c r="G12" s="23" t="s">
        <v>88</v>
      </c>
      <c r="H12" s="24" t="s">
        <v>89</v>
      </c>
      <c r="I12" s="10"/>
      <c r="J12" s="224"/>
      <c r="K12" s="224"/>
      <c r="L12" s="224"/>
      <c r="M12" s="224"/>
      <c r="N12" s="224"/>
    </row>
    <row r="13" spans="1:14" ht="82.8" x14ac:dyDescent="0.3">
      <c r="A13" s="13">
        <v>1</v>
      </c>
      <c r="B13" s="14" t="s">
        <v>66</v>
      </c>
      <c r="C13" s="14" t="s">
        <v>90</v>
      </c>
      <c r="D13" s="25" t="s">
        <v>91</v>
      </c>
      <c r="E13" s="25" t="s">
        <v>91</v>
      </c>
      <c r="F13" s="25" t="s">
        <v>91</v>
      </c>
      <c r="G13" s="25" t="s">
        <v>92</v>
      </c>
      <c r="H13" s="26" t="s">
        <v>93</v>
      </c>
      <c r="I13" s="10"/>
      <c r="J13" s="27" t="s">
        <v>91</v>
      </c>
      <c r="K13" s="28" t="s">
        <v>91</v>
      </c>
      <c r="L13" s="28" t="s">
        <v>91</v>
      </c>
      <c r="M13" s="28" t="s">
        <v>91</v>
      </c>
      <c r="N13" s="28" t="s">
        <v>91</v>
      </c>
    </row>
    <row r="14" spans="1:14" ht="151.80000000000001" x14ac:dyDescent="0.3">
      <c r="A14" s="13">
        <v>2</v>
      </c>
      <c r="B14" s="14" t="s">
        <v>68</v>
      </c>
      <c r="C14" s="14" t="s">
        <v>94</v>
      </c>
      <c r="D14" s="25" t="s">
        <v>95</v>
      </c>
      <c r="E14" s="25" t="s">
        <v>96</v>
      </c>
      <c r="F14" s="25" t="s">
        <v>97</v>
      </c>
      <c r="G14" s="25" t="s">
        <v>98</v>
      </c>
      <c r="H14" s="26" t="s">
        <v>99</v>
      </c>
      <c r="I14" s="10"/>
      <c r="J14" s="29" t="s">
        <v>100</v>
      </c>
      <c r="K14" s="30" t="s">
        <v>101</v>
      </c>
      <c r="L14" s="30" t="s">
        <v>102</v>
      </c>
      <c r="M14" s="30" t="s">
        <v>103</v>
      </c>
      <c r="N14" s="30" t="s">
        <v>104</v>
      </c>
    </row>
    <row r="15" spans="1:14" ht="138" x14ac:dyDescent="0.3">
      <c r="A15" s="13">
        <v>3</v>
      </c>
      <c r="B15" s="14" t="s">
        <v>70</v>
      </c>
      <c r="C15" s="14" t="s">
        <v>105</v>
      </c>
      <c r="D15" s="25" t="s">
        <v>106</v>
      </c>
      <c r="E15" s="25" t="s">
        <v>107</v>
      </c>
      <c r="F15" s="25" t="s">
        <v>108</v>
      </c>
      <c r="G15" s="25" t="s">
        <v>109</v>
      </c>
      <c r="H15" s="26" t="s">
        <v>110</v>
      </c>
      <c r="I15" s="10"/>
      <c r="J15" s="29" t="s">
        <v>111</v>
      </c>
      <c r="K15" s="30" t="s">
        <v>112</v>
      </c>
      <c r="L15" s="30" t="s">
        <v>113</v>
      </c>
      <c r="M15" s="30" t="s">
        <v>114</v>
      </c>
      <c r="N15" s="30" t="s">
        <v>115</v>
      </c>
    </row>
    <row r="16" spans="1:14" ht="138" x14ac:dyDescent="0.3">
      <c r="A16" s="13">
        <v>4</v>
      </c>
      <c r="B16" s="14" t="s">
        <v>72</v>
      </c>
      <c r="C16" s="14" t="s">
        <v>116</v>
      </c>
      <c r="D16" s="25" t="s">
        <v>117</v>
      </c>
      <c r="E16" s="25" t="s">
        <v>118</v>
      </c>
      <c r="F16" s="25" t="s">
        <v>119</v>
      </c>
      <c r="G16" s="25" t="s">
        <v>120</v>
      </c>
      <c r="H16" s="26" t="s">
        <v>121</v>
      </c>
      <c r="I16" s="10"/>
      <c r="J16" s="29" t="s">
        <v>122</v>
      </c>
      <c r="K16" s="30" t="s">
        <v>123</v>
      </c>
      <c r="L16" s="30" t="s">
        <v>124</v>
      </c>
      <c r="M16" s="30" t="s">
        <v>125</v>
      </c>
      <c r="N16" s="30" t="s">
        <v>126</v>
      </c>
    </row>
    <row r="17" spans="1:17" ht="124.2" x14ac:dyDescent="0.3">
      <c r="A17" s="13">
        <v>5</v>
      </c>
      <c r="B17" s="14" t="s">
        <v>74</v>
      </c>
      <c r="C17" s="14" t="s">
        <v>127</v>
      </c>
      <c r="D17" s="25" t="s">
        <v>128</v>
      </c>
      <c r="E17" s="25" t="s">
        <v>129</v>
      </c>
      <c r="F17" s="25" t="s">
        <v>130</v>
      </c>
      <c r="G17" s="25" t="s">
        <v>131</v>
      </c>
      <c r="H17" s="26" t="s">
        <v>132</v>
      </c>
      <c r="I17" s="10"/>
      <c r="J17" s="29" t="s">
        <v>133</v>
      </c>
      <c r="K17" s="30" t="s">
        <v>134</v>
      </c>
      <c r="L17" s="30" t="s">
        <v>135</v>
      </c>
      <c r="M17" s="30" t="s">
        <v>136</v>
      </c>
      <c r="N17" s="30" t="s">
        <v>137</v>
      </c>
      <c r="O17" s="10"/>
      <c r="P17" s="10"/>
      <c r="Q17" s="10"/>
    </row>
    <row r="18" spans="1:17" ht="14.4" x14ac:dyDescent="0.3">
      <c r="B18" s="21"/>
      <c r="C18" s="15"/>
      <c r="D18" s="15"/>
      <c r="E18" s="15"/>
      <c r="F18" s="15"/>
      <c r="G18" s="15"/>
      <c r="H18" s="15"/>
      <c r="I18" s="10"/>
      <c r="J18" s="10"/>
      <c r="K18" s="10"/>
      <c r="L18" s="10"/>
      <c r="M18" s="10"/>
      <c r="N18" s="10"/>
      <c r="O18" s="10"/>
      <c r="P18" s="10"/>
      <c r="Q18" s="10"/>
    </row>
    <row r="19" spans="1:17" ht="14.4" x14ac:dyDescent="0.3">
      <c r="B19" s="21"/>
      <c r="C19" s="15"/>
      <c r="D19" s="15"/>
      <c r="E19" s="15"/>
      <c r="F19" s="15"/>
      <c r="G19" s="15"/>
      <c r="H19" s="15"/>
      <c r="I19" s="10"/>
      <c r="J19" s="10"/>
      <c r="K19" s="10"/>
      <c r="L19" s="10"/>
      <c r="M19" s="10"/>
      <c r="N19" s="10"/>
      <c r="O19" s="10"/>
      <c r="P19" s="10"/>
      <c r="Q19" s="10"/>
    </row>
    <row r="20" spans="1:17" ht="14.4" x14ac:dyDescent="0.3">
      <c r="B20" s="21"/>
      <c r="C20" s="15"/>
      <c r="D20" s="15"/>
      <c r="E20" s="15"/>
      <c r="F20" s="15"/>
      <c r="G20" s="15"/>
      <c r="H20" s="15"/>
      <c r="I20" s="10"/>
      <c r="J20" s="10"/>
      <c r="K20" s="10"/>
      <c r="L20" s="10"/>
      <c r="M20" s="10"/>
      <c r="N20" s="10"/>
      <c r="O20" s="10"/>
      <c r="P20" s="10"/>
      <c r="Q20" s="10"/>
    </row>
    <row r="21" spans="1:17" ht="15.75" customHeight="1" x14ac:dyDescent="0.3">
      <c r="A21" s="21"/>
      <c r="B21" s="20"/>
      <c r="C21" s="15"/>
      <c r="D21" s="15"/>
      <c r="E21" s="15"/>
      <c r="F21" s="21"/>
      <c r="G21" s="21"/>
      <c r="H21" s="15"/>
      <c r="I21" s="15"/>
      <c r="J21" s="10"/>
      <c r="K21" s="10"/>
      <c r="L21" s="10"/>
      <c r="M21" s="10"/>
      <c r="N21" s="10"/>
      <c r="O21" s="10"/>
      <c r="P21" s="10"/>
      <c r="Q21" s="10"/>
    </row>
    <row r="22" spans="1:17" ht="15.75" customHeight="1" x14ac:dyDescent="0.3">
      <c r="C22" s="10"/>
      <c r="D22" s="10"/>
      <c r="E22" s="10"/>
      <c r="F22" s="10"/>
      <c r="G22" s="10"/>
      <c r="H22" s="10"/>
      <c r="I22" s="10"/>
      <c r="J22" s="10"/>
      <c r="K22" s="10"/>
      <c r="L22" s="10"/>
      <c r="M22" s="10"/>
      <c r="N22" s="10"/>
      <c r="O22" s="10"/>
      <c r="P22" s="10"/>
      <c r="Q22" s="10"/>
    </row>
    <row r="23" spans="1:17" ht="21" customHeight="1" x14ac:dyDescent="0.3">
      <c r="A23" s="239" t="s">
        <v>138</v>
      </c>
      <c r="B23" s="240"/>
      <c r="C23" s="241"/>
      <c r="D23" s="225" t="s">
        <v>139</v>
      </c>
      <c r="E23" s="226"/>
      <c r="F23" s="226"/>
      <c r="G23" s="226"/>
      <c r="H23" s="227"/>
      <c r="I23" s="10"/>
      <c r="J23" s="239" t="s">
        <v>140</v>
      </c>
      <c r="K23" s="240"/>
      <c r="L23" s="241"/>
      <c r="M23" s="225" t="s">
        <v>139</v>
      </c>
      <c r="N23" s="226"/>
      <c r="O23" s="226"/>
      <c r="P23" s="226"/>
      <c r="Q23" s="227"/>
    </row>
    <row r="24" spans="1:17" ht="18.75" customHeight="1" x14ac:dyDescent="0.3">
      <c r="A24" s="242"/>
      <c r="B24" s="243"/>
      <c r="C24" s="244"/>
      <c r="D24" s="31">
        <v>1</v>
      </c>
      <c r="E24" s="31">
        <v>2</v>
      </c>
      <c r="F24" s="31">
        <v>3</v>
      </c>
      <c r="G24" s="31">
        <v>4</v>
      </c>
      <c r="H24" s="31">
        <v>5</v>
      </c>
      <c r="I24" s="10"/>
      <c r="J24" s="242"/>
      <c r="K24" s="243"/>
      <c r="L24" s="244"/>
      <c r="M24" s="31">
        <v>1</v>
      </c>
      <c r="N24" s="31">
        <v>2</v>
      </c>
      <c r="O24" s="31">
        <v>3</v>
      </c>
      <c r="P24" s="31">
        <v>4</v>
      </c>
      <c r="Q24" s="31">
        <v>5</v>
      </c>
    </row>
    <row r="25" spans="1:17" ht="35.25" customHeight="1" x14ac:dyDescent="0.3">
      <c r="A25" s="245"/>
      <c r="B25" s="246"/>
      <c r="C25" s="247"/>
      <c r="D25" s="32" t="s">
        <v>66</v>
      </c>
      <c r="E25" s="32" t="s">
        <v>68</v>
      </c>
      <c r="F25" s="32" t="s">
        <v>70</v>
      </c>
      <c r="G25" s="32" t="s">
        <v>72</v>
      </c>
      <c r="H25" s="32" t="s">
        <v>74</v>
      </c>
      <c r="I25" s="10"/>
      <c r="J25" s="245"/>
      <c r="K25" s="246"/>
      <c r="L25" s="247"/>
      <c r="M25" s="33" t="s">
        <v>66</v>
      </c>
      <c r="N25" s="33" t="s">
        <v>68</v>
      </c>
      <c r="O25" s="33" t="s">
        <v>70</v>
      </c>
      <c r="P25" s="33" t="s">
        <v>72</v>
      </c>
      <c r="Q25" s="33" t="s">
        <v>74</v>
      </c>
    </row>
    <row r="26" spans="1:17" ht="31.5" customHeight="1" x14ac:dyDescent="0.3">
      <c r="A26" s="248" t="s">
        <v>141</v>
      </c>
      <c r="B26" s="34">
        <v>5</v>
      </c>
      <c r="C26" s="35" t="s">
        <v>142</v>
      </c>
      <c r="D26" s="36">
        <v>5</v>
      </c>
      <c r="E26" s="37">
        <v>10</v>
      </c>
      <c r="F26" s="38">
        <v>15</v>
      </c>
      <c r="G26" s="39">
        <v>20</v>
      </c>
      <c r="H26" s="39">
        <v>25</v>
      </c>
      <c r="I26" s="10"/>
      <c r="J26" s="248" t="s">
        <v>141</v>
      </c>
      <c r="K26" s="34">
        <v>5</v>
      </c>
      <c r="L26" s="35" t="s">
        <v>74</v>
      </c>
      <c r="M26" s="40" t="s">
        <v>68</v>
      </c>
      <c r="N26" s="41" t="s">
        <v>143</v>
      </c>
      <c r="O26" s="42" t="s">
        <v>72</v>
      </c>
      <c r="P26" s="43" t="s">
        <v>74</v>
      </c>
      <c r="Q26" s="43" t="s">
        <v>74</v>
      </c>
    </row>
    <row r="27" spans="1:17" ht="31.5" customHeight="1" x14ac:dyDescent="0.3">
      <c r="A27" s="249"/>
      <c r="B27" s="34">
        <v>4</v>
      </c>
      <c r="C27" s="35" t="s">
        <v>72</v>
      </c>
      <c r="D27" s="36">
        <v>4</v>
      </c>
      <c r="E27" s="36">
        <v>8</v>
      </c>
      <c r="F27" s="37">
        <v>12</v>
      </c>
      <c r="G27" s="38">
        <v>16</v>
      </c>
      <c r="H27" s="39">
        <v>20</v>
      </c>
      <c r="I27" s="44"/>
      <c r="J27" s="249"/>
      <c r="K27" s="34">
        <v>4</v>
      </c>
      <c r="L27" s="35" t="s">
        <v>72</v>
      </c>
      <c r="M27" s="40" t="s">
        <v>68</v>
      </c>
      <c r="N27" s="40" t="s">
        <v>68</v>
      </c>
      <c r="O27" s="41" t="s">
        <v>143</v>
      </c>
      <c r="P27" s="42" t="s">
        <v>72</v>
      </c>
      <c r="Q27" s="43" t="s">
        <v>74</v>
      </c>
    </row>
    <row r="28" spans="1:17" ht="31.5" customHeight="1" x14ac:dyDescent="0.3">
      <c r="A28" s="249"/>
      <c r="B28" s="34">
        <v>3</v>
      </c>
      <c r="C28" s="35" t="s">
        <v>70</v>
      </c>
      <c r="D28" s="45">
        <v>3</v>
      </c>
      <c r="E28" s="36">
        <v>6</v>
      </c>
      <c r="F28" s="36">
        <v>9</v>
      </c>
      <c r="G28" s="37">
        <v>12</v>
      </c>
      <c r="H28" s="38">
        <v>15</v>
      </c>
      <c r="I28" s="44"/>
      <c r="J28" s="249"/>
      <c r="K28" s="34">
        <v>3</v>
      </c>
      <c r="L28" s="35" t="s">
        <v>143</v>
      </c>
      <c r="M28" s="46" t="s">
        <v>66</v>
      </c>
      <c r="N28" s="40" t="s">
        <v>68</v>
      </c>
      <c r="O28" s="40" t="s">
        <v>68</v>
      </c>
      <c r="P28" s="41" t="s">
        <v>143</v>
      </c>
      <c r="Q28" s="42" t="s">
        <v>72</v>
      </c>
    </row>
    <row r="29" spans="1:17" ht="31.5" customHeight="1" x14ac:dyDescent="0.3">
      <c r="A29" s="249"/>
      <c r="B29" s="34">
        <v>2</v>
      </c>
      <c r="C29" s="35" t="s">
        <v>68</v>
      </c>
      <c r="D29" s="45">
        <v>2</v>
      </c>
      <c r="E29" s="45">
        <v>4</v>
      </c>
      <c r="F29" s="36">
        <v>6</v>
      </c>
      <c r="G29" s="36">
        <v>8</v>
      </c>
      <c r="H29" s="37">
        <v>10</v>
      </c>
      <c r="I29" s="44"/>
      <c r="J29" s="249"/>
      <c r="K29" s="34">
        <v>2</v>
      </c>
      <c r="L29" s="35" t="s">
        <v>68</v>
      </c>
      <c r="M29" s="46" t="s">
        <v>66</v>
      </c>
      <c r="N29" s="46" t="s">
        <v>66</v>
      </c>
      <c r="O29" s="40" t="s">
        <v>68</v>
      </c>
      <c r="P29" s="40" t="s">
        <v>68</v>
      </c>
      <c r="Q29" s="41" t="s">
        <v>143</v>
      </c>
    </row>
    <row r="30" spans="1:17" ht="31.5" customHeight="1" x14ac:dyDescent="0.3">
      <c r="A30" s="250"/>
      <c r="B30" s="34">
        <v>1</v>
      </c>
      <c r="C30" s="35" t="s">
        <v>66</v>
      </c>
      <c r="D30" s="45">
        <v>1</v>
      </c>
      <c r="E30" s="45">
        <v>2</v>
      </c>
      <c r="F30" s="45">
        <v>3</v>
      </c>
      <c r="G30" s="36">
        <v>4</v>
      </c>
      <c r="H30" s="36">
        <v>5</v>
      </c>
      <c r="I30" s="44"/>
      <c r="J30" s="250"/>
      <c r="K30" s="34">
        <v>1</v>
      </c>
      <c r="L30" s="35" t="s">
        <v>66</v>
      </c>
      <c r="M30" s="46" t="s">
        <v>66</v>
      </c>
      <c r="N30" s="46" t="s">
        <v>66</v>
      </c>
      <c r="O30" s="46" t="s">
        <v>66</v>
      </c>
      <c r="P30" s="40" t="s">
        <v>68</v>
      </c>
      <c r="Q30" s="40" t="s">
        <v>68</v>
      </c>
    </row>
    <row r="33" spans="1:8" ht="15.75" hidden="1" customHeight="1" x14ac:dyDescent="0.3">
      <c r="A33" s="239" t="s">
        <v>144</v>
      </c>
      <c r="B33" s="240"/>
      <c r="C33" s="241"/>
      <c r="D33" s="225" t="s">
        <v>139</v>
      </c>
      <c r="E33" s="226"/>
      <c r="F33" s="226"/>
      <c r="G33" s="226"/>
      <c r="H33" s="227"/>
    </row>
    <row r="34" spans="1:8" ht="15.75" hidden="1" customHeight="1" x14ac:dyDescent="0.3">
      <c r="A34" s="242"/>
      <c r="B34" s="243"/>
      <c r="C34" s="244"/>
      <c r="D34" s="31">
        <v>1</v>
      </c>
      <c r="E34" s="31">
        <v>2</v>
      </c>
      <c r="F34" s="31">
        <v>3</v>
      </c>
      <c r="G34" s="31">
        <v>4</v>
      </c>
      <c r="H34" s="31">
        <v>5</v>
      </c>
    </row>
    <row r="35" spans="1:8" ht="15.75" hidden="1" customHeight="1" x14ac:dyDescent="0.3">
      <c r="A35" s="245"/>
      <c r="B35" s="246"/>
      <c r="C35" s="247"/>
      <c r="D35" s="32" t="s">
        <v>66</v>
      </c>
      <c r="E35" s="32" t="s">
        <v>145</v>
      </c>
      <c r="F35" s="32" t="s">
        <v>146</v>
      </c>
      <c r="G35" s="32" t="s">
        <v>74</v>
      </c>
      <c r="H35" s="32" t="s">
        <v>147</v>
      </c>
    </row>
    <row r="36" spans="1:8" ht="15.75" hidden="1" customHeight="1" x14ac:dyDescent="0.3">
      <c r="A36" s="248" t="s">
        <v>141</v>
      </c>
      <c r="B36" s="34">
        <v>5</v>
      </c>
      <c r="C36" s="35" t="s">
        <v>147</v>
      </c>
      <c r="D36" s="36">
        <f>B36*D34</f>
        <v>5</v>
      </c>
      <c r="E36" s="37">
        <f t="shared" ref="E36:E40" si="0">B36*$E$24</f>
        <v>10</v>
      </c>
      <c r="F36" s="47">
        <f t="shared" ref="F36:F40" si="1">B36*$F$24</f>
        <v>15</v>
      </c>
      <c r="G36" s="39">
        <f t="shared" ref="G36:G40" si="2">B36*$G$24</f>
        <v>20</v>
      </c>
      <c r="H36" s="39">
        <f t="shared" ref="H36:H40" si="3">B36*$H$24</f>
        <v>25</v>
      </c>
    </row>
    <row r="37" spans="1:8" ht="15.75" hidden="1" customHeight="1" x14ac:dyDescent="0.3">
      <c r="A37" s="249"/>
      <c r="B37" s="34">
        <v>4</v>
      </c>
      <c r="C37" s="35" t="s">
        <v>74</v>
      </c>
      <c r="D37" s="45">
        <f t="shared" ref="D37:D40" si="4">B37*$D$24</f>
        <v>4</v>
      </c>
      <c r="E37" s="36">
        <f t="shared" si="0"/>
        <v>8</v>
      </c>
      <c r="F37" s="37">
        <f t="shared" si="1"/>
        <v>12</v>
      </c>
      <c r="G37" s="47">
        <f t="shared" si="2"/>
        <v>16</v>
      </c>
      <c r="H37" s="39">
        <f t="shared" si="3"/>
        <v>20</v>
      </c>
    </row>
    <row r="38" spans="1:8" ht="15.75" hidden="1" customHeight="1" x14ac:dyDescent="0.3">
      <c r="A38" s="249"/>
      <c r="B38" s="34">
        <v>3</v>
      </c>
      <c r="C38" s="35" t="s">
        <v>70</v>
      </c>
      <c r="D38" s="45">
        <f t="shared" si="4"/>
        <v>3</v>
      </c>
      <c r="E38" s="36">
        <f t="shared" si="0"/>
        <v>6</v>
      </c>
      <c r="F38" s="37">
        <f t="shared" si="1"/>
        <v>9</v>
      </c>
      <c r="G38" s="47">
        <f t="shared" si="2"/>
        <v>12</v>
      </c>
      <c r="H38" s="47">
        <f t="shared" si="3"/>
        <v>15</v>
      </c>
    </row>
    <row r="39" spans="1:8" ht="15.75" hidden="1" customHeight="1" x14ac:dyDescent="0.3">
      <c r="A39" s="249"/>
      <c r="B39" s="34">
        <v>2</v>
      </c>
      <c r="C39" s="35" t="s">
        <v>145</v>
      </c>
      <c r="D39" s="45">
        <f t="shared" si="4"/>
        <v>2</v>
      </c>
      <c r="E39" s="36">
        <f t="shared" si="0"/>
        <v>4</v>
      </c>
      <c r="F39" s="36">
        <f t="shared" si="1"/>
        <v>6</v>
      </c>
      <c r="G39" s="37">
        <f t="shared" si="2"/>
        <v>8</v>
      </c>
      <c r="H39" s="47">
        <f t="shared" si="3"/>
        <v>10</v>
      </c>
    </row>
    <row r="40" spans="1:8" ht="15.75" hidden="1" customHeight="1" x14ac:dyDescent="0.3">
      <c r="A40" s="250"/>
      <c r="B40" s="34">
        <v>1</v>
      </c>
      <c r="C40" s="35" t="s">
        <v>66</v>
      </c>
      <c r="D40" s="45">
        <f t="shared" si="4"/>
        <v>1</v>
      </c>
      <c r="E40" s="48">
        <f t="shared" si="0"/>
        <v>2</v>
      </c>
      <c r="F40" s="36">
        <f t="shared" si="1"/>
        <v>3</v>
      </c>
      <c r="G40" s="37">
        <f t="shared" si="2"/>
        <v>4</v>
      </c>
      <c r="H40" s="37">
        <f t="shared" si="3"/>
        <v>5</v>
      </c>
    </row>
    <row r="41" spans="1:8" ht="15.75" customHeight="1" x14ac:dyDescent="0.3"/>
    <row r="42" spans="1:8" ht="15.75" customHeight="1" x14ac:dyDescent="0.3"/>
    <row r="43" spans="1:8" ht="15.75" customHeight="1" x14ac:dyDescent="0.35">
      <c r="A43" s="49"/>
      <c r="C43" s="49" t="s">
        <v>148</v>
      </c>
      <c r="D43" s="50"/>
      <c r="E43" s="10"/>
      <c r="F43" s="50"/>
      <c r="G43" s="10"/>
      <c r="H43" s="10"/>
    </row>
    <row r="44" spans="1:8" ht="15.75" customHeight="1" x14ac:dyDescent="0.3">
      <c r="C44" s="50"/>
      <c r="D44" s="50"/>
      <c r="E44" s="10"/>
      <c r="F44" s="10"/>
      <c r="G44" s="10"/>
      <c r="H44" s="10"/>
    </row>
    <row r="45" spans="1:8" ht="27" customHeight="1" x14ac:dyDescent="0.3">
      <c r="A45" s="51"/>
      <c r="C45" s="52" t="s">
        <v>149</v>
      </c>
      <c r="D45" s="53" t="s">
        <v>150</v>
      </c>
      <c r="E45" s="20"/>
      <c r="F45" s="21"/>
      <c r="G45" s="21"/>
      <c r="H45" s="20"/>
    </row>
    <row r="46" spans="1:8" ht="18.75" customHeight="1" x14ac:dyDescent="0.3">
      <c r="A46" s="51"/>
      <c r="C46" s="54" t="s">
        <v>151</v>
      </c>
      <c r="D46" s="55" t="s">
        <v>152</v>
      </c>
      <c r="E46" s="10"/>
      <c r="F46" s="21"/>
      <c r="G46" s="21"/>
      <c r="H46" s="56"/>
    </row>
    <row r="47" spans="1:8" ht="18.75" customHeight="1" x14ac:dyDescent="0.3">
      <c r="A47" s="51"/>
      <c r="C47" s="57" t="s">
        <v>153</v>
      </c>
      <c r="D47" s="55" t="s">
        <v>154</v>
      </c>
      <c r="E47" s="10"/>
      <c r="F47" s="21"/>
      <c r="G47" s="21"/>
      <c r="H47" s="56"/>
    </row>
    <row r="48" spans="1:8" ht="18.75" customHeight="1" x14ac:dyDescent="0.3">
      <c r="A48" s="51"/>
      <c r="C48" s="58" t="s">
        <v>155</v>
      </c>
      <c r="D48" s="55" t="s">
        <v>156</v>
      </c>
      <c r="E48" s="10"/>
      <c r="F48" s="10"/>
      <c r="G48" s="10"/>
      <c r="H48" s="56"/>
    </row>
    <row r="49" spans="3:5" ht="18.75" customHeight="1" x14ac:dyDescent="0.3">
      <c r="C49" s="59" t="s">
        <v>157</v>
      </c>
      <c r="D49" s="55" t="s">
        <v>158</v>
      </c>
      <c r="E49" s="10"/>
    </row>
    <row r="50" spans="3:5" ht="18.75" customHeight="1" x14ac:dyDescent="0.3">
      <c r="C50" s="60" t="s">
        <v>159</v>
      </c>
      <c r="D50" s="55" t="s">
        <v>160</v>
      </c>
      <c r="E50" s="10"/>
    </row>
    <row r="51" spans="3:5" ht="18.75" customHeight="1" x14ac:dyDescent="0.3">
      <c r="C51" s="61" t="s">
        <v>161</v>
      </c>
      <c r="D51" s="21"/>
      <c r="E51" s="62"/>
    </row>
    <row r="52" spans="3:5" ht="18.75" customHeight="1" x14ac:dyDescent="0.3">
      <c r="C52" s="63" t="s">
        <v>162</v>
      </c>
      <c r="D52" s="251" t="s">
        <v>163</v>
      </c>
      <c r="E52" s="230"/>
    </row>
    <row r="53" spans="3:5" ht="18.75" customHeight="1" x14ac:dyDescent="0.3">
      <c r="C53" s="64" t="s">
        <v>164</v>
      </c>
      <c r="D53" s="65">
        <v>1</v>
      </c>
      <c r="E53" s="54" t="s">
        <v>55</v>
      </c>
    </row>
    <row r="54" spans="3:5" ht="18.75" customHeight="1" x14ac:dyDescent="0.3">
      <c r="C54" s="64" t="s">
        <v>165</v>
      </c>
      <c r="D54" s="66">
        <v>2</v>
      </c>
      <c r="E54" s="54" t="s">
        <v>55</v>
      </c>
    </row>
    <row r="55" spans="3:5" ht="18.75" customHeight="1" x14ac:dyDescent="0.3">
      <c r="C55" s="67" t="s">
        <v>166</v>
      </c>
      <c r="D55" s="66">
        <v>3</v>
      </c>
      <c r="E55" s="54" t="s">
        <v>55</v>
      </c>
    </row>
    <row r="56" spans="3:5" ht="18.75" customHeight="1" x14ac:dyDescent="0.3">
      <c r="C56" s="64" t="s">
        <v>167</v>
      </c>
      <c r="D56" s="66">
        <v>2</v>
      </c>
      <c r="E56" s="54" t="s">
        <v>55</v>
      </c>
    </row>
    <row r="57" spans="3:5" ht="18.75" customHeight="1" x14ac:dyDescent="0.3">
      <c r="C57" s="64" t="s">
        <v>168</v>
      </c>
      <c r="D57" s="66">
        <v>4</v>
      </c>
      <c r="E57" s="54" t="s">
        <v>55</v>
      </c>
    </row>
    <row r="58" spans="3:5" ht="18.75" customHeight="1" x14ac:dyDescent="0.3">
      <c r="C58" s="67" t="s">
        <v>169</v>
      </c>
      <c r="D58" s="66">
        <v>3</v>
      </c>
      <c r="E58" s="54" t="s">
        <v>55</v>
      </c>
    </row>
    <row r="59" spans="3:5" ht="18.75" customHeight="1" x14ac:dyDescent="0.3">
      <c r="C59" s="68" t="s">
        <v>170</v>
      </c>
      <c r="D59" s="66">
        <v>4</v>
      </c>
      <c r="E59" s="57" t="s">
        <v>51</v>
      </c>
    </row>
    <row r="60" spans="3:5" ht="18.75" customHeight="1" x14ac:dyDescent="0.3">
      <c r="C60" s="68" t="s">
        <v>171</v>
      </c>
      <c r="D60" s="66">
        <v>5</v>
      </c>
      <c r="E60" s="57" t="s">
        <v>51</v>
      </c>
    </row>
    <row r="61" spans="3:5" ht="18.75" customHeight="1" x14ac:dyDescent="0.3">
      <c r="C61" s="68" t="s">
        <v>172</v>
      </c>
      <c r="D61" s="66">
        <v>6</v>
      </c>
      <c r="E61" s="57" t="s">
        <v>51</v>
      </c>
    </row>
    <row r="62" spans="3:5" ht="18.75" customHeight="1" x14ac:dyDescent="0.3">
      <c r="C62" s="68" t="s">
        <v>173</v>
      </c>
      <c r="D62" s="66">
        <v>8</v>
      </c>
      <c r="E62" s="57" t="s">
        <v>51</v>
      </c>
    </row>
    <row r="63" spans="3:5" ht="18.75" customHeight="1" x14ac:dyDescent="0.3">
      <c r="C63" s="68" t="s">
        <v>174</v>
      </c>
      <c r="D63" s="66">
        <v>6</v>
      </c>
      <c r="E63" s="57" t="s">
        <v>51</v>
      </c>
    </row>
    <row r="64" spans="3:5" ht="18.75" customHeight="1" x14ac:dyDescent="0.3">
      <c r="C64" s="68" t="s">
        <v>175</v>
      </c>
      <c r="D64" s="66">
        <v>9</v>
      </c>
      <c r="E64" s="57" t="s">
        <v>51</v>
      </c>
    </row>
    <row r="65" spans="3:5" ht="18.75" customHeight="1" x14ac:dyDescent="0.3">
      <c r="C65" s="68" t="s">
        <v>176</v>
      </c>
      <c r="D65" s="66">
        <v>4</v>
      </c>
      <c r="E65" s="57" t="s">
        <v>51</v>
      </c>
    </row>
    <row r="66" spans="3:5" ht="18.75" customHeight="1" x14ac:dyDescent="0.3">
      <c r="C66" s="68" t="s">
        <v>177</v>
      </c>
      <c r="D66" s="66">
        <v>8</v>
      </c>
      <c r="E66" s="57" t="s">
        <v>51</v>
      </c>
    </row>
    <row r="67" spans="3:5" ht="18.75" customHeight="1" x14ac:dyDescent="0.3">
      <c r="C67" s="68" t="s">
        <v>178</v>
      </c>
      <c r="D67" s="66">
        <v>5</v>
      </c>
      <c r="E67" s="57" t="s">
        <v>51</v>
      </c>
    </row>
    <row r="68" spans="3:5" ht="18.75" customHeight="1" x14ac:dyDescent="0.3">
      <c r="C68" s="69" t="s">
        <v>179</v>
      </c>
      <c r="D68" s="66">
        <v>10</v>
      </c>
      <c r="E68" s="58" t="s">
        <v>53</v>
      </c>
    </row>
    <row r="69" spans="3:5" ht="18.75" customHeight="1" x14ac:dyDescent="0.3">
      <c r="C69" s="69" t="s">
        <v>180</v>
      </c>
      <c r="D69" s="66">
        <v>12</v>
      </c>
      <c r="E69" s="58" t="s">
        <v>53</v>
      </c>
    </row>
    <row r="70" spans="3:5" ht="18.75" customHeight="1" x14ac:dyDescent="0.3">
      <c r="C70" s="69" t="s">
        <v>181</v>
      </c>
      <c r="D70" s="66">
        <v>12</v>
      </c>
      <c r="E70" s="58" t="s">
        <v>53</v>
      </c>
    </row>
    <row r="71" spans="3:5" ht="18.75" customHeight="1" x14ac:dyDescent="0.3">
      <c r="C71" s="69" t="s">
        <v>182</v>
      </c>
      <c r="D71" s="66">
        <v>10</v>
      </c>
      <c r="E71" s="58" t="s">
        <v>53</v>
      </c>
    </row>
    <row r="72" spans="3:5" ht="18.75" customHeight="1" x14ac:dyDescent="0.3">
      <c r="C72" s="70" t="s">
        <v>183</v>
      </c>
      <c r="D72" s="66">
        <v>15</v>
      </c>
      <c r="E72" s="59" t="s">
        <v>56</v>
      </c>
    </row>
    <row r="73" spans="3:5" ht="15.75" customHeight="1" x14ac:dyDescent="0.3">
      <c r="C73" s="70" t="s">
        <v>184</v>
      </c>
      <c r="D73" s="66">
        <v>16</v>
      </c>
      <c r="E73" s="59" t="s">
        <v>56</v>
      </c>
    </row>
    <row r="74" spans="3:5" ht="15.75" customHeight="1" x14ac:dyDescent="0.3">
      <c r="C74" s="70" t="s">
        <v>185</v>
      </c>
      <c r="D74" s="66">
        <v>15</v>
      </c>
      <c r="E74" s="59" t="s">
        <v>56</v>
      </c>
    </row>
    <row r="75" spans="3:5" ht="15.75" customHeight="1" x14ac:dyDescent="0.3">
      <c r="C75" s="71" t="s">
        <v>186</v>
      </c>
      <c r="D75" s="66">
        <v>20</v>
      </c>
      <c r="E75" s="60" t="s">
        <v>54</v>
      </c>
    </row>
    <row r="76" spans="3:5" ht="15.75" customHeight="1" x14ac:dyDescent="0.3">
      <c r="C76" s="71" t="s">
        <v>187</v>
      </c>
      <c r="D76" s="66">
        <v>25</v>
      </c>
      <c r="E76" s="60" t="s">
        <v>54</v>
      </c>
    </row>
    <row r="77" spans="3:5" ht="15.75" customHeight="1" x14ac:dyDescent="0.3">
      <c r="C77" s="71" t="s">
        <v>188</v>
      </c>
      <c r="D77" s="66">
        <v>20</v>
      </c>
      <c r="E77" s="60" t="s">
        <v>54</v>
      </c>
    </row>
  </sheetData>
  <mergeCells count="21">
    <mergeCell ref="A33:C35"/>
    <mergeCell ref="D33:H33"/>
    <mergeCell ref="A36:A40"/>
    <mergeCell ref="D52:E52"/>
    <mergeCell ref="K11:K12"/>
    <mergeCell ref="A23:C25"/>
    <mergeCell ref="D23:H23"/>
    <mergeCell ref="J23:L25"/>
    <mergeCell ref="A26:A30"/>
    <mergeCell ref="J26:J30"/>
    <mergeCell ref="M11:M12"/>
    <mergeCell ref="N11:N12"/>
    <mergeCell ref="M23:Q23"/>
    <mergeCell ref="A2:C2"/>
    <mergeCell ref="A10:H10"/>
    <mergeCell ref="J10:N10"/>
    <mergeCell ref="A11:A12"/>
    <mergeCell ref="B11:B12"/>
    <mergeCell ref="C11:H11"/>
    <mergeCell ref="J11:J12"/>
    <mergeCell ref="L11:L12"/>
  </mergeCells>
  <pageMargins left="0.7" right="0.7" top="0.75" bottom="0.75" header="0" footer="0"/>
  <pageSetup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D36"/>
  <sheetViews>
    <sheetView workbookViewId="0">
      <selection sqref="A1:D6"/>
    </sheetView>
  </sheetViews>
  <sheetFormatPr defaultColWidth="14.44140625" defaultRowHeight="15" customHeight="1" x14ac:dyDescent="0.3"/>
  <cols>
    <col min="1" max="1" width="9.109375" customWidth="1"/>
    <col min="2" max="2" width="19.77734375" customWidth="1"/>
    <col min="3" max="3" width="43" customWidth="1"/>
    <col min="4" max="4" width="58.44140625" customWidth="1"/>
    <col min="5" max="7" width="9.109375" customWidth="1"/>
    <col min="8" max="8" width="21.77734375" customWidth="1"/>
    <col min="9" max="9" width="12.77734375" customWidth="1"/>
    <col min="10" max="10" width="9.109375" customWidth="1"/>
    <col min="11" max="11" width="11.44140625" customWidth="1"/>
    <col min="12" max="12" width="17.33203125" customWidth="1"/>
    <col min="13" max="13" width="9.109375" customWidth="1"/>
    <col min="14" max="14" width="17.44140625" customWidth="1"/>
    <col min="15" max="15" width="9.44140625" customWidth="1"/>
    <col min="16" max="16" width="13.6640625" customWidth="1"/>
    <col min="17" max="17" width="16.44140625" customWidth="1"/>
    <col min="18" max="18" width="9.6640625" customWidth="1"/>
    <col min="19" max="19" width="12.109375" customWidth="1"/>
    <col min="20" max="20" width="22.6640625" customWidth="1"/>
    <col min="21" max="25" width="9.109375" customWidth="1"/>
    <col min="26" max="26" width="10.77734375" customWidth="1"/>
  </cols>
  <sheetData>
    <row r="1" spans="1:30" ht="12.75" customHeight="1" x14ac:dyDescent="0.3">
      <c r="A1" s="269" t="s">
        <v>191</v>
      </c>
      <c r="B1" s="270"/>
      <c r="C1" s="270"/>
      <c r="D1" s="258"/>
      <c r="E1" s="73"/>
      <c r="F1" s="74" t="s">
        <v>50</v>
      </c>
      <c r="G1" s="73"/>
      <c r="H1" s="73"/>
      <c r="I1" s="73"/>
      <c r="J1" s="73"/>
      <c r="K1" s="73"/>
      <c r="L1" s="73"/>
      <c r="M1" s="73"/>
      <c r="N1" s="73"/>
      <c r="O1" s="73"/>
      <c r="P1" s="73"/>
      <c r="Q1" s="73"/>
      <c r="R1" s="73"/>
      <c r="S1" s="73"/>
      <c r="T1" s="73"/>
      <c r="U1" s="73"/>
      <c r="V1" s="73"/>
      <c r="W1" s="73"/>
      <c r="X1" s="73"/>
      <c r="Y1" s="73"/>
      <c r="Z1" s="73"/>
    </row>
    <row r="2" spans="1:30" ht="15" customHeight="1" x14ac:dyDescent="0.3">
      <c r="A2" s="271"/>
      <c r="B2" s="243"/>
      <c r="C2" s="243"/>
      <c r="D2" s="272"/>
      <c r="E2" s="73"/>
      <c r="F2" s="255" t="s">
        <v>9</v>
      </c>
      <c r="G2" s="229"/>
      <c r="H2" s="229"/>
      <c r="I2" s="229"/>
      <c r="J2" s="229"/>
      <c r="K2" s="230"/>
      <c r="L2" s="256" t="s">
        <v>10</v>
      </c>
      <c r="M2" s="229"/>
      <c r="N2" s="229"/>
      <c r="O2" s="229"/>
      <c r="P2" s="229"/>
      <c r="Q2" s="229"/>
      <c r="R2" s="229"/>
      <c r="S2" s="230"/>
      <c r="T2" s="75" t="s">
        <v>11</v>
      </c>
      <c r="U2" s="75"/>
      <c r="V2" s="75"/>
      <c r="W2" s="75"/>
      <c r="X2" s="75"/>
      <c r="Y2" s="75"/>
      <c r="Z2" s="75"/>
      <c r="AA2" s="75"/>
      <c r="AB2" s="75"/>
      <c r="AC2" s="75"/>
      <c r="AD2" s="75"/>
    </row>
    <row r="3" spans="1:30" ht="15" customHeight="1" x14ac:dyDescent="0.3">
      <c r="A3" s="271"/>
      <c r="B3" s="243"/>
      <c r="C3" s="243"/>
      <c r="D3" s="272"/>
      <c r="E3" s="73"/>
      <c r="F3" s="257" t="s">
        <v>12</v>
      </c>
      <c r="G3" s="258"/>
      <c r="H3" s="252" t="s">
        <v>192</v>
      </c>
      <c r="I3" s="252" t="s">
        <v>14</v>
      </c>
      <c r="J3" s="252" t="s">
        <v>193</v>
      </c>
      <c r="K3" s="252" t="s">
        <v>194</v>
      </c>
      <c r="L3" s="253" t="s">
        <v>195</v>
      </c>
      <c r="M3" s="230"/>
      <c r="N3" s="261" t="s">
        <v>21</v>
      </c>
      <c r="O3" s="76" t="s">
        <v>196</v>
      </c>
      <c r="P3" s="77" t="s">
        <v>25</v>
      </c>
      <c r="Q3" s="77" t="s">
        <v>26</v>
      </c>
      <c r="R3" s="77" t="s">
        <v>27</v>
      </c>
      <c r="S3" s="77" t="s">
        <v>28</v>
      </c>
      <c r="T3" s="254" t="s">
        <v>31</v>
      </c>
      <c r="U3" s="229"/>
      <c r="V3" s="229"/>
      <c r="W3" s="229"/>
      <c r="X3" s="230"/>
      <c r="Y3" s="254" t="s">
        <v>32</v>
      </c>
      <c r="Z3" s="229"/>
      <c r="AA3" s="229"/>
      <c r="AB3" s="230"/>
      <c r="AC3" s="78" t="s">
        <v>33</v>
      </c>
      <c r="AD3" s="78" t="s">
        <v>34</v>
      </c>
    </row>
    <row r="4" spans="1:30" ht="12.75" customHeight="1" x14ac:dyDescent="0.3">
      <c r="A4" s="271"/>
      <c r="B4" s="243"/>
      <c r="C4" s="243"/>
      <c r="D4" s="272"/>
      <c r="E4" s="73"/>
      <c r="F4" s="259"/>
      <c r="G4" s="260"/>
      <c r="H4" s="224"/>
      <c r="I4" s="224"/>
      <c r="J4" s="224"/>
      <c r="K4" s="224"/>
      <c r="L4" s="77" t="s">
        <v>36</v>
      </c>
      <c r="M4" s="77" t="s">
        <v>37</v>
      </c>
      <c r="N4" s="224"/>
      <c r="O4" s="79"/>
      <c r="P4" s="77"/>
      <c r="Q4" s="77"/>
      <c r="R4" s="77"/>
      <c r="S4" s="77"/>
      <c r="T4" s="78" t="s">
        <v>40</v>
      </c>
      <c r="U4" s="78" t="s">
        <v>41</v>
      </c>
      <c r="V4" s="78" t="s">
        <v>42</v>
      </c>
      <c r="W4" s="78" t="s">
        <v>43</v>
      </c>
      <c r="X4" s="78" t="s">
        <v>44</v>
      </c>
      <c r="Y4" s="78" t="s">
        <v>45</v>
      </c>
      <c r="Z4" s="78" t="s">
        <v>46</v>
      </c>
      <c r="AA4" s="78" t="s">
        <v>47</v>
      </c>
      <c r="AB4" s="78" t="s">
        <v>28</v>
      </c>
      <c r="AC4" s="78"/>
      <c r="AD4" s="78"/>
    </row>
    <row r="5" spans="1:30" ht="12.75" customHeight="1" x14ac:dyDescent="0.3">
      <c r="A5" s="271"/>
      <c r="B5" s="243"/>
      <c r="C5" s="243"/>
      <c r="D5" s="272"/>
      <c r="E5" s="73"/>
      <c r="F5" s="80" t="s">
        <v>197</v>
      </c>
      <c r="G5" s="80" t="s">
        <v>197</v>
      </c>
      <c r="H5" s="80" t="s">
        <v>197</v>
      </c>
      <c r="I5" s="80" t="s">
        <v>197</v>
      </c>
      <c r="J5" s="80" t="s">
        <v>197</v>
      </c>
      <c r="K5" s="80" t="s">
        <v>197</v>
      </c>
      <c r="L5" s="80" t="s">
        <v>197</v>
      </c>
      <c r="M5" s="80" t="s">
        <v>197</v>
      </c>
      <c r="N5" s="80" t="s">
        <v>197</v>
      </c>
      <c r="O5" s="80" t="s">
        <v>197</v>
      </c>
      <c r="P5" s="80" t="s">
        <v>197</v>
      </c>
      <c r="Q5" s="80" t="s">
        <v>197</v>
      </c>
      <c r="R5" s="80" t="s">
        <v>197</v>
      </c>
      <c r="S5" s="80" t="s">
        <v>197</v>
      </c>
      <c r="T5" s="81"/>
      <c r="U5" s="81"/>
      <c r="V5" s="81"/>
      <c r="W5" s="81"/>
      <c r="X5" s="81"/>
      <c r="Y5" s="82"/>
      <c r="Z5" s="82"/>
      <c r="AA5" s="82">
        <f>Y5*Z5</f>
        <v>0</v>
      </c>
      <c r="AB5" s="83" t="s">
        <v>198</v>
      </c>
      <c r="AC5" s="81"/>
      <c r="AD5" s="81"/>
    </row>
    <row r="6" spans="1:30" ht="12.75" customHeight="1" x14ac:dyDescent="0.3">
      <c r="A6" s="259"/>
      <c r="B6" s="273"/>
      <c r="C6" s="273"/>
      <c r="D6" s="260"/>
      <c r="E6" s="73"/>
      <c r="F6" s="72" t="s">
        <v>190</v>
      </c>
    </row>
    <row r="7" spans="1:30" ht="12.75" customHeight="1" x14ac:dyDescent="0.3">
      <c r="A7" s="274" t="s">
        <v>199</v>
      </c>
      <c r="B7" s="275"/>
      <c r="C7" s="275"/>
      <c r="D7" s="218"/>
      <c r="E7" s="73"/>
      <c r="F7" s="255" t="s">
        <v>9</v>
      </c>
      <c r="G7" s="229"/>
      <c r="H7" s="229"/>
      <c r="I7" s="229"/>
      <c r="J7" s="229"/>
      <c r="K7" s="230"/>
      <c r="L7" s="256" t="s">
        <v>10</v>
      </c>
      <c r="M7" s="229"/>
      <c r="N7" s="229"/>
      <c r="O7" s="229"/>
      <c r="P7" s="229"/>
      <c r="Q7" s="229"/>
      <c r="R7" s="229"/>
      <c r="S7" s="230"/>
      <c r="T7" s="75" t="s">
        <v>11</v>
      </c>
      <c r="U7" s="75"/>
      <c r="V7" s="75"/>
      <c r="W7" s="75"/>
      <c r="X7" s="75"/>
      <c r="Y7" s="75"/>
      <c r="Z7" s="75"/>
      <c r="AA7" s="75"/>
      <c r="AB7" s="75"/>
      <c r="AC7" s="75"/>
      <c r="AD7" s="75"/>
    </row>
    <row r="8" spans="1:30" ht="26.4" x14ac:dyDescent="0.3">
      <c r="A8" s="259"/>
      <c r="B8" s="273"/>
      <c r="C8" s="273"/>
      <c r="D8" s="260"/>
      <c r="E8" s="84"/>
      <c r="F8" s="257" t="s">
        <v>12</v>
      </c>
      <c r="G8" s="258"/>
      <c r="H8" s="252" t="s">
        <v>192</v>
      </c>
      <c r="I8" s="252" t="s">
        <v>14</v>
      </c>
      <c r="J8" s="252" t="s">
        <v>193</v>
      </c>
      <c r="K8" s="252" t="s">
        <v>194</v>
      </c>
      <c r="L8" s="253" t="s">
        <v>195</v>
      </c>
      <c r="M8" s="230"/>
      <c r="N8" s="77" t="s">
        <v>21</v>
      </c>
      <c r="O8" s="76" t="s">
        <v>196</v>
      </c>
      <c r="P8" s="77" t="s">
        <v>25</v>
      </c>
      <c r="Q8" s="77" t="s">
        <v>26</v>
      </c>
      <c r="R8" s="77" t="s">
        <v>27</v>
      </c>
      <c r="S8" s="77" t="s">
        <v>28</v>
      </c>
      <c r="T8" s="254" t="s">
        <v>31</v>
      </c>
      <c r="U8" s="229"/>
      <c r="V8" s="229"/>
      <c r="W8" s="229"/>
      <c r="X8" s="230"/>
      <c r="Y8" s="254" t="s">
        <v>32</v>
      </c>
      <c r="Z8" s="229"/>
      <c r="AA8" s="229"/>
      <c r="AB8" s="230"/>
      <c r="AC8" s="78" t="s">
        <v>33</v>
      </c>
      <c r="AD8" s="78" t="s">
        <v>34</v>
      </c>
    </row>
    <row r="9" spans="1:30" ht="26.4" x14ac:dyDescent="0.3">
      <c r="A9" s="276" t="s">
        <v>200</v>
      </c>
      <c r="B9" s="230"/>
      <c r="C9" s="277">
        <v>0</v>
      </c>
      <c r="D9" s="230"/>
      <c r="E9" s="84"/>
      <c r="F9" s="259"/>
      <c r="G9" s="260"/>
      <c r="H9" s="224"/>
      <c r="I9" s="224"/>
      <c r="J9" s="224"/>
      <c r="K9" s="224"/>
      <c r="L9" s="77" t="s">
        <v>36</v>
      </c>
      <c r="M9" s="77" t="s">
        <v>37</v>
      </c>
      <c r="N9" s="77"/>
      <c r="O9" s="79"/>
      <c r="P9" s="77"/>
      <c r="Q9" s="77"/>
      <c r="R9" s="77"/>
      <c r="S9" s="77"/>
      <c r="T9" s="78" t="s">
        <v>40</v>
      </c>
      <c r="U9" s="78" t="s">
        <v>41</v>
      </c>
      <c r="V9" s="78" t="s">
        <v>42</v>
      </c>
      <c r="W9" s="78" t="s">
        <v>43</v>
      </c>
      <c r="X9" s="78" t="s">
        <v>44</v>
      </c>
      <c r="Y9" s="78" t="s">
        <v>45</v>
      </c>
      <c r="Z9" s="78" t="s">
        <v>46</v>
      </c>
      <c r="AA9" s="78" t="s">
        <v>47</v>
      </c>
      <c r="AB9" s="78" t="s">
        <v>28</v>
      </c>
      <c r="AC9" s="78"/>
      <c r="AD9" s="78"/>
    </row>
    <row r="10" spans="1:30" ht="14.4" x14ac:dyDescent="0.3">
      <c r="A10" s="276" t="s">
        <v>201</v>
      </c>
      <c r="B10" s="230"/>
      <c r="C10" s="278" t="s">
        <v>202</v>
      </c>
      <c r="D10" s="230"/>
      <c r="E10" s="84"/>
      <c r="F10" s="80" t="s">
        <v>197</v>
      </c>
      <c r="G10" s="80" t="s">
        <v>197</v>
      </c>
      <c r="H10" s="80" t="s">
        <v>197</v>
      </c>
      <c r="I10" s="85" t="s">
        <v>203</v>
      </c>
      <c r="J10" s="80" t="s">
        <v>197</v>
      </c>
      <c r="K10" s="80" t="s">
        <v>197</v>
      </c>
      <c r="L10" s="80" t="s">
        <v>197</v>
      </c>
      <c r="M10" s="80" t="s">
        <v>197</v>
      </c>
      <c r="N10" s="80" t="s">
        <v>197</v>
      </c>
      <c r="O10" s="80" t="s">
        <v>197</v>
      </c>
      <c r="P10" s="80" t="s">
        <v>197</v>
      </c>
      <c r="Q10" s="80" t="s">
        <v>197</v>
      </c>
      <c r="R10" s="80" t="s">
        <v>197</v>
      </c>
      <c r="S10" s="80" t="s">
        <v>197</v>
      </c>
      <c r="T10" s="81"/>
      <c r="U10" s="81"/>
      <c r="V10" s="81"/>
      <c r="W10" s="81"/>
      <c r="X10" s="81"/>
      <c r="Y10" s="82"/>
      <c r="Z10" s="82"/>
      <c r="AA10" s="82">
        <f>Y10*Z10</f>
        <v>0</v>
      </c>
      <c r="AB10" s="83" t="s">
        <v>198</v>
      </c>
      <c r="AC10" s="81"/>
      <c r="AD10" s="81"/>
    </row>
    <row r="11" spans="1:30" ht="14.4" x14ac:dyDescent="0.3">
      <c r="A11" s="86" t="s">
        <v>204</v>
      </c>
      <c r="B11" s="86" t="s">
        <v>205</v>
      </c>
      <c r="C11" s="87" t="s">
        <v>206</v>
      </c>
      <c r="D11" s="87" t="s">
        <v>207</v>
      </c>
      <c r="E11" s="84"/>
      <c r="F11" s="84"/>
      <c r="G11" s="84"/>
      <c r="H11" s="84"/>
      <c r="I11" s="84"/>
      <c r="J11" s="84"/>
      <c r="K11" s="84"/>
      <c r="L11" s="84"/>
      <c r="M11" s="84"/>
      <c r="N11" s="84"/>
      <c r="O11" s="84"/>
      <c r="P11" s="84"/>
      <c r="Q11" s="84"/>
      <c r="R11" s="84"/>
      <c r="S11" s="84"/>
      <c r="T11" s="84"/>
      <c r="U11" s="84"/>
      <c r="V11" s="84"/>
      <c r="W11" s="84"/>
      <c r="X11" s="84"/>
      <c r="Y11" s="84"/>
      <c r="Z11" s="84"/>
    </row>
    <row r="12" spans="1:30" ht="43.2" x14ac:dyDescent="0.3">
      <c r="A12" s="262">
        <v>1</v>
      </c>
      <c r="B12" s="268" t="s">
        <v>9</v>
      </c>
      <c r="C12" s="88" t="s">
        <v>208</v>
      </c>
      <c r="D12" s="89" t="s">
        <v>209</v>
      </c>
      <c r="E12" s="84"/>
      <c r="F12" s="84"/>
      <c r="G12" s="84"/>
      <c r="H12" s="84"/>
      <c r="I12" s="84"/>
      <c r="J12" s="84"/>
      <c r="K12" s="84"/>
      <c r="L12" s="84"/>
      <c r="M12" s="84"/>
      <c r="N12" s="84"/>
      <c r="O12" s="84"/>
      <c r="P12" s="84"/>
      <c r="Q12" s="84"/>
      <c r="R12" s="84"/>
      <c r="S12" s="84"/>
      <c r="T12" s="84"/>
      <c r="U12" s="84"/>
      <c r="V12" s="84"/>
      <c r="W12" s="84"/>
      <c r="X12" s="84"/>
      <c r="Y12" s="84"/>
      <c r="Z12" s="84"/>
    </row>
    <row r="13" spans="1:30" ht="14.4" x14ac:dyDescent="0.3">
      <c r="A13" s="263"/>
      <c r="B13" s="263"/>
      <c r="C13" s="88" t="s">
        <v>204</v>
      </c>
      <c r="D13" s="89" t="s">
        <v>210</v>
      </c>
      <c r="E13" s="84"/>
      <c r="F13" s="84"/>
      <c r="G13" s="84"/>
      <c r="H13" s="84"/>
      <c r="I13" s="84"/>
      <c r="J13" s="84"/>
      <c r="K13" s="84"/>
      <c r="L13" s="84"/>
      <c r="M13" s="84"/>
      <c r="N13" s="84"/>
      <c r="O13" s="84"/>
      <c r="P13" s="84"/>
      <c r="Q13" s="84"/>
      <c r="R13" s="84"/>
      <c r="S13" s="84"/>
      <c r="T13" s="84"/>
      <c r="U13" s="84"/>
      <c r="V13" s="84"/>
      <c r="W13" s="84"/>
      <c r="X13" s="84"/>
      <c r="Y13" s="84"/>
      <c r="Z13" s="84"/>
    </row>
    <row r="14" spans="1:30" ht="86.4" x14ac:dyDescent="0.3">
      <c r="A14" s="263"/>
      <c r="B14" s="263"/>
      <c r="C14" s="88" t="s">
        <v>192</v>
      </c>
      <c r="D14" s="89" t="s">
        <v>211</v>
      </c>
      <c r="E14" s="84"/>
      <c r="F14" s="84"/>
      <c r="G14" s="84"/>
      <c r="H14" s="84"/>
      <c r="I14" s="84"/>
      <c r="J14" s="84"/>
      <c r="K14" s="84"/>
      <c r="L14" s="84"/>
      <c r="M14" s="84"/>
      <c r="N14" s="84"/>
      <c r="O14" s="84"/>
      <c r="P14" s="84"/>
      <c r="Q14" s="84"/>
      <c r="R14" s="84"/>
      <c r="S14" s="84"/>
      <c r="T14" s="84"/>
      <c r="U14" s="84"/>
      <c r="V14" s="84"/>
      <c r="W14" s="84"/>
      <c r="X14" s="84"/>
      <c r="Y14" s="84"/>
      <c r="Z14" s="84"/>
    </row>
    <row r="15" spans="1:30" ht="158.4" x14ac:dyDescent="0.3">
      <c r="A15" s="263"/>
      <c r="B15" s="263"/>
      <c r="C15" s="88" t="s">
        <v>14</v>
      </c>
      <c r="D15" s="89" t="s">
        <v>212</v>
      </c>
      <c r="E15" s="84"/>
      <c r="F15" s="84"/>
      <c r="G15" s="84"/>
      <c r="H15" s="84"/>
      <c r="I15" s="84"/>
      <c r="J15" s="84"/>
      <c r="K15" s="84"/>
      <c r="L15" s="84"/>
      <c r="M15" s="84"/>
      <c r="N15" s="84"/>
      <c r="O15" s="84"/>
      <c r="P15" s="84"/>
      <c r="Q15" s="84"/>
      <c r="R15" s="84"/>
      <c r="S15" s="84"/>
      <c r="T15" s="84"/>
      <c r="U15" s="84"/>
      <c r="V15" s="84"/>
      <c r="W15" s="84"/>
      <c r="X15" s="84"/>
      <c r="Y15" s="84"/>
      <c r="Z15" s="84"/>
    </row>
    <row r="16" spans="1:30" ht="57.6" x14ac:dyDescent="0.3">
      <c r="A16" s="263"/>
      <c r="B16" s="263"/>
      <c r="C16" s="88" t="s">
        <v>193</v>
      </c>
      <c r="D16" s="89" t="s">
        <v>213</v>
      </c>
      <c r="E16" s="84"/>
      <c r="F16" s="84"/>
      <c r="G16" s="84"/>
      <c r="H16" s="84"/>
      <c r="I16" s="84"/>
      <c r="J16" s="84"/>
      <c r="K16" s="84"/>
      <c r="L16" s="84"/>
      <c r="M16" s="84"/>
      <c r="N16" s="84"/>
      <c r="O16" s="84"/>
      <c r="P16" s="84"/>
      <c r="Q16" s="84"/>
      <c r="R16" s="84"/>
      <c r="S16" s="84"/>
      <c r="T16" s="84"/>
      <c r="U16" s="84"/>
      <c r="V16" s="84"/>
      <c r="W16" s="84"/>
      <c r="X16" s="84"/>
      <c r="Y16" s="84"/>
      <c r="Z16" s="84"/>
    </row>
    <row r="17" spans="1:4" ht="86.4" x14ac:dyDescent="0.3">
      <c r="A17" s="264"/>
      <c r="B17" s="264"/>
      <c r="C17" s="88" t="s">
        <v>194</v>
      </c>
      <c r="D17" s="89" t="s">
        <v>214</v>
      </c>
    </row>
    <row r="18" spans="1:4" ht="28.8" x14ac:dyDescent="0.3">
      <c r="A18" s="265"/>
      <c r="B18" s="266" t="s">
        <v>215</v>
      </c>
      <c r="C18" s="90" t="s">
        <v>36</v>
      </c>
      <c r="D18" s="91" t="s">
        <v>216</v>
      </c>
    </row>
    <row r="19" spans="1:4" ht="48.75" customHeight="1" x14ac:dyDescent="0.3">
      <c r="A19" s="263"/>
      <c r="B19" s="263"/>
      <c r="C19" s="90" t="s">
        <v>37</v>
      </c>
      <c r="D19" s="91" t="s">
        <v>217</v>
      </c>
    </row>
    <row r="20" spans="1:4" ht="101.25" customHeight="1" x14ac:dyDescent="0.3">
      <c r="A20" s="263"/>
      <c r="B20" s="263"/>
      <c r="C20" s="90" t="s">
        <v>21</v>
      </c>
      <c r="D20" s="91" t="s">
        <v>218</v>
      </c>
    </row>
    <row r="21" spans="1:4" ht="73.5" customHeight="1" x14ac:dyDescent="0.3">
      <c r="A21" s="263"/>
      <c r="B21" s="263"/>
      <c r="C21" s="90" t="s">
        <v>196</v>
      </c>
      <c r="D21" s="91" t="s">
        <v>219</v>
      </c>
    </row>
    <row r="22" spans="1:4" ht="72" customHeight="1" x14ac:dyDescent="0.3">
      <c r="A22" s="263"/>
      <c r="B22" s="263"/>
      <c r="C22" s="90" t="s">
        <v>220</v>
      </c>
      <c r="D22" s="89" t="s">
        <v>221</v>
      </c>
    </row>
    <row r="23" spans="1:4" ht="63.75" customHeight="1" x14ac:dyDescent="0.3">
      <c r="A23" s="263"/>
      <c r="B23" s="263"/>
      <c r="C23" s="90" t="s">
        <v>222</v>
      </c>
      <c r="D23" s="89" t="s">
        <v>223</v>
      </c>
    </row>
    <row r="24" spans="1:4" ht="15.75" customHeight="1" x14ac:dyDescent="0.3">
      <c r="A24" s="263"/>
      <c r="B24" s="263"/>
      <c r="C24" s="90" t="s">
        <v>27</v>
      </c>
      <c r="D24" s="89" t="s">
        <v>224</v>
      </c>
    </row>
    <row r="25" spans="1:4" ht="63.75" customHeight="1" x14ac:dyDescent="0.3">
      <c r="A25" s="263"/>
      <c r="B25" s="264"/>
      <c r="C25" s="90" t="s">
        <v>28</v>
      </c>
      <c r="D25" s="89" t="s">
        <v>225</v>
      </c>
    </row>
    <row r="26" spans="1:4" ht="63.75" customHeight="1" x14ac:dyDescent="0.3">
      <c r="A26" s="262">
        <v>3</v>
      </c>
      <c r="B26" s="267" t="s">
        <v>226</v>
      </c>
      <c r="C26" s="90" t="s">
        <v>227</v>
      </c>
      <c r="D26" s="89" t="s">
        <v>228</v>
      </c>
    </row>
    <row r="27" spans="1:4" ht="63.75" customHeight="1" x14ac:dyDescent="0.3">
      <c r="A27" s="263"/>
      <c r="B27" s="263"/>
      <c r="C27" s="90" t="s">
        <v>229</v>
      </c>
      <c r="D27" s="89" t="s">
        <v>230</v>
      </c>
    </row>
    <row r="28" spans="1:4" ht="63.75" customHeight="1" x14ac:dyDescent="0.3">
      <c r="A28" s="263"/>
      <c r="B28" s="263"/>
      <c r="C28" s="90" t="s">
        <v>231</v>
      </c>
      <c r="D28" s="89" t="s">
        <v>232</v>
      </c>
    </row>
    <row r="29" spans="1:4" ht="15.75" customHeight="1" x14ac:dyDescent="0.3">
      <c r="A29" s="263"/>
      <c r="B29" s="263"/>
      <c r="C29" s="90" t="s">
        <v>233</v>
      </c>
      <c r="D29" s="89" t="s">
        <v>234</v>
      </c>
    </row>
    <row r="30" spans="1:4" ht="63.75" customHeight="1" x14ac:dyDescent="0.3">
      <c r="A30" s="263"/>
      <c r="B30" s="263"/>
      <c r="C30" s="90" t="s">
        <v>235</v>
      </c>
      <c r="D30" s="89" t="s">
        <v>236</v>
      </c>
    </row>
    <row r="31" spans="1:4" ht="63.75" customHeight="1" x14ac:dyDescent="0.3">
      <c r="A31" s="263"/>
      <c r="B31" s="263"/>
      <c r="C31" s="90" t="s">
        <v>237</v>
      </c>
      <c r="D31" s="89" t="s">
        <v>238</v>
      </c>
    </row>
    <row r="32" spans="1:4" ht="63.75" customHeight="1" x14ac:dyDescent="0.3">
      <c r="A32" s="263"/>
      <c r="B32" s="263"/>
      <c r="C32" s="90" t="s">
        <v>239</v>
      </c>
      <c r="D32" s="89" t="s">
        <v>240</v>
      </c>
    </row>
    <row r="33" spans="1:4" ht="12.75" customHeight="1" x14ac:dyDescent="0.3">
      <c r="A33" s="263"/>
      <c r="B33" s="263"/>
      <c r="C33" s="90" t="s">
        <v>241</v>
      </c>
      <c r="D33" s="89" t="s">
        <v>242</v>
      </c>
    </row>
    <row r="34" spans="1:4" ht="12.75" customHeight="1" x14ac:dyDescent="0.3">
      <c r="A34" s="263"/>
      <c r="B34" s="263"/>
      <c r="C34" s="90" t="s">
        <v>243</v>
      </c>
      <c r="D34" s="89" t="s">
        <v>244</v>
      </c>
    </row>
    <row r="35" spans="1:4" ht="12.75" customHeight="1" x14ac:dyDescent="0.3">
      <c r="A35" s="263"/>
      <c r="B35" s="263"/>
      <c r="C35" s="90" t="s">
        <v>245</v>
      </c>
      <c r="D35" s="89" t="s">
        <v>246</v>
      </c>
    </row>
    <row r="36" spans="1:4" ht="12.75" customHeight="1" x14ac:dyDescent="0.3">
      <c r="A36" s="224"/>
      <c r="B36" s="224"/>
      <c r="C36" s="90" t="s">
        <v>247</v>
      </c>
      <c r="D36" s="89" t="s">
        <v>248</v>
      </c>
    </row>
  </sheetData>
  <mergeCells count="33">
    <mergeCell ref="A1:D6"/>
    <mergeCell ref="A7:D8"/>
    <mergeCell ref="A9:B9"/>
    <mergeCell ref="C9:D9"/>
    <mergeCell ref="A10:B10"/>
    <mergeCell ref="C10:D10"/>
    <mergeCell ref="A12:A17"/>
    <mergeCell ref="A18:A25"/>
    <mergeCell ref="B18:B25"/>
    <mergeCell ref="A26:A36"/>
    <mergeCell ref="B26:B36"/>
    <mergeCell ref="B12:B17"/>
    <mergeCell ref="L8:M8"/>
    <mergeCell ref="T8:X8"/>
    <mergeCell ref="Y8:AB8"/>
    <mergeCell ref="F7:K7"/>
    <mergeCell ref="L7:S7"/>
    <mergeCell ref="F8:G9"/>
    <mergeCell ref="H8:H9"/>
    <mergeCell ref="I8:I9"/>
    <mergeCell ref="J8:J9"/>
    <mergeCell ref="K8:K9"/>
    <mergeCell ref="K3:K4"/>
    <mergeCell ref="L3:M3"/>
    <mergeCell ref="T3:X3"/>
    <mergeCell ref="Y3:AB3"/>
    <mergeCell ref="F2:K2"/>
    <mergeCell ref="L2:S2"/>
    <mergeCell ref="F3:G4"/>
    <mergeCell ref="H3:H4"/>
    <mergeCell ref="I3:I4"/>
    <mergeCell ref="J3:J4"/>
    <mergeCell ref="N3:N4"/>
  </mergeCells>
  <conditionalFormatting sqref="AB5">
    <cfRule type="containsText" dxfId="9" priority="1" stopIfTrue="1" operator="containsText" text="SEDANG-RENDAH">
      <formula>NOT(ISERROR(SEARCH(("SEDANG-RENDAH"),(AB5))))</formula>
    </cfRule>
    <cfRule type="containsText" dxfId="8" priority="2" stopIfTrue="1" operator="containsText" text="SEDANG-TINGGI">
      <formula>NOT(ISERROR(SEARCH(("SEDANG-TINGGI"),(AB5))))</formula>
    </cfRule>
    <cfRule type="containsText" dxfId="7" priority="3" stopIfTrue="1" operator="containsText" text="SEDANG">
      <formula>NOT(ISERROR(SEARCH(("SEDANG"),(AB5))))</formula>
    </cfRule>
    <cfRule type="containsText" dxfId="6" priority="4" stopIfTrue="1" operator="containsText" text="TINGGI">
      <formula>NOT(ISERROR(SEARCH(("TINGGI"),(AB5))))</formula>
    </cfRule>
    <cfRule type="containsText" dxfId="5" priority="5" stopIfTrue="1" operator="containsText" text="RENDAH">
      <formula>NOT(ISERROR(SEARCH(("RENDAH"),(AB5))))</formula>
    </cfRule>
  </conditionalFormatting>
  <conditionalFormatting sqref="AB10">
    <cfRule type="containsText" dxfId="4" priority="6" stopIfTrue="1" operator="containsText" text="SEDANG-RENDAH">
      <formula>NOT(ISERROR(SEARCH(("SEDANG-RENDAH"),(AB10))))</formula>
    </cfRule>
    <cfRule type="containsText" dxfId="3" priority="7" stopIfTrue="1" operator="containsText" text="SEDANG-TINGGI">
      <formula>NOT(ISERROR(SEARCH(("SEDANG-TINGGI"),(AB10))))</formula>
    </cfRule>
    <cfRule type="containsText" dxfId="2" priority="8" stopIfTrue="1" operator="containsText" text="SEDANG">
      <formula>NOT(ISERROR(SEARCH(("SEDANG"),(AB10))))</formula>
    </cfRule>
    <cfRule type="containsText" dxfId="1" priority="9" stopIfTrue="1" operator="containsText" text="TINGGI">
      <formula>NOT(ISERROR(SEARCH(("TINGGI"),(AB10))))</formula>
    </cfRule>
    <cfRule type="containsText" dxfId="0" priority="10" stopIfTrue="1" operator="containsText" text="RENDAH">
      <formula>NOT(ISERROR(SEARCH(("RENDAH"),(AB10))))</formula>
    </cfRule>
  </conditionalFormatting>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IT</vt:lpstr>
      <vt:lpstr>REF</vt:lpstr>
      <vt:lpstr>Asset Owner</vt:lpstr>
      <vt:lpstr>Parameter</vt:lpstr>
      <vt:lpstr>Panduan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Endiaz Ludia Arsanto</cp:lastModifiedBy>
  <dcterms:modified xsi:type="dcterms:W3CDTF">2026-03-20T13:15:14Z</dcterms:modified>
</cp:coreProperties>
</file>