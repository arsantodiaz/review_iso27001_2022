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ndiaz\Downloads\"/>
    </mc:Choice>
  </mc:AlternateContent>
  <xr:revisionPtr revIDLastSave="0" documentId="13_ncr:1_{CDAB544B-8A74-4EF7-A742-D46A47D25E4E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1-CLASSIFICATION" sheetId="1" r:id="rId1"/>
    <sheet name="2-WHERE" sheetId="2" r:id="rId2"/>
    <sheet name="3-ACCESS" sheetId="3" r:id="rId3"/>
    <sheet name="4-WHY" sheetId="4" r:id="rId4"/>
    <sheet name="5-PERMISSION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0" i="5" l="1"/>
  <c r="A20" i="5"/>
  <c r="B54" i="1"/>
</calcChain>
</file>

<file path=xl/sharedStrings.xml><?xml version="1.0" encoding="utf-8"?>
<sst xmlns="http://schemas.openxmlformats.org/spreadsheetml/2006/main" count="1860" uniqueCount="706">
  <si>
    <t>DATA CLASSIFICATION — DEPARTEMEN IT  |  PT Asuransi [Nama Perusahaan]  |  ISO/IEC 27001:2022  •  UU PDP No.27/2022</t>
  </si>
  <si>
    <t>LEGEND:</t>
  </si>
  <si>
    <t>L4 — SANGAT RAHASIA</t>
  </si>
  <si>
    <t>L3 — RAHASIA</t>
  </si>
  <si>
    <t>L2 — INTERNAL</t>
  </si>
  <si>
    <t>L1 — PUBLIK</t>
  </si>
  <si>
    <t>⚠ Special Category (UU PDP / GDPR Art.9)</t>
  </si>
  <si>
    <t>✓ = Ya  |  ✗ = Tidak  |  ? = Tidak diketahui</t>
  </si>
  <si>
    <t>No</t>
  </si>
  <si>
    <t>Sub-Unit / Sistem</t>
  </si>
  <si>
    <t>Nama / Jenis Data</t>
  </si>
  <si>
    <t>Deskripsi Singkat</t>
  </si>
  <si>
    <t>Klasifikasi
(L1-L4)</t>
  </si>
  <si>
    <t>Data Pribadi?
(UU PDP)</t>
  </si>
  <si>
    <t>Kategori Khusus?
(Special Cat)</t>
  </si>
  <si>
    <t>Subjek Data
(Data Subject)</t>
  </si>
  <si>
    <t>Dasar Hukum
Pemrosesan</t>
  </si>
  <si>
    <t>Volume /
Jumlah Record</t>
  </si>
  <si>
    <t>Format Data</t>
  </si>
  <si>
    <t>Di-enkripsi?</t>
  </si>
  <si>
    <t>Di-backup?</t>
  </si>
  <si>
    <t>Retensi Data</t>
  </si>
  <si>
    <t>Pemilik Data
(Data Owner)</t>
  </si>
  <si>
    <t>DPIA
Diperlukan?</t>
  </si>
  <si>
    <t>Ref. SOP /
Kontrol ISO</t>
  </si>
  <si>
    <t>Risiko Jika
Bocor</t>
  </si>
  <si>
    <t>Status
Review</t>
  </si>
  <si>
    <t>Catatan</t>
  </si>
  <si>
    <t xml:space="preserve">  A. CORE SYSTEM APPLICATION (PrecentiaLife)</t>
  </si>
  <si>
    <t>1</t>
  </si>
  <si>
    <t>Core System</t>
  </si>
  <si>
    <t>Database Polis Aktif</t>
  </si>
  <si>
    <t>Seluruh data polis nasabah aktif: nomor polis, jenis produk, premi, status</t>
  </si>
  <si>
    <t>L4</t>
  </si>
  <si>
    <t>✓</t>
  </si>
  <si>
    <t>✗</t>
  </si>
  <si>
    <t>Pemegang Polis</t>
  </si>
  <si>
    <t>Kontrak / Perjanjian Asuransi</t>
  </si>
  <si>
    <t>&gt;5 juta record</t>
  </si>
  <si>
    <t>Relational DB (Oracle)</t>
  </si>
  <si>
    <t>10 thn pasca polis berakhir</t>
  </si>
  <si>
    <t>IT Core System Lead</t>
  </si>
  <si>
    <t>A.8.3, A.5.15, SOP-EOD</t>
  </si>
  <si>
    <t>Kritis — denda OJK, reputasi</t>
  </si>
  <si>
    <t>Aktif</t>
  </si>
  <si>
    <t>Enkripsi AES-256 at-rest</t>
  </si>
  <si>
    <t>2</t>
  </si>
  <si>
    <t>Database Premi &amp; Transaksi</t>
  </si>
  <si>
    <t>Riwayat pembayaran premi, denda, refund, top-up per polis</t>
  </si>
  <si>
    <t>L3</t>
  </si>
  <si>
    <t>Kontrak</t>
  </si>
  <si>
    <t>Sangat besar</t>
  </si>
  <si>
    <t>Relational DB</t>
  </si>
  <si>
    <t>10 thn</t>
  </si>
  <si>
    <t>A.8.3, POJK</t>
  </si>
  <si>
    <t>Tinggi — kerugian finansial</t>
  </si>
  <si>
    <t>Rekonsiliasi harian dengan Finance</t>
  </si>
  <si>
    <t>3</t>
  </si>
  <si>
    <t>Database Klaim</t>
  </si>
  <si>
    <t>Data pengajuan dan pembayaran klaim individual &amp; kumpulan</t>
  </si>
  <si>
    <t>Pemegang Polis / Tertanggung</t>
  </si>
  <si>
    <t>Besar</t>
  </si>
  <si>
    <t>A.8.3, SOP-ROPA</t>
  </si>
  <si>
    <t>Sangat Tinggi — data medis</t>
  </si>
  <si>
    <t>Mengandung data kesehatan — special category</t>
  </si>
  <si>
    <t>4</t>
  </si>
  <si>
    <t>Parameter &amp; Konfigurasi Sistem</t>
  </si>
  <si>
    <t>Setting rate, formula perhitungan, tabel mortalitas yang digunakan sistem</t>
  </si>
  <si>
    <t>—</t>
  </si>
  <si>
    <t>Kepentingan bisnis sah</t>
  </si>
  <si>
    <t>Kecil</t>
  </si>
  <si>
    <t>File konfigurasi / DB</t>
  </si>
  <si>
    <t>Selama sistem aktif</t>
  </si>
  <si>
    <t>CTISO</t>
  </si>
  <si>
    <t>A.8.9, CCB</t>
  </si>
  <si>
    <t>Kritis — manipulasi kalkulasi</t>
  </si>
  <si>
    <t>Perubahan wajib melalui CCB</t>
  </si>
  <si>
    <t>5</t>
  </si>
  <si>
    <t>Log Transaksi Sistem (Audit Trail)</t>
  </si>
  <si>
    <t>Log seluruh aktivitas user, perubahan data, login/logout di core system</t>
  </si>
  <si>
    <t>Semua user sistem</t>
  </si>
  <si>
    <t>Kewajiban hukum</t>
  </si>
  <si>
    <t>Log file / SIEM</t>
  </si>
  <si>
    <t>5 thn</t>
  </si>
  <si>
    <t>IT Security / CISO</t>
  </si>
  <si>
    <t>A.8.15, POJK</t>
  </si>
  <si>
    <t>Tinggi — bukti forensik hilang</t>
  </si>
  <si>
    <t>Immutable log — tidak boleh dimodifikasi</t>
  </si>
  <si>
    <t>6</t>
  </si>
  <si>
    <t>Konfigurasi Interface / API Integrasi</t>
  </si>
  <si>
    <t>Dokumen &amp; setting integrasi API dengan bank mitra, reasuransi, Dukcapil</t>
  </si>
  <si>
    <t>Dokumen + config</t>
  </si>
  <si>
    <t>Selama integrasi aktif</t>
  </si>
  <si>
    <t>A.5.19, SOP-API</t>
  </si>
  <si>
    <t>Kritis — akses ilegal ke sistem</t>
  </si>
  <si>
    <t>Termasuk API key, token — JANGAN di Git publik</t>
  </si>
  <si>
    <t xml:space="preserve">  B. INFRASTRUCTURE (Server, Network, Cloud, Data Center)</t>
  </si>
  <si>
    <t>Infrastructure</t>
  </si>
  <si>
    <t>Inventaris Aset TI (Hardware &amp; Software)</t>
  </si>
  <si>
    <t>Daftar server, laptop, switch, router, lisensi software, serial number</t>
  </si>
  <si>
    <t>L2</t>
  </si>
  <si>
    <t>Sedang</t>
  </si>
  <si>
    <t>Excel / CMDB</t>
  </si>
  <si>
    <t>Selama aset aktif + 3 thn</t>
  </si>
  <si>
    <t>IT Infra Manager</t>
  </si>
  <si>
    <t>A.5.9, ISO 27001</t>
  </si>
  <si>
    <t>Sedang — shadow IT risk</t>
  </si>
  <si>
    <t>Update wajib saat ada pengadaan/disposal</t>
  </si>
  <si>
    <t>Network Architecture Diagram</t>
  </si>
  <si>
    <t>Diagram topologi jaringan: VLAN, IP addressing, firewall zone, DMZ</t>
  </si>
  <si>
    <t>Visio / PNG / PDF</t>
  </si>
  <si>
    <t>Sesuai versi arsitektur</t>
  </si>
  <si>
    <t>A.8.20, A.8.22</t>
  </si>
  <si>
    <t>Kritis — roadmap serangan</t>
  </si>
  <si>
    <t>Akses sangat terbatas: IT Infra + CTISO only</t>
  </si>
  <si>
    <t>Konfigurasi Firewall &amp; Router</t>
  </si>
  <si>
    <t>Rule set firewall, ACL, routing table, NAT rules</t>
  </si>
  <si>
    <t>Config file (backup)</t>
  </si>
  <si>
    <t>Setiap versi perubahan</t>
  </si>
  <si>
    <t>IT Infra</t>
  </si>
  <si>
    <t>A.8.20, SOP-NS</t>
  </si>
  <si>
    <t>Kritis — bypass keamanan</t>
  </si>
  <si>
    <t>Backup konfigurasi setiap ada perubahan</t>
  </si>
  <si>
    <t>IP Address Management (IPAM)</t>
  </si>
  <si>
    <t>Pemetaan IP address semua device: server, endpoint, AP, printer</t>
  </si>
  <si>
    <t>IPAM tool / spreadsheet</t>
  </si>
  <si>
    <t>Selama aktif</t>
  </si>
  <si>
    <t>A.8.20</t>
  </si>
  <si>
    <t>SSL/TLS Certificate Register</t>
  </si>
  <si>
    <t>Daftar sertifikat SSL: domain, expiry, CA, pemilik</t>
  </si>
  <si>
    <t>Spreadsheet / tool</t>
  </si>
  <si>
    <t>Sesuai masa aktif sertifikat</t>
  </si>
  <si>
    <t>A.8.24</t>
  </si>
  <si>
    <t>Tinggi — expired = downtime</t>
  </si>
  <si>
    <t>Alert 60 hari sebelum expired</t>
  </si>
  <si>
    <t>Data Center Physical Layout &amp; Access Log</t>
  </si>
  <si>
    <t>Denah server room, log akses fisik (kartu + biometrik), CCTV recording</t>
  </si>
  <si>
    <t>Karyawan IT</t>
  </si>
  <si>
    <t>PDF + video</t>
  </si>
  <si>
    <t>CCTV: 90 hari; log akses: 1 thn</t>
  </si>
  <si>
    <t>A.7.2, A.7.4</t>
  </si>
  <si>
    <t>Tinggi — fisik tidak terlindungi</t>
  </si>
  <si>
    <t>Log mengandung data biometrik karyawan</t>
  </si>
  <si>
    <t>7</t>
  </si>
  <si>
    <t>Kapasitas &amp; Monitoring Report</t>
  </si>
  <si>
    <t>Laporan utilisasi CPU, RAM, storage, bandwidth harian/bulanan</t>
  </si>
  <si>
    <t>Dashboard / CSV export</t>
  </si>
  <si>
    <t>3 bulan (raw), 1 thn (agregat)</t>
  </si>
  <si>
    <t>IT Ops</t>
  </si>
  <si>
    <t>A.8.6</t>
  </si>
  <si>
    <t>Rendah</t>
  </si>
  <si>
    <t>8</t>
  </si>
  <si>
    <t>Backup &amp; Recovery Log</t>
  </si>
  <si>
    <t>Log hasil backup harian, mingguan, bulanan; hasil tes restore</t>
  </si>
  <si>
    <t>Kewajiban hukum / kontrak</t>
  </si>
  <si>
    <t>Log file</t>
  </si>
  <si>
    <t>1 thn</t>
  </si>
  <si>
    <t>A.8.13, SOP-REP</t>
  </si>
  <si>
    <t>Kritis jika hilang — tidak bisa restore</t>
  </si>
  <si>
    <t>Verifikasi backup wajib setiap hari</t>
  </si>
  <si>
    <t>9</t>
  </si>
  <si>
    <t>UPS &amp; Genset Maintenance Log</t>
  </si>
  <si>
    <t>Log pemeliharaan perangkat power backup, hasil tes beban</t>
  </si>
  <si>
    <t>Word / PDF</t>
  </si>
  <si>
    <t>3 thn</t>
  </si>
  <si>
    <t>IT Infra / GA</t>
  </si>
  <si>
    <t>A.7.11</t>
  </si>
  <si>
    <t xml:space="preserve">  C. IT GOVERNANCE &amp; VENDOR MANAGEMENT</t>
  </si>
  <si>
    <t>IT Governance</t>
  </si>
  <si>
    <t>Software License Register</t>
  </si>
  <si>
    <t>Daftar lisensi software aktif: vendor, jumlah seat, expiry, biaya</t>
  </si>
  <si>
    <t>Spreadsheet</t>
  </si>
  <si>
    <t>Selama lisensi aktif + 3 thn</t>
  </si>
  <si>
    <t>A.5.9</t>
  </si>
  <si>
    <t>Sedang — compliance risk</t>
  </si>
  <si>
    <t>Audit SAM tahunan</t>
  </si>
  <si>
    <t>IT Risk Register</t>
  </si>
  <si>
    <t>Daftar risiko TI: ancaman, kerentanan, skor risiko, penanganan</t>
  </si>
  <si>
    <t>Excel / GRC tool</t>
  </si>
  <si>
    <t>Update semesteran</t>
  </si>
  <si>
    <t>CTISO / IT Governance</t>
  </si>
  <si>
    <t>Klausul 6.1.2</t>
  </si>
  <si>
    <t>Tinggi jika bocor ke ancaman</t>
  </si>
  <si>
    <t>Disampaikan dalam Management Review</t>
  </si>
  <si>
    <t>IT Budget &amp; Realisasi</t>
  </si>
  <si>
    <t>Rencana dan realisasi anggaran TI per tahun</t>
  </si>
  <si>
    <t>Excel</t>
  </si>
  <si>
    <t>CTISO / Finance</t>
  </si>
  <si>
    <t>POJK</t>
  </si>
  <si>
    <t>Sedang — bocor ke kompetitor</t>
  </si>
  <si>
    <t>Vendor Contract &amp; SLA TI</t>
  </si>
  <si>
    <t>Kontrak, SLA, NDA, DPA dengan vendor TI (cloud, core system, software)</t>
  </si>
  <si>
    <t>Karyawan vendor</t>
  </si>
  <si>
    <t>PDF / DMS</t>
  </si>
  <si>
    <t>10 thn pasca kontrak</t>
  </si>
  <si>
    <t>Legal / IT Governance</t>
  </si>
  <si>
    <t>A.5.20, SOP-SCM</t>
  </si>
  <si>
    <t>Tinggi — sengketa / kebocoran</t>
  </si>
  <si>
    <t>DPA wajib untuk vendor yang proses data nasabah</t>
  </si>
  <si>
    <t>Vendor Security Assessment (VSAQ)</t>
  </si>
  <si>
    <t>Hasil penilaian keamanan vendor TI kritis sebelum/saat kontrak</t>
  </si>
  <si>
    <t>Spreadsheet / PDF</t>
  </si>
  <si>
    <t>Selama kontrak aktif + 2 thn</t>
  </si>
  <si>
    <t>CISO</t>
  </si>
  <si>
    <t>A.5.19, SOP-SCM</t>
  </si>
  <si>
    <t>Review tahunan untuk vendor kritis</t>
  </si>
  <si>
    <t>Change Management Log (CMB)</t>
  </si>
  <si>
    <t>Log seluruh perubahan TI yang melalui Change Management Board</t>
  </si>
  <si>
    <t>Ticketing system / Excel</t>
  </si>
  <si>
    <t>A.8.32</t>
  </si>
  <si>
    <t>IT Performance Scorecard</t>
  </si>
  <si>
    <t>KPI TI: uptime, SLA Help Desk, patch compliance, security metric</t>
  </si>
  <si>
    <t>PowerPoint / Excel</t>
  </si>
  <si>
    <t>Klausul 9.1</t>
  </si>
  <si>
    <t xml:space="preserve">  D. DEVELOPMENT &amp; SECURITY OPERATIONS (Dev &amp; SecOps)</t>
  </si>
  <si>
    <t>DevSecOps</t>
  </si>
  <si>
    <t>Source Code Aplikasi</t>
  </si>
  <si>
    <t>Kode sumber seluruh aplikasi internal: front-end, back-end, API</t>
  </si>
  <si>
    <t>Git repository (internal)</t>
  </si>
  <si>
    <t>Selama aplikasi aktif</t>
  </si>
  <si>
    <t>Dev Manager</t>
  </si>
  <si>
    <t>A.8.4, A.8.25</t>
  </si>
  <si>
    <t>Kritis — reverse engineering</t>
  </si>
  <si>
    <t>Tidak boleh di Git publik. Scan secret sebelum commit</t>
  </si>
  <si>
    <t>Vulnerability Assessment Report</t>
  </si>
  <si>
    <t>Hasil scan kerentanan (SAST, DAST, VA) per sistem dan aplikasi</t>
  </si>
  <si>
    <t>PDF / tool export</t>
  </si>
  <si>
    <t>2 thn</t>
  </si>
  <si>
    <t>A.8.8, SOP-NS</t>
  </si>
  <si>
    <t>Kritis — roadmap eksploitasi</t>
  </si>
  <si>
    <t>Distribusi SANGAT TERBATAS</t>
  </si>
  <si>
    <t>Penetration Testing Report</t>
  </si>
  <si>
    <t>Laporan pentest tahunan: temuan, CVSS score, bukti eksploitasi, rekomendasi</t>
  </si>
  <si>
    <t>PDF</t>
  </si>
  <si>
    <t>A.8.8</t>
  </si>
  <si>
    <t>Hanya CISO + CTISO + Direktur</t>
  </si>
  <si>
    <t>SIEM Alert &amp; Security Event Log</t>
  </si>
  <si>
    <t>Alert keamanan dari SIEM: intrusion attempt, anomali, brute force</t>
  </si>
  <si>
    <t>Karyawan (terkait akun)</t>
  </si>
  <si>
    <t>SIEM platform</t>
  </si>
  <si>
    <t>A.8.15, A.8.16</t>
  </si>
  <si>
    <t>Tinggi — forensik hilang</t>
  </si>
  <si>
    <t>Mengandung data akun karyawan</t>
  </si>
  <si>
    <t>SAST / DAST Scan Result</t>
  </si>
  <si>
    <t>Hasil analisis keamanan kode statis dan dinamis sebelum release</t>
  </si>
  <si>
    <t>Tool export (PDF/JSON)</t>
  </si>
  <si>
    <t>Sesuai versi release</t>
  </si>
  <si>
    <t>Dev / CISO</t>
  </si>
  <si>
    <t>A.8.25, A.8.26</t>
  </si>
  <si>
    <t>Kritis</t>
  </si>
  <si>
    <t>Mandatory pre-deployment gate</t>
  </si>
  <si>
    <t>API Documentation (Swagger / OpenAPI)</t>
  </si>
  <si>
    <t>Dokumentasi endpoint API internal, parameter, autentikasi</t>
  </si>
  <si>
    <t>Swagger / Confluence</t>
  </si>
  <si>
    <t>Sesuai versi API</t>
  </si>
  <si>
    <t>Kritis — API abuse</t>
  </si>
  <si>
    <t>Tidak dipublikasikan secara publik</t>
  </si>
  <si>
    <t>Release Note &amp; Deployment Log</t>
  </si>
  <si>
    <t>Catatan setiap release: versi, perubahan, tanggal, approver</t>
  </si>
  <si>
    <t>Confluence / Git</t>
  </si>
  <si>
    <t>DevSecOps Lead</t>
  </si>
  <si>
    <t>Patch Management Log</t>
  </si>
  <si>
    <t>Daftar patch yang diterapkan: sistem, tanggal, versi patch, status</t>
  </si>
  <si>
    <t>Spreadsheet / ITSM</t>
  </si>
  <si>
    <t>IT Admin</t>
  </si>
  <si>
    <t>A.8.8, SOP-OPS</t>
  </si>
  <si>
    <t>Critical patch ≤ 72 jam dari rilis</t>
  </si>
  <si>
    <t>Incident Response Log</t>
  </si>
  <si>
    <t>Rekaman insiden keamanan: kronologi, akar masalah, tindakan, lessons learned</t>
  </si>
  <si>
    <t>Karyawan / nasabah terdampak</t>
  </si>
  <si>
    <t>ITSM / PDF</t>
  </si>
  <si>
    <t>A.5.24-5.28, POJK</t>
  </si>
  <si>
    <t>Tinggi</t>
  </si>
  <si>
    <t>Laporan ke OJK wajib ≤ 14 hari kerja</t>
  </si>
  <si>
    <t xml:space="preserve">  E. IT HELP DESK &amp; USER ACCESS MANAGEMENT</t>
  </si>
  <si>
    <t>IT Help Desk</t>
  </si>
  <si>
    <t>Tiket Insiden &amp; Permintaan (ITSM)</t>
  </si>
  <si>
    <t>Log seluruh tiket IT: hardware, software, akses, komplain user</t>
  </si>
  <si>
    <t>Karyawan</t>
  </si>
  <si>
    <t>ITSM tool</t>
  </si>
  <si>
    <t>IT Help Desk Manager</t>
  </si>
  <si>
    <t>A.5.24, SLA</t>
  </si>
  <si>
    <t>Mengandung nama &amp; divisi karyawan</t>
  </si>
  <si>
    <t>User Access Request &amp; Approval Form</t>
  </si>
  <si>
    <t>Formulir pemberian, perubahan, pencabutan hak akses user</t>
  </si>
  <si>
    <t>Form digital / PDF</t>
  </si>
  <si>
    <t>3 thn pasca akses dicabut</t>
  </si>
  <si>
    <t>IT / HRD</t>
  </si>
  <si>
    <t>A.5.18, SOP-ACC</t>
  </si>
  <si>
    <t>Dual approval: atasan + IT</t>
  </si>
  <si>
    <t>Active Directory / LDAP User Database</t>
  </si>
  <si>
    <t>Database akun user: username, grup, role, status aktif/non-aktif</t>
  </si>
  <si>
    <t>Kewajiban kontrak</t>
  </si>
  <si>
    <t>AD / LDAP</t>
  </si>
  <si>
    <t>Akun non-aktif: 1 thn</t>
  </si>
  <si>
    <t>A.5.15, A.5.16</t>
  </si>
  <si>
    <t>Review akun setiap 6 bulan</t>
  </si>
  <si>
    <t>Privileged Account Register</t>
  </si>
  <si>
    <t>Daftar akun admin/super-user: nama, sistem, tanggal review, approver</t>
  </si>
  <si>
    <t>Spreadsheet / PAM tool</t>
  </si>
  <si>
    <t>Review kuartalan</t>
  </si>
  <si>
    <t>A.5.18, A.8.2</t>
  </si>
  <si>
    <t>MFA wajib. Review kuartalan mandatory</t>
  </si>
  <si>
    <t>Password Reset &amp; Authentication Log</t>
  </si>
  <si>
    <t>Log reset password, MFA enrollment, kegagalan login</t>
  </si>
  <si>
    <t>AD log / SIEM</t>
  </si>
  <si>
    <t>6 bulan</t>
  </si>
  <si>
    <t>IT Security</t>
  </si>
  <si>
    <t>A.5.17</t>
  </si>
  <si>
    <t xml:space="preserve">  F. DATA MANAGEMENT</t>
  </si>
  <si>
    <t>Data Management</t>
  </si>
  <si>
    <t>Data Dictionary / Kamus Data</t>
  </si>
  <si>
    <t>Definisi, tipe, format, dan aturan setiap field data di sistem</t>
  </si>
  <si>
    <t>Confluence / Excel</t>
  </si>
  <si>
    <t>Update per versi sistem</t>
  </si>
  <si>
    <t>Data Manager</t>
  </si>
  <si>
    <t>Data Lineage Document</t>
  </si>
  <si>
    <t>Peta aliran data dari sumber ke tujuan antar sistem, transformasi ETL</t>
  </si>
  <si>
    <t>Tool / diagram</t>
  </si>
  <si>
    <t>Sesuai arsitektur aktif</t>
  </si>
  <si>
    <t>Record of Processing Activity (ROPA)</t>
  </si>
  <si>
    <t>Catatan resmi seluruh aktivitas pemrosesan data pribadi (UU PDP Pasal 25)</t>
  </si>
  <si>
    <t>Nasabah, karyawan, vendor</t>
  </si>
  <si>
    <t>Update per perubahan aktivitas</t>
  </si>
  <si>
    <t>DPO / Legal</t>
  </si>
  <si>
    <t>A.5.34, SOP-ROPA</t>
  </si>
  <si>
    <t>Kritis — denda UU PDP</t>
  </si>
  <si>
    <t>Wajib tersedia untuk audit OJK/Komnas PDP</t>
  </si>
  <si>
    <t>Data Quality Report</t>
  </si>
  <si>
    <t>Laporan kualitas data: duplikat, null, outlier, konsistensi antar sistem</t>
  </si>
  <si>
    <t>Excel / BI tool</t>
  </si>
  <si>
    <t>Data Masking Configuration &amp; Log</t>
  </si>
  <si>
    <t>Konfigurasi aturan masking, log aktivitas masking per dataset</t>
  </si>
  <si>
    <t>Tool config / log</t>
  </si>
  <si>
    <t>CISO / DBA</t>
  </si>
  <si>
    <t>A.8.11, SOP-DM</t>
  </si>
  <si>
    <t>Log masking wajib diaudit kuartalan</t>
  </si>
  <si>
    <t>Backup &amp; Replication Configuration</t>
  </si>
  <si>
    <t>Konfigurasi jadwal backup, target, enkripsi, verifikasi integritas</t>
  </si>
  <si>
    <t>Config file / dokumentasi</t>
  </si>
  <si>
    <t>Sesuai konfigurasi aktif</t>
  </si>
  <si>
    <t>AI Model Registry</t>
  </si>
  <si>
    <t>Register model AI/ML: nama, versi, data training, tujuan, approver, status</t>
  </si>
  <si>
    <t>Nasabah (jika model scoring)</t>
  </si>
  <si>
    <t>Kepentingan bisnis sah / kontrak</t>
  </si>
  <si>
    <t>Spreadsheet / MLOps</t>
  </si>
  <si>
    <t>Selama model aktif + 3 thn</t>
  </si>
  <si>
    <t>Data Manager / CISO</t>
  </si>
  <si>
    <t>A.8.25, SOP-AI</t>
  </si>
  <si>
    <t>Tinggi — keputusan otomatis nasabah</t>
  </si>
  <si>
    <t>DPIA jika model berdampak signifikan ke nasabah</t>
  </si>
  <si>
    <t>TOTAL ENTRI DATA IT:</t>
  </si>
  <si>
    <t>WHERE — LOKASI PENYIMPANAN DATA IT  |  PT Asuransi [Nama Perusahaan]</t>
  </si>
  <si>
    <t>Nama Data</t>
  </si>
  <si>
    <t>Lokasi Utama
(Primary Storage)</t>
  </si>
  <si>
    <t>Sistem / Platform</t>
  </si>
  <si>
    <t>On-Prem /
Cloud / Hybrid</t>
  </si>
  <si>
    <t>Nama Cloud Provider
(jika cloud)</t>
  </si>
  <si>
    <t>Negara Penyimpanan</t>
  </si>
  <si>
    <t>Enkripsi
at-rest?</t>
  </si>
  <si>
    <t>Enkripsi
in-transit?</t>
  </si>
  <si>
    <t>Akses dari
Luar Kantor?</t>
  </si>
  <si>
    <t>Metode Akses
Jarak Jauh</t>
  </si>
  <si>
    <t>Lokasi Backup</t>
  </si>
  <si>
    <t>Media Backup</t>
  </si>
  <si>
    <t>Retensi
Backup</t>
  </si>
  <si>
    <t>Catatan Lokasi</t>
  </si>
  <si>
    <t>Database Polis (Oracle DB)</t>
  </si>
  <si>
    <t>Server produksi on-prem</t>
  </si>
  <si>
    <t>Oracle DB 19c</t>
  </si>
  <si>
    <t>On-Prem</t>
  </si>
  <si>
    <t>Indonesia (DC Utama)</t>
  </si>
  <si>
    <t>Tidak langsung</t>
  </si>
  <si>
    <t>VPN + Jump Server</t>
  </si>
  <si>
    <t>DR Site + Cloud Backup</t>
  </si>
  <si>
    <t>Tape + Object Storage</t>
  </si>
  <si>
    <t>Replika ke DR site setiap 15 menit</t>
  </si>
  <si>
    <t>Indonesia</t>
  </si>
  <si>
    <t>Tidak</t>
  </si>
  <si>
    <t>DR Site</t>
  </si>
  <si>
    <t>Object Storage Terenkripsi</t>
  </si>
  <si>
    <t>Log Transaksi (Audit Trail)</t>
  </si>
  <si>
    <t>SIEM + cold storage</t>
  </si>
  <si>
    <t>Splunk / ELK</t>
  </si>
  <si>
    <t>Hybrid</t>
  </si>
  <si>
    <t>Cloud provider lokal</t>
  </si>
  <si>
    <t>Ya — SOC team</t>
  </si>
  <si>
    <t>VPN + MFA</t>
  </si>
  <si>
    <t>Cold Archive Storage</t>
  </si>
  <si>
    <t>Object Storage</t>
  </si>
  <si>
    <t>Immutable storage</t>
  </si>
  <si>
    <t>Konfigurasi API &amp; Interface</t>
  </si>
  <si>
    <t>Internal config server</t>
  </si>
  <si>
    <t>HashiCorp Vault / Git internal</t>
  </si>
  <si>
    <t>Backup harian</t>
  </si>
  <si>
    <t>Encrypted file</t>
  </si>
  <si>
    <t>Secret management via Vault</t>
  </si>
  <si>
    <t>Network Diagram &amp; Konfigurasi</t>
  </si>
  <si>
    <t>Network management server</t>
  </si>
  <si>
    <t>Visio + Cisco APIC</t>
  </si>
  <si>
    <t>Server backup internal</t>
  </si>
  <si>
    <t>Encrypted ZIP</t>
  </si>
  <si>
    <t>Per versi</t>
  </si>
  <si>
    <t>Akses sangat terbatas</t>
  </si>
  <si>
    <t>IPAM &amp; SSL Register</t>
  </si>
  <si>
    <t>IT ops server</t>
  </si>
  <si>
    <t>IPAM tool + spreadsheet</t>
  </si>
  <si>
    <t>IT ops backup</t>
  </si>
  <si>
    <t>Excel terenkripsi</t>
  </si>
  <si>
    <t>Data Center Access Log</t>
  </si>
  <si>
    <t>Physical access control system</t>
  </si>
  <si>
    <t>Lenel / Genetec</t>
  </si>
  <si>
    <t>Security server backup</t>
  </si>
  <si>
    <t>Encrypted log</t>
  </si>
  <si>
    <t>Vendor Contract &amp; SLA</t>
  </si>
  <si>
    <t>Document Management System (DMS)</t>
  </si>
  <si>
    <t>SharePoint / DMS</t>
  </si>
  <si>
    <t>Microsoft 365 (lokal)</t>
  </si>
  <si>
    <t>Ya — via DMS web</t>
  </si>
  <si>
    <t>SSO + MFA</t>
  </si>
  <si>
    <t>SharePoint backup</t>
  </si>
  <si>
    <t>Cloud backup (M365)</t>
  </si>
  <si>
    <t>GRC Tool / Sharepoint</t>
  </si>
  <si>
    <t>MetricStream / Excel</t>
  </si>
  <si>
    <t>Ya — VPN</t>
  </si>
  <si>
    <t>GRC backup</t>
  </si>
  <si>
    <t>Encrypted export</t>
  </si>
  <si>
    <t>Source Code</t>
  </si>
  <si>
    <t>Internal Git repository</t>
  </si>
  <si>
    <t>GitLab CE / Bitbucket</t>
  </si>
  <si>
    <t>Ya — developer</t>
  </si>
  <si>
    <t>VPN + SSH key + MFA</t>
  </si>
  <si>
    <t>Git backup ke NAS</t>
  </si>
  <si>
    <t>Encrypted repository</t>
  </si>
  <si>
    <t>Tidak di cloud publik</t>
  </si>
  <si>
    <t>VA / Pentest Report</t>
  </si>
  <si>
    <t>Secure document server</t>
  </si>
  <si>
    <t>Encrypted file store</t>
  </si>
  <si>
    <t>Security backup</t>
  </si>
  <si>
    <t>AES-256 ZIP</t>
  </si>
  <si>
    <t>Distribusi sangat terbatas</t>
  </si>
  <si>
    <t>SIEM Events</t>
  </si>
  <si>
    <t>Splunk Enterprise</t>
  </si>
  <si>
    <t>Cloud lokal</t>
  </si>
  <si>
    <t>Ya — SOC</t>
  </si>
  <si>
    <t>VPN + MFA + certificate</t>
  </si>
  <si>
    <t>Cold storage</t>
  </si>
  <si>
    <t>Object storage</t>
  </si>
  <si>
    <t>ITSM Ticket System</t>
  </si>
  <si>
    <t>ITSM cloud / on-prem</t>
  </si>
  <si>
    <t>ServiceNow / Freshservice</t>
  </si>
  <si>
    <t>Ya</t>
  </si>
  <si>
    <t>ITSM backup</t>
  </si>
  <si>
    <t>Cloud backup</t>
  </si>
  <si>
    <t>Active Directory</t>
  </si>
  <si>
    <t>Domain Controller (DC)</t>
  </si>
  <si>
    <t>Windows Server AD</t>
  </si>
  <si>
    <t>VPN + LDAPS</t>
  </si>
  <si>
    <t>DC backup (daily)</t>
  </si>
  <si>
    <t>Backup exec</t>
  </si>
  <si>
    <t>1 thn data non-aktif</t>
  </si>
  <si>
    <t>ROPA</t>
  </si>
  <si>
    <t>DMS / GRC Tool</t>
  </si>
  <si>
    <t>SharePoint / Excel</t>
  </si>
  <si>
    <t>DMS backup</t>
  </si>
  <si>
    <t>Update berkelanjutan</t>
  </si>
  <si>
    <t>Wajib tersedia untuk regulator</t>
  </si>
  <si>
    <t>AI Model Registry &amp; Artefak</t>
  </si>
  <si>
    <t>MLOps platform / file server</t>
  </si>
  <si>
    <t>MLflow / file server</t>
  </si>
  <si>
    <t>Ya — Data team</t>
  </si>
  <si>
    <t>NAS backup</t>
  </si>
  <si>
    <t>Encrypted storage</t>
  </si>
  <si>
    <t>3 thn pasca dekomisi</t>
  </si>
  <si>
    <t>ACCESS — SIAPA YANG DAPAT MENGAKSES DATA IT  |  PT Asuransi [Nama Perusahaan]</t>
  </si>
  <si>
    <t>Tim Internal
yang Mengakses</t>
  </si>
  <si>
    <t>Level Akses
Internal</t>
  </si>
  <si>
    <t>Pihak Ketiga
(Vendor/Mitra)</t>
  </si>
  <si>
    <t>Tipe Akses
Pihak Ketiga</t>
  </si>
  <si>
    <t>NDA /
DPA Ada?</t>
  </si>
  <si>
    <t>Right-to-
Audit?</t>
  </si>
  <si>
    <t>Akses Admin
(Privileged)?</t>
  </si>
  <si>
    <t>MFA
Diaktifkan?</t>
  </si>
  <si>
    <t>Akses
Monitoring?</t>
  </si>
  <si>
    <t>Review Akses
(Frekuensi)</t>
  </si>
  <si>
    <t>Akses Dibatasi
by Role (RBAC)?</t>
  </si>
  <si>
    <t>Akses Log
Retensi</t>
  </si>
  <si>
    <t>Vendor Negara
Asal</t>
  </si>
  <si>
    <t>Transfer
Data Asing?</t>
  </si>
  <si>
    <t>Catatan Akses</t>
  </si>
  <si>
    <t>Database Polis</t>
  </si>
  <si>
    <t>IT Core System, DBA, Internal Audit</t>
  </si>
  <si>
    <t>Read/Write (terbatas)</t>
  </si>
  <si>
    <t>Vendor core system (read-only saat support)</t>
  </si>
  <si>
    <t>Read-only + monitor</t>
  </si>
  <si>
    <t>Vendor akses via jump server + VPN</t>
  </si>
  <si>
    <t>IT Core System, Claims Dept, Actuary</t>
  </si>
  <si>
    <t>Read/Write</t>
  </si>
  <si>
    <t>Reasuradur (summary saja)</t>
  </si>
  <si>
    <t>Summary export</t>
  </si>
  <si>
    <t>Indonesia/Asing</t>
  </si>
  <si>
    <t>Transfer ke reasuransi — cek SOP-IT-016</t>
  </si>
  <si>
    <t>Log Audit Trail</t>
  </si>
  <si>
    <t>IT Security, CISO, Internal Audit</t>
  </si>
  <si>
    <t>Read-only</t>
  </si>
  <si>
    <t>Bulanan</t>
  </si>
  <si>
    <t>Immutable — tidak ada write access</t>
  </si>
  <si>
    <t>Konfigurasi API</t>
  </si>
  <si>
    <t>IT Core System Lead, CTISO</t>
  </si>
  <si>
    <t>Full admin</t>
  </si>
  <si>
    <t>Vendor integrasi (saat implementasi)</t>
  </si>
  <si>
    <t>Terbatas + didampingi</t>
  </si>
  <si>
    <t>Kuartalan</t>
  </si>
  <si>
    <t>Network Diagram</t>
  </si>
  <si>
    <t>IT Infra, CTISO</t>
  </si>
  <si>
    <t>Full</t>
  </si>
  <si>
    <t>Vendor jaringan (saat implementasi)</t>
  </si>
  <si>
    <t>Terbatas</t>
  </si>
  <si>
    <t>Tahunan</t>
  </si>
  <si>
    <t>Dokumen fisik hanya di server terkunci</t>
  </si>
  <si>
    <t>IT Infra Manager, Security, Internal Audit</t>
  </si>
  <si>
    <t>Vendor Contract</t>
  </si>
  <si>
    <t>Legal, CTISO, Procurement</t>
  </si>
  <si>
    <t>CTISO, Risk Management, CISO</t>
  </si>
  <si>
    <t>Konsultan ISO (saat audit)</t>
  </si>
  <si>
    <t>Developer, DevSecOps, CTISO</t>
  </si>
  <si>
    <t>Read/Write/Admin (RBAC)</t>
  </si>
  <si>
    <t>Semesteran</t>
  </si>
  <si>
    <t>Akses per repo, bukan seluruh codebase</t>
  </si>
  <si>
    <t>CISO, CTISO, IT Security, Direksi</t>
  </si>
  <si>
    <t>Pentest vendor (saat engagement)</t>
  </si>
  <si>
    <t>Submit report only</t>
  </si>
  <si>
    <t>Per engagement</t>
  </si>
  <si>
    <t>Sangat terbatas</t>
  </si>
  <si>
    <t>IT Security, CISO, SOC team</t>
  </si>
  <si>
    <t>Read/Analyze</t>
  </si>
  <si>
    <t>MSSP (jika digunakan)</t>
  </si>
  <si>
    <t>Monitored access</t>
  </si>
  <si>
    <t>IT Admin, IT Help Desk (level tertentu)</t>
  </si>
  <si>
    <t>Admin/Read</t>
  </si>
  <si>
    <t>Privileged account review wajib kuartalan</t>
  </si>
  <si>
    <t>CISO, CTISO, IT Admin Lead</t>
  </si>
  <si>
    <t>Auditor eksternal (saat audit)</t>
  </si>
  <si>
    <t>DPO, Legal, Compliance, CISO</t>
  </si>
  <si>
    <t>OJK/Komnas PDP (saat audit)</t>
  </si>
  <si>
    <t>Berkelanjutan</t>
  </si>
  <si>
    <t>Wajib diserahkan ke regulator jika diminta</t>
  </si>
  <si>
    <t>Data Manager, CISO, CTISO</t>
  </si>
  <si>
    <t>WHY — TUJUAN &amp; DASAR HUKUM PEMROSESAN DATA IT  |  PT Asuransi [Nama Perusahaan]</t>
  </si>
  <si>
    <t>Tujuan Pemrosesan
(Why We Hold It)</t>
  </si>
  <si>
    <t>Dasar Hukum UU PDP
(Legal Basis)</t>
  </si>
  <si>
    <t>Pasal UU PDP /
Regulasi Spesifik</t>
  </si>
  <si>
    <t>Diperlukan untuk
Layanan Inti?</t>
  </si>
  <si>
    <t>Minimisasi Data?
(Hanya yang diperlukan)</t>
  </si>
  <si>
    <t>Periode Retensi
&amp; Alasan</t>
  </si>
  <si>
    <t>Prosedur Penghapusan</t>
  </si>
  <si>
    <t>Hak Subjek Data
yang Berlaku</t>
  </si>
  <si>
    <t>Notifikasi
ke Subjek?</t>
  </si>
  <si>
    <t>DPIA
Status</t>
  </si>
  <si>
    <t>Catatan WHY</t>
  </si>
  <si>
    <t>Pengelolaan kontrak asuransi, kalkulasi premi, perpanjangan, laporan ke OJK</t>
  </si>
  <si>
    <t>Pelaksanaan kontrak</t>
  </si>
  <si>
    <t>UU Asuransi No.40/2014 Pasal 5; UU PDP Pasal 20</t>
  </si>
  <si>
    <t>10 thn pasca polis berakhir (kewajiban regulasi)</t>
  </si>
  <si>
    <t>Penghapusan terjadwal pasca retensi; log penghapusan wajib</t>
  </si>
  <si>
    <t>Akses, koreksi, portabilitas</t>
  </si>
  <si>
    <t>DPIA selesai</t>
  </si>
  <si>
    <t>Data inti bisnis — wajib ada</t>
  </si>
  <si>
    <t>Pemrosesan dan pembayaran klaim, anti-fraud, laporan aktuaria</t>
  </si>
  <si>
    <t>Pelaksanaan kontrak + Kewajiban hukum</t>
  </si>
  <si>
    <t>UU Asuransi No.40/2014; UU PDP; POJK</t>
  </si>
  <si>
    <t>Penghapusan terjadwal + notifikasi ke nasabah</t>
  </si>
  <si>
    <t>Akses, koreksi, penghapusan (terbatas)</t>
  </si>
  <si>
    <t>✓ (saat klaim)</t>
  </si>
  <si>
    <t>Forensik keamanan, kepatuhan regulasi, bukti audit</t>
  </si>
  <si>
    <t>POJK; UU PDP Pasal 25; ISO 27001 A.8.15</t>
  </si>
  <si>
    <t>5 thn (kewajiban POJK)</t>
  </si>
  <si>
    <t>Penghapusan otomatis via policy; diarsipkan</t>
  </si>
  <si>
    <t>Tidak berlaku langsung (log internal)</t>
  </si>
  <si>
    <t>Tidak perlu DPIA</t>
  </si>
  <si>
    <t>Immutable — tidak bisa dimodifikasi</t>
  </si>
  <si>
    <t>Operasional integrasi sistem antar platform</t>
  </si>
  <si>
    <t>Kontrak vendor; PKS bancassurance</t>
  </si>
  <si>
    <t>Selama kontrak aktif</t>
  </si>
  <si>
    <t>Penghapusan saat kontrak berakhir</t>
  </si>
  <si>
    <t>Tidak berlaku</t>
  </si>
  <si>
    <t>Tidak perlu</t>
  </si>
  <si>
    <t>Pengelolaan dan keamanan infrastruktur jaringan</t>
  </si>
  <si>
    <t>ISO 27001 A.8.20; POJK</t>
  </si>
  <si>
    <t>Per versi arsitektur</t>
  </si>
  <si>
    <t>Update/arsip saat arsitektur berubah</t>
  </si>
  <si>
    <t>DC Access Log</t>
  </si>
  <si>
    <t>Keamanan fisik gedung/data center, investigasi insiden</t>
  </si>
  <si>
    <t>Kepentingan bisnis sah + Kewajiban hukum</t>
  </si>
  <si>
    <t>ISO 27001 A.7; UU PDP (biometrik karyawan)</t>
  </si>
  <si>
    <t>Penghapusan otomatis</t>
  </si>
  <si>
    <t>Akses karyawan (data biometrik sendiri)</t>
  </si>
  <si>
    <t>✓ (policy HC)</t>
  </si>
  <si>
    <t>Pertimbangkan DPIA</t>
  </si>
  <si>
    <t>Data biometrik karyawan — perlu perhatian UU PDP</t>
  </si>
  <si>
    <t>Pengelolaan hubungan kontraktual dan kepatuhan DPA</t>
  </si>
  <si>
    <t>UU PDP Pasal 18; Kontrak</t>
  </si>
  <si>
    <t>10 thn pasca berakhir</t>
  </si>
  <si>
    <t>Penghapusan terjadwal</t>
  </si>
  <si>
    <t>Manajemen risiko TI, kepatuhan ISO 27001 dan OJK</t>
  </si>
  <si>
    <t>Kewajiban hukum + Kepentingan bisnis sah</t>
  </si>
  <si>
    <t>ISO 27001 Klausul 6.1; POJK</t>
  </si>
  <si>
    <t>Arsip per siklus review</t>
  </si>
  <si>
    <t>Pengembangan dan pemeliharaan aplikasi</t>
  </si>
  <si>
    <t>Kontrak kerja; ISO 27001 A.8.4</t>
  </si>
  <si>
    <t>Penghapusan aman saat dekomisi aplikasi</t>
  </si>
  <si>
    <t>IP perusahaan — aset bisnis kritis</t>
  </si>
  <si>
    <t>Deteksi ancaman, investigasi insiden keamanan</t>
  </si>
  <si>
    <t>POJK; ISO 27001 A.8.15, A.8.16</t>
  </si>
  <si>
    <t>Penghapusan otomatis via retention policy</t>
  </si>
  <si>
    <t>Tidak berlaku langsung</t>
  </si>
  <si>
    <t>Mengandung data akun karyawan secara tidak langsung</t>
  </si>
  <si>
    <t>Manajemen identitas dan akses user seluruh sistem</t>
  </si>
  <si>
    <t>Pelaksanaan kontrak (kerja) + Kepentingan bisnis sah</t>
  </si>
  <si>
    <t>UU PDP (data karyawan); Kontrak kerja</t>
  </si>
  <si>
    <t>Selama kerja aktif + 1 thn</t>
  </si>
  <si>
    <t>Anonymisasi/hapus pasca offboarding</t>
  </si>
  <si>
    <t>Akses, koreksi (via HR)</t>
  </si>
  <si>
    <t>✓ (via HC policy)</t>
  </si>
  <si>
    <t>Manajemen akun admin, akuntabilitas, audit</t>
  </si>
  <si>
    <t>ISO 27001 A.5.18; POJK</t>
  </si>
  <si>
    <t>Review kuartalan; arsip 2 thn</t>
  </si>
  <si>
    <t>Penghapusan saat akun dicabut</t>
  </si>
  <si>
    <t>DPIA dipertimbangkan</t>
  </si>
  <si>
    <t>Kepatuhan UU PDP Pasal 25 — wajib oleh hukum</t>
  </si>
  <si>
    <t>UU PDP No.27/2022 Pasal 25; GDPR Art.30</t>
  </si>
  <si>
    <t>Tidak dihapus selama entitas beroperasi</t>
  </si>
  <si>
    <t>Hak akses oleh Komnas PDP</t>
  </si>
  <si>
    <t>DPIA wajib jika ada aktivitas berisiko tinggi</t>
  </si>
  <si>
    <t>Dokumen wajib UU PDP — tersedia untuk regulato</t>
  </si>
  <si>
    <t>Akuntabilitas penggunaan AI, kepatuhan UU PDP Pasal 16 (keputusan otomatis)</t>
  </si>
  <si>
    <t>UU PDP Pasal 16; ISO 27001 A.8.25</t>
  </si>
  <si>
    <t>Penghapusan saat model dekomisi; arsip metadata</t>
  </si>
  <si>
    <t>Hak keberatan atas keputusan otomatis</t>
  </si>
  <si>
    <t>✓ (jika berdampak)</t>
  </si>
  <si>
    <t>DPIA wajib jika profiling nasabah</t>
  </si>
  <si>
    <t>Profiling nasabah wajib DPIA</t>
  </si>
  <si>
    <t>PERMISSIONS — USER &amp; SYSTEM PERMISSION TRACKER (IT)  |  PT Asuransi [Nama Perusahaan]</t>
  </si>
  <si>
    <t>Gunakan sheet ini untuk melacak siapa yang memiliki akses ke sistem apa, level akses, dan apakah MFA/2FA aktif. Update saat ada perubahan jabatan, rekrutmen, atau offboarding.</t>
  </si>
  <si>
    <t>Nama Lengkap</t>
  </si>
  <si>
    <t>Jabatan / Peran</t>
  </si>
  <si>
    <t>Divisi / Tim</t>
  </si>
  <si>
    <t>Tipe Akun
(Internal/Vendor/Kontrak)</t>
  </si>
  <si>
    <t>Sistem 1:
Core Insurance</t>
  </si>
  <si>
    <t>Sistem 2:
IT Infra / Network</t>
  </si>
  <si>
    <t>Sistem 3:
DevOps / Git</t>
  </si>
  <si>
    <t>Sistem 4:
SIEM / Security</t>
  </si>
  <si>
    <t>Sistem 5:
HRIS</t>
  </si>
  <si>
    <t>Sistem 6:
GRC / Risk Tool</t>
  </si>
  <si>
    <t>Sistem 7:
Document Mgmt</t>
  </si>
  <si>
    <t>Akun Admin
(Privileged)?</t>
  </si>
  <si>
    <t>MFA / 2FA
Aktif?</t>
  </si>
  <si>
    <t>Last Password
Change</t>
  </si>
  <si>
    <t>Last Access
Review</t>
  </si>
  <si>
    <t>Status Akun</t>
  </si>
  <si>
    <t xml:space="preserve">  Level Akses: A = Admin/Full  |  RW = Read+Write  |  R = Read Only  |  — = Tidak ada akses  |  Tipe: INT=Internal  |  VEN=Vendor  |  CNT=Kontrak  |  EXT=Eksternal</t>
  </si>
  <si>
    <t>Core System / IT Ops</t>
  </si>
  <si>
    <t>INT</t>
  </si>
  <si>
    <t>A</t>
  </si>
  <si>
    <t>R</t>
  </si>
  <si>
    <t>RW</t>
  </si>
  <si>
    <t>[Tgl]</t>
  </si>
  <si>
    <t>PIC utama core system &amp; EOD</t>
  </si>
  <si>
    <t>Database Administrator (DBA)</t>
  </si>
  <si>
    <t>Akses DB langsung — monitor ketat</t>
  </si>
  <si>
    <t>IT Infrastructure Manager</t>
  </si>
  <si>
    <t>Security Ops</t>
  </si>
  <si>
    <t>Akses read ke semua sistem untuk monitoring</t>
  </si>
  <si>
    <t>DevSecOps / Developer Lead</t>
  </si>
  <si>
    <t>Dev &amp; SecOps</t>
  </si>
  <si>
    <t>Front End Developer</t>
  </si>
  <si>
    <t>Apps Development</t>
  </si>
  <si>
    <t>Akses repo front-end only</t>
  </si>
  <si>
    <t>Back End Developer</t>
  </si>
  <si>
    <t>Akses repo back-end only</t>
  </si>
  <si>
    <t>IT Help Desk L1</t>
  </si>
  <si>
    <t>Reset password only — no system access</t>
  </si>
  <si>
    <t>IT Help Desk L2</t>
  </si>
  <si>
    <t>10</t>
  </si>
  <si>
    <t>11</t>
  </si>
  <si>
    <t>Business Analyst</t>
  </si>
  <si>
    <t>Digital Solution</t>
  </si>
  <si>
    <t>12</t>
  </si>
  <si>
    <t>Pimpinan IT</t>
  </si>
  <si>
    <t>Executive access — read all</t>
  </si>
  <si>
    <t>13</t>
  </si>
  <si>
    <t>Support Engineer</t>
  </si>
  <si>
    <t>Vendor Core System</t>
  </si>
  <si>
    <t>VEN</t>
  </si>
  <si>
    <t>Aktif (saat support)</t>
  </si>
  <si>
    <t>Akses hanya saat tiket support aktif — via jump server</t>
  </si>
  <si>
    <t>14</t>
  </si>
  <si>
    <t>Security Consultant</t>
  </si>
  <si>
    <t>Vendor Pentest</t>
  </si>
  <si>
    <t>Temp</t>
  </si>
  <si>
    <t>Akses saat engagement pentest saja — dicabut setelahnya</t>
  </si>
  <si>
    <t>15</t>
  </si>
  <si>
    <t>Network Engineer</t>
  </si>
  <si>
    <t>Vendor Network</t>
  </si>
  <si>
    <t>Aktif (terbatas)</t>
  </si>
  <si>
    <t>Akses terbatas saat maintenance terjadwal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</si>
</sst>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FFF2CC"/>
      <name val="Arial"/>
      <charset val="1"/>
    </font>
    <font>
      <sz val="9"/>
      <color rgb="FF000000"/>
      <name val="Arial"/>
      <charset val="1"/>
    </font>
    <font>
      <b/>
      <sz val="11"/>
      <color rgb="FFFFFFFF"/>
      <name val="Arial"/>
      <charset val="1"/>
    </font>
    <font>
      <b/>
      <sz val="9"/>
      <color rgb="FFC00000"/>
      <name val="Arial"/>
      <charset val="1"/>
    </font>
    <font>
      <b/>
      <sz val="9"/>
      <color rgb="FFC55A11"/>
      <name val="Arial"/>
      <charset val="1"/>
    </font>
    <font>
      <b/>
      <sz val="9"/>
      <color rgb="FF7B6000"/>
      <name val="Arial"/>
      <charset val="1"/>
    </font>
    <font>
      <b/>
      <sz val="11"/>
      <color rgb="FFFFF2CC"/>
      <name val="Arial"/>
      <charset val="1"/>
    </font>
    <font>
      <b/>
      <sz val="10"/>
      <color rgb="FFFFFFFF"/>
      <name val="Arial"/>
      <charset val="1"/>
    </font>
    <font>
      <i/>
      <sz val="9"/>
      <color rgb="FF595959"/>
      <name val="Arial"/>
      <charset val="1"/>
    </font>
    <font>
      <i/>
      <sz val="8"/>
      <color rgb="FFFFFFFF"/>
      <name val="Arial"/>
      <charset val="1"/>
    </font>
    <font>
      <sz val="9"/>
      <color rgb="FF7B6000"/>
      <name val="Arial"/>
      <charset val="1"/>
    </font>
    <font>
      <sz val="9"/>
      <color rgb="FF375623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C00000"/>
        <bgColor rgb="FF800000"/>
      </patternFill>
    </fill>
    <fill>
      <patternFill patternType="solid">
        <fgColor rgb="FFC55A11"/>
        <bgColor rgb="FF993300"/>
      </patternFill>
    </fill>
    <fill>
      <patternFill patternType="solid">
        <fgColor rgb="FF7B6000"/>
        <bgColor rgb="FF595959"/>
      </patternFill>
    </fill>
    <fill>
      <patternFill patternType="solid">
        <fgColor rgb="FF375623"/>
        <bgColor rgb="FF595959"/>
      </patternFill>
    </fill>
    <fill>
      <patternFill patternType="solid">
        <fgColor rgb="FF7B0000"/>
        <bgColor rgb="FF800000"/>
      </patternFill>
    </fill>
    <fill>
      <patternFill patternType="solid">
        <fgColor rgb="FFF2F2F2"/>
        <bgColor rgb="FFE2EFDA"/>
      </patternFill>
    </fill>
    <fill>
      <patternFill patternType="solid">
        <fgColor rgb="FF2E75B6"/>
        <bgColor rgb="FF008080"/>
      </patternFill>
    </fill>
    <fill>
      <patternFill patternType="solid">
        <fgColor rgb="FF1A5276"/>
        <bgColor rgb="FF1F3864"/>
      </patternFill>
    </fill>
    <fill>
      <patternFill patternType="solid">
        <fgColor rgb="FF4B2D8B"/>
        <bgColor rgb="FF1F3864"/>
      </patternFill>
    </fill>
    <fill>
      <patternFill patternType="solid">
        <fgColor rgb="FF595959"/>
        <bgColor rgb="FF375623"/>
      </patternFill>
    </fill>
    <fill>
      <patternFill patternType="solid">
        <fgColor rgb="FFFFFFFF"/>
        <bgColor rgb="FFF2F2F2"/>
      </patternFill>
    </fill>
    <fill>
      <patternFill patternType="solid">
        <fgColor rgb="FFFFE0E0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E0E0"/>
      </patternFill>
    </fill>
    <fill>
      <patternFill patternType="solid">
        <fgColor rgb="FFFFD0D0"/>
        <bgColor rgb="FFFFE0E0"/>
      </patternFill>
    </fill>
    <fill>
      <patternFill patternType="solid">
        <fgColor rgb="FFFFF2CC"/>
        <bgColor rgb="FFFCE4D6"/>
      </patternFill>
    </fill>
    <fill>
      <patternFill patternType="solid">
        <fgColor rgb="FFD6E4F7"/>
        <bgColor rgb="FFE2EFDA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5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4" fillId="8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16" borderId="2" xfId="0" applyFont="1" applyFill="1" applyBorder="1" applyAlignment="1">
      <alignment horizontal="left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8" fillId="18" borderId="2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left" vertical="center" wrapText="1"/>
    </xf>
    <xf numFmtId="0" fontId="4" fillId="15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0" fillId="9" borderId="1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8" borderId="2" xfId="0" applyFon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left" vertical="center" wrapText="1"/>
    </xf>
    <xf numFmtId="0" fontId="12" fillId="1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7B6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1A5276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0E0"/>
      <rgbColor rgb="FFE2EFDA"/>
      <rgbColor rgb="FFFCE4D6"/>
      <rgbColor rgb="FF99CCFF"/>
      <rgbColor rgb="FFFF99CC"/>
      <rgbColor rgb="FFCC99FF"/>
      <rgbColor rgb="FFFFD0D0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4B2D8B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T54"/>
  <sheetViews>
    <sheetView showGridLines="0" zoomScaleNormal="100" workbookViewId="0">
      <pane ySplit="4" topLeftCell="A33" activePane="bottomLeft" state="frozen"/>
      <selection pane="bottomLeft" sqref="A1:T1"/>
    </sheetView>
  </sheetViews>
  <sheetFormatPr defaultColWidth="8.6640625" defaultRowHeight="14.4" x14ac:dyDescent="0.3"/>
  <cols>
    <col min="1" max="1" width="4" customWidth="1"/>
    <col min="2" max="2" width="20" customWidth="1"/>
    <col min="3" max="3" width="28" customWidth="1"/>
    <col min="4" max="4" width="32" customWidth="1"/>
    <col min="5" max="5" width="12" customWidth="1"/>
    <col min="6" max="6" width="10" customWidth="1"/>
    <col min="7" max="7" width="12" customWidth="1"/>
    <col min="8" max="9" width="18" customWidth="1"/>
    <col min="10" max="10" width="14" customWidth="1"/>
    <col min="11" max="11" width="12" customWidth="1"/>
    <col min="12" max="13" width="10" customWidth="1"/>
    <col min="14" max="14" width="14" customWidth="1"/>
    <col min="15" max="15" width="16" customWidth="1"/>
    <col min="16" max="16" width="10" customWidth="1"/>
    <col min="17" max="17" width="16" customWidth="1"/>
    <col min="18" max="18" width="14" customWidth="1"/>
    <col min="19" max="19" width="12" customWidth="1"/>
    <col min="20" max="20" width="22" customWidth="1"/>
  </cols>
  <sheetData>
    <row r="1" spans="1:20" ht="36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3.5" customHeight="1" x14ac:dyDescent="0.3"/>
    <row r="3" spans="1:20" ht="21.75" customHeight="1" x14ac:dyDescent="0.3">
      <c r="A3" s="13" t="s">
        <v>1</v>
      </c>
      <c r="B3" s="13"/>
      <c r="C3" s="12" t="s">
        <v>2</v>
      </c>
      <c r="D3" s="12"/>
      <c r="E3" s="11" t="s">
        <v>3</v>
      </c>
      <c r="F3" s="11"/>
      <c r="G3" s="10" t="s">
        <v>4</v>
      </c>
      <c r="H3" s="10"/>
      <c r="I3" s="9" t="s">
        <v>5</v>
      </c>
      <c r="J3" s="9"/>
      <c r="K3" s="8" t="s">
        <v>6</v>
      </c>
      <c r="L3" s="8"/>
      <c r="O3" s="7" t="s">
        <v>7</v>
      </c>
      <c r="P3" s="7"/>
    </row>
    <row r="4" spans="1:20" ht="42" customHeight="1" x14ac:dyDescent="0.3">
      <c r="A4" s="15" t="s">
        <v>8</v>
      </c>
      <c r="B4" s="15" t="s">
        <v>9</v>
      </c>
      <c r="C4" s="15" t="s">
        <v>10</v>
      </c>
      <c r="D4" s="15" t="s">
        <v>11</v>
      </c>
      <c r="E4" s="16" t="s">
        <v>12</v>
      </c>
      <c r="F4" s="17" t="s">
        <v>13</v>
      </c>
      <c r="G4" s="18" t="s">
        <v>14</v>
      </c>
      <c r="H4" s="19" t="s">
        <v>15</v>
      </c>
      <c r="I4" s="19" t="s">
        <v>16</v>
      </c>
      <c r="J4" s="20" t="s">
        <v>17</v>
      </c>
      <c r="K4" s="20" t="s">
        <v>18</v>
      </c>
      <c r="L4" s="21" t="s">
        <v>19</v>
      </c>
      <c r="M4" s="21" t="s">
        <v>20</v>
      </c>
      <c r="N4" s="21" t="s">
        <v>21</v>
      </c>
      <c r="O4" s="22" t="s">
        <v>22</v>
      </c>
      <c r="P4" s="18" t="s">
        <v>23</v>
      </c>
      <c r="Q4" s="23" t="s">
        <v>24</v>
      </c>
      <c r="R4" s="16" t="s">
        <v>25</v>
      </c>
      <c r="S4" s="20" t="s">
        <v>26</v>
      </c>
      <c r="T4" s="23" t="s">
        <v>27</v>
      </c>
    </row>
    <row r="5" spans="1:20" ht="21.75" customHeight="1" x14ac:dyDescent="0.3">
      <c r="A5" s="6" t="s">
        <v>28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ht="31.5" customHeight="1" x14ac:dyDescent="0.3">
      <c r="A6" s="24" t="s">
        <v>29</v>
      </c>
      <c r="B6" s="25" t="s">
        <v>30</v>
      </c>
      <c r="C6" s="25" t="s">
        <v>31</v>
      </c>
      <c r="D6" s="25" t="s">
        <v>32</v>
      </c>
      <c r="E6" s="26" t="s">
        <v>33</v>
      </c>
      <c r="F6" s="27" t="s">
        <v>34</v>
      </c>
      <c r="G6" s="24" t="s">
        <v>35</v>
      </c>
      <c r="H6" s="25" t="s">
        <v>36</v>
      </c>
      <c r="I6" s="25" t="s">
        <v>37</v>
      </c>
      <c r="J6" s="24" t="s">
        <v>38</v>
      </c>
      <c r="K6" s="24" t="s">
        <v>39</v>
      </c>
      <c r="L6" s="28" t="s">
        <v>34</v>
      </c>
      <c r="M6" s="28" t="s">
        <v>34</v>
      </c>
      <c r="N6" s="25" t="s">
        <v>40</v>
      </c>
      <c r="O6" s="25" t="s">
        <v>41</v>
      </c>
      <c r="P6" s="29" t="s">
        <v>34</v>
      </c>
      <c r="Q6" s="25" t="s">
        <v>42</v>
      </c>
      <c r="R6" s="30" t="s">
        <v>43</v>
      </c>
      <c r="S6" s="28" t="s">
        <v>44</v>
      </c>
      <c r="T6" s="25" t="s">
        <v>45</v>
      </c>
    </row>
    <row r="7" spans="1:20" ht="31.5" customHeight="1" x14ac:dyDescent="0.3">
      <c r="A7" s="31" t="s">
        <v>46</v>
      </c>
      <c r="B7" s="32" t="s">
        <v>30</v>
      </c>
      <c r="C7" s="32" t="s">
        <v>47</v>
      </c>
      <c r="D7" s="32" t="s">
        <v>48</v>
      </c>
      <c r="E7" s="29" t="s">
        <v>49</v>
      </c>
      <c r="F7" s="27" t="s">
        <v>34</v>
      </c>
      <c r="G7" s="31" t="s">
        <v>35</v>
      </c>
      <c r="H7" s="32" t="s">
        <v>36</v>
      </c>
      <c r="I7" s="32" t="s">
        <v>50</v>
      </c>
      <c r="J7" s="31" t="s">
        <v>51</v>
      </c>
      <c r="K7" s="31" t="s">
        <v>52</v>
      </c>
      <c r="L7" s="28" t="s">
        <v>34</v>
      </c>
      <c r="M7" s="28" t="s">
        <v>34</v>
      </c>
      <c r="N7" s="32" t="s">
        <v>53</v>
      </c>
      <c r="O7" s="32" t="s">
        <v>41</v>
      </c>
      <c r="P7" s="31" t="s">
        <v>35</v>
      </c>
      <c r="Q7" s="32" t="s">
        <v>54</v>
      </c>
      <c r="R7" s="33" t="s">
        <v>55</v>
      </c>
      <c r="S7" s="28" t="s">
        <v>44</v>
      </c>
      <c r="T7" s="32" t="s">
        <v>56</v>
      </c>
    </row>
    <row r="8" spans="1:20" ht="31.5" customHeight="1" x14ac:dyDescent="0.3">
      <c r="A8" s="24" t="s">
        <v>57</v>
      </c>
      <c r="B8" s="25" t="s">
        <v>30</v>
      </c>
      <c r="C8" s="25" t="s">
        <v>58</v>
      </c>
      <c r="D8" s="25" t="s">
        <v>59</v>
      </c>
      <c r="E8" s="29" t="s">
        <v>49</v>
      </c>
      <c r="F8" s="27" t="s">
        <v>34</v>
      </c>
      <c r="G8" s="34" t="s">
        <v>34</v>
      </c>
      <c r="H8" s="25" t="s">
        <v>60</v>
      </c>
      <c r="I8" s="25" t="s">
        <v>50</v>
      </c>
      <c r="J8" s="24" t="s">
        <v>61</v>
      </c>
      <c r="K8" s="24" t="s">
        <v>52</v>
      </c>
      <c r="L8" s="28" t="s">
        <v>34</v>
      </c>
      <c r="M8" s="28" t="s">
        <v>34</v>
      </c>
      <c r="N8" s="25" t="s">
        <v>53</v>
      </c>
      <c r="O8" s="25" t="s">
        <v>41</v>
      </c>
      <c r="P8" s="29" t="s">
        <v>34</v>
      </c>
      <c r="Q8" s="25" t="s">
        <v>62</v>
      </c>
      <c r="R8" s="30" t="s">
        <v>63</v>
      </c>
      <c r="S8" s="28" t="s">
        <v>44</v>
      </c>
      <c r="T8" s="25" t="s">
        <v>64</v>
      </c>
    </row>
    <row r="9" spans="1:20" ht="31.5" customHeight="1" x14ac:dyDescent="0.3">
      <c r="A9" s="31" t="s">
        <v>65</v>
      </c>
      <c r="B9" s="32" t="s">
        <v>30</v>
      </c>
      <c r="C9" s="32" t="s">
        <v>66</v>
      </c>
      <c r="D9" s="32" t="s">
        <v>67</v>
      </c>
      <c r="E9" s="26" t="s">
        <v>33</v>
      </c>
      <c r="F9" s="31" t="s">
        <v>35</v>
      </c>
      <c r="G9" s="31" t="s">
        <v>35</v>
      </c>
      <c r="H9" s="32" t="s">
        <v>68</v>
      </c>
      <c r="I9" s="32" t="s">
        <v>69</v>
      </c>
      <c r="J9" s="31" t="s">
        <v>70</v>
      </c>
      <c r="K9" s="31" t="s">
        <v>71</v>
      </c>
      <c r="L9" s="28" t="s">
        <v>34</v>
      </c>
      <c r="M9" s="28" t="s">
        <v>34</v>
      </c>
      <c r="N9" s="32" t="s">
        <v>72</v>
      </c>
      <c r="O9" s="32" t="s">
        <v>73</v>
      </c>
      <c r="P9" s="31" t="s">
        <v>35</v>
      </c>
      <c r="Q9" s="32" t="s">
        <v>74</v>
      </c>
      <c r="R9" s="30" t="s">
        <v>75</v>
      </c>
      <c r="S9" s="28" t="s">
        <v>44</v>
      </c>
      <c r="T9" s="32" t="s">
        <v>76</v>
      </c>
    </row>
    <row r="10" spans="1:20" ht="31.5" customHeight="1" x14ac:dyDescent="0.3">
      <c r="A10" s="24" t="s">
        <v>77</v>
      </c>
      <c r="B10" s="25" t="s">
        <v>30</v>
      </c>
      <c r="C10" s="25" t="s">
        <v>78</v>
      </c>
      <c r="D10" s="25" t="s">
        <v>79</v>
      </c>
      <c r="E10" s="29" t="s">
        <v>49</v>
      </c>
      <c r="F10" s="27" t="s">
        <v>34</v>
      </c>
      <c r="G10" s="24" t="s">
        <v>35</v>
      </c>
      <c r="H10" s="25" t="s">
        <v>80</v>
      </c>
      <c r="I10" s="25" t="s">
        <v>81</v>
      </c>
      <c r="J10" s="24" t="s">
        <v>51</v>
      </c>
      <c r="K10" s="24" t="s">
        <v>82</v>
      </c>
      <c r="L10" s="28" t="s">
        <v>34</v>
      </c>
      <c r="M10" s="28" t="s">
        <v>34</v>
      </c>
      <c r="N10" s="25" t="s">
        <v>83</v>
      </c>
      <c r="O10" s="25" t="s">
        <v>84</v>
      </c>
      <c r="P10" s="24" t="s">
        <v>35</v>
      </c>
      <c r="Q10" s="25" t="s">
        <v>85</v>
      </c>
      <c r="R10" s="33" t="s">
        <v>86</v>
      </c>
      <c r="S10" s="28" t="s">
        <v>44</v>
      </c>
      <c r="T10" s="25" t="s">
        <v>87</v>
      </c>
    </row>
    <row r="11" spans="1:20" ht="31.5" customHeight="1" x14ac:dyDescent="0.3">
      <c r="A11" s="31" t="s">
        <v>88</v>
      </c>
      <c r="B11" s="32" t="s">
        <v>30</v>
      </c>
      <c r="C11" s="32" t="s">
        <v>89</v>
      </c>
      <c r="D11" s="32" t="s">
        <v>90</v>
      </c>
      <c r="E11" s="26" t="s">
        <v>33</v>
      </c>
      <c r="F11" s="31" t="s">
        <v>35</v>
      </c>
      <c r="G11" s="31" t="s">
        <v>35</v>
      </c>
      <c r="H11" s="32" t="s">
        <v>68</v>
      </c>
      <c r="I11" s="32" t="s">
        <v>69</v>
      </c>
      <c r="J11" s="31" t="s">
        <v>70</v>
      </c>
      <c r="K11" s="31" t="s">
        <v>91</v>
      </c>
      <c r="L11" s="28" t="s">
        <v>34</v>
      </c>
      <c r="M11" s="28" t="s">
        <v>34</v>
      </c>
      <c r="N11" s="32" t="s">
        <v>92</v>
      </c>
      <c r="O11" s="32" t="s">
        <v>41</v>
      </c>
      <c r="P11" s="31" t="s">
        <v>35</v>
      </c>
      <c r="Q11" s="32" t="s">
        <v>93</v>
      </c>
      <c r="R11" s="30" t="s">
        <v>94</v>
      </c>
      <c r="S11" s="28" t="s">
        <v>44</v>
      </c>
      <c r="T11" s="32" t="s">
        <v>95</v>
      </c>
    </row>
    <row r="12" spans="1:20" ht="21.75" customHeight="1" x14ac:dyDescent="0.3">
      <c r="A12" s="5" t="s">
        <v>96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31.5" customHeight="1" x14ac:dyDescent="0.3">
      <c r="A13" s="24" t="s">
        <v>29</v>
      </c>
      <c r="B13" s="25" t="s">
        <v>97</v>
      </c>
      <c r="C13" s="25" t="s">
        <v>98</v>
      </c>
      <c r="D13" s="25" t="s">
        <v>99</v>
      </c>
      <c r="E13" s="35" t="s">
        <v>100</v>
      </c>
      <c r="F13" s="24" t="s">
        <v>35</v>
      </c>
      <c r="G13" s="24" t="s">
        <v>35</v>
      </c>
      <c r="H13" s="25" t="s">
        <v>68</v>
      </c>
      <c r="I13" s="25" t="s">
        <v>69</v>
      </c>
      <c r="J13" s="24" t="s">
        <v>101</v>
      </c>
      <c r="K13" s="24" t="s">
        <v>102</v>
      </c>
      <c r="L13" s="27" t="s">
        <v>35</v>
      </c>
      <c r="M13" s="28" t="s">
        <v>34</v>
      </c>
      <c r="N13" s="25" t="s">
        <v>103</v>
      </c>
      <c r="O13" s="25" t="s">
        <v>104</v>
      </c>
      <c r="P13" s="24" t="s">
        <v>35</v>
      </c>
      <c r="Q13" s="25" t="s">
        <v>105</v>
      </c>
      <c r="R13" s="36" t="s">
        <v>106</v>
      </c>
      <c r="S13" s="28" t="s">
        <v>44</v>
      </c>
      <c r="T13" s="25" t="s">
        <v>107</v>
      </c>
    </row>
    <row r="14" spans="1:20" ht="31.5" customHeight="1" x14ac:dyDescent="0.3">
      <c r="A14" s="31" t="s">
        <v>46</v>
      </c>
      <c r="B14" s="32" t="s">
        <v>97</v>
      </c>
      <c r="C14" s="32" t="s">
        <v>108</v>
      </c>
      <c r="D14" s="32" t="s">
        <v>109</v>
      </c>
      <c r="E14" s="26" t="s">
        <v>33</v>
      </c>
      <c r="F14" s="31" t="s">
        <v>35</v>
      </c>
      <c r="G14" s="31" t="s">
        <v>35</v>
      </c>
      <c r="H14" s="32" t="s">
        <v>68</v>
      </c>
      <c r="I14" s="32" t="s">
        <v>69</v>
      </c>
      <c r="J14" s="31" t="s">
        <v>70</v>
      </c>
      <c r="K14" s="31" t="s">
        <v>110</v>
      </c>
      <c r="L14" s="28" t="s">
        <v>34</v>
      </c>
      <c r="M14" s="28" t="s">
        <v>34</v>
      </c>
      <c r="N14" s="32" t="s">
        <v>111</v>
      </c>
      <c r="O14" s="32" t="s">
        <v>73</v>
      </c>
      <c r="P14" s="31" t="s">
        <v>35</v>
      </c>
      <c r="Q14" s="32" t="s">
        <v>112</v>
      </c>
      <c r="R14" s="30" t="s">
        <v>113</v>
      </c>
      <c r="S14" s="28" t="s">
        <v>44</v>
      </c>
      <c r="T14" s="32" t="s">
        <v>114</v>
      </c>
    </row>
    <row r="15" spans="1:20" ht="31.5" customHeight="1" x14ac:dyDescent="0.3">
      <c r="A15" s="24" t="s">
        <v>57</v>
      </c>
      <c r="B15" s="25" t="s">
        <v>97</v>
      </c>
      <c r="C15" s="25" t="s">
        <v>115</v>
      </c>
      <c r="D15" s="25" t="s">
        <v>116</v>
      </c>
      <c r="E15" s="26" t="s">
        <v>33</v>
      </c>
      <c r="F15" s="24" t="s">
        <v>35</v>
      </c>
      <c r="G15" s="24" t="s">
        <v>35</v>
      </c>
      <c r="H15" s="25" t="s">
        <v>68</v>
      </c>
      <c r="I15" s="25" t="s">
        <v>69</v>
      </c>
      <c r="J15" s="24" t="s">
        <v>70</v>
      </c>
      <c r="K15" s="24" t="s">
        <v>117</v>
      </c>
      <c r="L15" s="28" t="s">
        <v>34</v>
      </c>
      <c r="M15" s="28" t="s">
        <v>34</v>
      </c>
      <c r="N15" s="25" t="s">
        <v>118</v>
      </c>
      <c r="O15" s="25" t="s">
        <v>119</v>
      </c>
      <c r="P15" s="24" t="s">
        <v>35</v>
      </c>
      <c r="Q15" s="25" t="s">
        <v>120</v>
      </c>
      <c r="R15" s="30" t="s">
        <v>121</v>
      </c>
      <c r="S15" s="28" t="s">
        <v>44</v>
      </c>
      <c r="T15" s="25" t="s">
        <v>122</v>
      </c>
    </row>
    <row r="16" spans="1:20" ht="31.5" customHeight="1" x14ac:dyDescent="0.3">
      <c r="A16" s="31" t="s">
        <v>65</v>
      </c>
      <c r="B16" s="32" t="s">
        <v>97</v>
      </c>
      <c r="C16" s="32" t="s">
        <v>123</v>
      </c>
      <c r="D16" s="32" t="s">
        <v>124</v>
      </c>
      <c r="E16" s="29" t="s">
        <v>49</v>
      </c>
      <c r="F16" s="31" t="s">
        <v>35</v>
      </c>
      <c r="G16" s="31" t="s">
        <v>35</v>
      </c>
      <c r="H16" s="32" t="s">
        <v>68</v>
      </c>
      <c r="I16" s="32" t="s">
        <v>69</v>
      </c>
      <c r="J16" s="31" t="s">
        <v>101</v>
      </c>
      <c r="K16" s="31" t="s">
        <v>125</v>
      </c>
      <c r="L16" s="27" t="s">
        <v>35</v>
      </c>
      <c r="M16" s="28" t="s">
        <v>34</v>
      </c>
      <c r="N16" s="32" t="s">
        <v>126</v>
      </c>
      <c r="O16" s="32" t="s">
        <v>119</v>
      </c>
      <c r="P16" s="31" t="s">
        <v>35</v>
      </c>
      <c r="Q16" s="32" t="s">
        <v>127</v>
      </c>
      <c r="R16" s="36" t="s">
        <v>101</v>
      </c>
      <c r="S16" s="28" t="s">
        <v>44</v>
      </c>
      <c r="T16" s="32"/>
    </row>
    <row r="17" spans="1:20" ht="31.5" customHeight="1" x14ac:dyDescent="0.3">
      <c r="A17" s="24" t="s">
        <v>77</v>
      </c>
      <c r="B17" s="25" t="s">
        <v>97</v>
      </c>
      <c r="C17" s="25" t="s">
        <v>128</v>
      </c>
      <c r="D17" s="25" t="s">
        <v>129</v>
      </c>
      <c r="E17" s="29" t="s">
        <v>49</v>
      </c>
      <c r="F17" s="24" t="s">
        <v>35</v>
      </c>
      <c r="G17" s="24" t="s">
        <v>35</v>
      </c>
      <c r="H17" s="25" t="s">
        <v>68</v>
      </c>
      <c r="I17" s="25" t="s">
        <v>69</v>
      </c>
      <c r="J17" s="24" t="s">
        <v>70</v>
      </c>
      <c r="K17" s="24" t="s">
        <v>130</v>
      </c>
      <c r="L17" s="27" t="s">
        <v>35</v>
      </c>
      <c r="M17" s="28" t="s">
        <v>34</v>
      </c>
      <c r="N17" s="25" t="s">
        <v>131</v>
      </c>
      <c r="O17" s="25" t="s">
        <v>119</v>
      </c>
      <c r="P17" s="24" t="s">
        <v>35</v>
      </c>
      <c r="Q17" s="25" t="s">
        <v>132</v>
      </c>
      <c r="R17" s="33" t="s">
        <v>133</v>
      </c>
      <c r="S17" s="28" t="s">
        <v>44</v>
      </c>
      <c r="T17" s="25" t="s">
        <v>134</v>
      </c>
    </row>
    <row r="18" spans="1:20" ht="31.5" customHeight="1" x14ac:dyDescent="0.3">
      <c r="A18" s="31" t="s">
        <v>88</v>
      </c>
      <c r="B18" s="32" t="s">
        <v>97</v>
      </c>
      <c r="C18" s="32" t="s">
        <v>135</v>
      </c>
      <c r="D18" s="32" t="s">
        <v>136</v>
      </c>
      <c r="E18" s="29" t="s">
        <v>49</v>
      </c>
      <c r="F18" s="27" t="s">
        <v>34</v>
      </c>
      <c r="G18" s="31" t="s">
        <v>35</v>
      </c>
      <c r="H18" s="32" t="s">
        <v>137</v>
      </c>
      <c r="I18" s="32" t="s">
        <v>69</v>
      </c>
      <c r="J18" s="31" t="s">
        <v>101</v>
      </c>
      <c r="K18" s="31" t="s">
        <v>138</v>
      </c>
      <c r="L18" s="28" t="s">
        <v>34</v>
      </c>
      <c r="M18" s="28" t="s">
        <v>34</v>
      </c>
      <c r="N18" s="32" t="s">
        <v>139</v>
      </c>
      <c r="O18" s="32" t="s">
        <v>104</v>
      </c>
      <c r="P18" s="31" t="s">
        <v>35</v>
      </c>
      <c r="Q18" s="32" t="s">
        <v>140</v>
      </c>
      <c r="R18" s="33" t="s">
        <v>141</v>
      </c>
      <c r="S18" s="28" t="s">
        <v>44</v>
      </c>
      <c r="T18" s="32" t="s">
        <v>142</v>
      </c>
    </row>
    <row r="19" spans="1:20" ht="31.5" customHeight="1" x14ac:dyDescent="0.3">
      <c r="A19" s="24" t="s">
        <v>143</v>
      </c>
      <c r="B19" s="25" t="s">
        <v>97</v>
      </c>
      <c r="C19" s="25" t="s">
        <v>144</v>
      </c>
      <c r="D19" s="25" t="s">
        <v>145</v>
      </c>
      <c r="E19" s="35" t="s">
        <v>100</v>
      </c>
      <c r="F19" s="24" t="s">
        <v>35</v>
      </c>
      <c r="G19" s="24" t="s">
        <v>35</v>
      </c>
      <c r="H19" s="25" t="s">
        <v>68</v>
      </c>
      <c r="I19" s="25" t="s">
        <v>69</v>
      </c>
      <c r="J19" s="24" t="s">
        <v>61</v>
      </c>
      <c r="K19" s="24" t="s">
        <v>146</v>
      </c>
      <c r="L19" s="27" t="s">
        <v>35</v>
      </c>
      <c r="M19" s="28" t="s">
        <v>34</v>
      </c>
      <c r="N19" s="25" t="s">
        <v>147</v>
      </c>
      <c r="O19" s="25" t="s">
        <v>148</v>
      </c>
      <c r="P19" s="24" t="s">
        <v>35</v>
      </c>
      <c r="Q19" s="25" t="s">
        <v>149</v>
      </c>
      <c r="R19" s="37" t="s">
        <v>150</v>
      </c>
      <c r="S19" s="28" t="s">
        <v>44</v>
      </c>
      <c r="T19" s="25"/>
    </row>
    <row r="20" spans="1:20" ht="31.5" customHeight="1" x14ac:dyDescent="0.3">
      <c r="A20" s="31" t="s">
        <v>151</v>
      </c>
      <c r="B20" s="32" t="s">
        <v>97</v>
      </c>
      <c r="C20" s="32" t="s">
        <v>152</v>
      </c>
      <c r="D20" s="32" t="s">
        <v>153</v>
      </c>
      <c r="E20" s="29" t="s">
        <v>49</v>
      </c>
      <c r="F20" s="31" t="s">
        <v>35</v>
      </c>
      <c r="G20" s="31" t="s">
        <v>35</v>
      </c>
      <c r="H20" s="32" t="s">
        <v>68</v>
      </c>
      <c r="I20" s="32" t="s">
        <v>154</v>
      </c>
      <c r="J20" s="31" t="s">
        <v>61</v>
      </c>
      <c r="K20" s="31" t="s">
        <v>155</v>
      </c>
      <c r="L20" s="28" t="s">
        <v>34</v>
      </c>
      <c r="M20" s="28" t="s">
        <v>34</v>
      </c>
      <c r="N20" s="32" t="s">
        <v>156</v>
      </c>
      <c r="O20" s="32" t="s">
        <v>148</v>
      </c>
      <c r="P20" s="31" t="s">
        <v>35</v>
      </c>
      <c r="Q20" s="32" t="s">
        <v>157</v>
      </c>
      <c r="R20" s="30" t="s">
        <v>158</v>
      </c>
      <c r="S20" s="28" t="s">
        <v>44</v>
      </c>
      <c r="T20" s="32" t="s">
        <v>159</v>
      </c>
    </row>
    <row r="21" spans="1:20" ht="31.5" customHeight="1" x14ac:dyDescent="0.3">
      <c r="A21" s="24" t="s">
        <v>160</v>
      </c>
      <c r="B21" s="25" t="s">
        <v>97</v>
      </c>
      <c r="C21" s="25" t="s">
        <v>161</v>
      </c>
      <c r="D21" s="25" t="s">
        <v>162</v>
      </c>
      <c r="E21" s="35" t="s">
        <v>100</v>
      </c>
      <c r="F21" s="24" t="s">
        <v>35</v>
      </c>
      <c r="G21" s="24" t="s">
        <v>35</v>
      </c>
      <c r="H21" s="25" t="s">
        <v>68</v>
      </c>
      <c r="I21" s="25" t="s">
        <v>69</v>
      </c>
      <c r="J21" s="24" t="s">
        <v>70</v>
      </c>
      <c r="K21" s="24" t="s">
        <v>163</v>
      </c>
      <c r="L21" s="27" t="s">
        <v>35</v>
      </c>
      <c r="M21" s="28" t="s">
        <v>34</v>
      </c>
      <c r="N21" s="25" t="s">
        <v>164</v>
      </c>
      <c r="O21" s="25" t="s">
        <v>165</v>
      </c>
      <c r="P21" s="24" t="s">
        <v>35</v>
      </c>
      <c r="Q21" s="25" t="s">
        <v>166</v>
      </c>
      <c r="R21" s="37" t="s">
        <v>150</v>
      </c>
      <c r="S21" s="28" t="s">
        <v>44</v>
      </c>
      <c r="T21" s="25"/>
    </row>
    <row r="22" spans="1:20" ht="21.75" customHeight="1" x14ac:dyDescent="0.3">
      <c r="A22" s="4" t="s">
        <v>167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 ht="31.5" customHeight="1" x14ac:dyDescent="0.3">
      <c r="A23" s="24" t="s">
        <v>29</v>
      </c>
      <c r="B23" s="25" t="s">
        <v>168</v>
      </c>
      <c r="C23" s="25" t="s">
        <v>169</v>
      </c>
      <c r="D23" s="25" t="s">
        <v>170</v>
      </c>
      <c r="E23" s="35" t="s">
        <v>100</v>
      </c>
      <c r="F23" s="24" t="s">
        <v>35</v>
      </c>
      <c r="G23" s="24" t="s">
        <v>35</v>
      </c>
      <c r="H23" s="25" t="s">
        <v>68</v>
      </c>
      <c r="I23" s="25" t="s">
        <v>50</v>
      </c>
      <c r="J23" s="24" t="s">
        <v>70</v>
      </c>
      <c r="K23" s="24" t="s">
        <v>171</v>
      </c>
      <c r="L23" s="27" t="s">
        <v>35</v>
      </c>
      <c r="M23" s="28" t="s">
        <v>34</v>
      </c>
      <c r="N23" s="25" t="s">
        <v>172</v>
      </c>
      <c r="O23" s="25" t="s">
        <v>168</v>
      </c>
      <c r="P23" s="24" t="s">
        <v>35</v>
      </c>
      <c r="Q23" s="25" t="s">
        <v>173</v>
      </c>
      <c r="R23" s="36" t="s">
        <v>174</v>
      </c>
      <c r="S23" s="28" t="s">
        <v>44</v>
      </c>
      <c r="T23" s="25" t="s">
        <v>175</v>
      </c>
    </row>
    <row r="24" spans="1:20" ht="31.5" customHeight="1" x14ac:dyDescent="0.3">
      <c r="A24" s="31" t="s">
        <v>46</v>
      </c>
      <c r="B24" s="32" t="s">
        <v>168</v>
      </c>
      <c r="C24" s="32" t="s">
        <v>176</v>
      </c>
      <c r="D24" s="32" t="s">
        <v>177</v>
      </c>
      <c r="E24" s="29" t="s">
        <v>49</v>
      </c>
      <c r="F24" s="31" t="s">
        <v>35</v>
      </c>
      <c r="G24" s="31" t="s">
        <v>35</v>
      </c>
      <c r="H24" s="32" t="s">
        <v>68</v>
      </c>
      <c r="I24" s="32" t="s">
        <v>81</v>
      </c>
      <c r="J24" s="31" t="s">
        <v>101</v>
      </c>
      <c r="K24" s="31" t="s">
        <v>178</v>
      </c>
      <c r="L24" s="28" t="s">
        <v>34</v>
      </c>
      <c r="M24" s="28" t="s">
        <v>34</v>
      </c>
      <c r="N24" s="32" t="s">
        <v>179</v>
      </c>
      <c r="O24" s="32" t="s">
        <v>180</v>
      </c>
      <c r="P24" s="29" t="s">
        <v>34</v>
      </c>
      <c r="Q24" s="32" t="s">
        <v>181</v>
      </c>
      <c r="R24" s="33" t="s">
        <v>182</v>
      </c>
      <c r="S24" s="28" t="s">
        <v>44</v>
      </c>
      <c r="T24" s="32" t="s">
        <v>183</v>
      </c>
    </row>
    <row r="25" spans="1:20" ht="31.5" customHeight="1" x14ac:dyDescent="0.3">
      <c r="A25" s="24" t="s">
        <v>57</v>
      </c>
      <c r="B25" s="25" t="s">
        <v>168</v>
      </c>
      <c r="C25" s="25" t="s">
        <v>184</v>
      </c>
      <c r="D25" s="25" t="s">
        <v>185</v>
      </c>
      <c r="E25" s="29" t="s">
        <v>49</v>
      </c>
      <c r="F25" s="24" t="s">
        <v>35</v>
      </c>
      <c r="G25" s="24" t="s">
        <v>35</v>
      </c>
      <c r="H25" s="25" t="s">
        <v>68</v>
      </c>
      <c r="I25" s="25" t="s">
        <v>69</v>
      </c>
      <c r="J25" s="24" t="s">
        <v>70</v>
      </c>
      <c r="K25" s="24" t="s">
        <v>186</v>
      </c>
      <c r="L25" s="28" t="s">
        <v>34</v>
      </c>
      <c r="M25" s="28" t="s">
        <v>34</v>
      </c>
      <c r="N25" s="25" t="s">
        <v>83</v>
      </c>
      <c r="O25" s="25" t="s">
        <v>187</v>
      </c>
      <c r="P25" s="24" t="s">
        <v>35</v>
      </c>
      <c r="Q25" s="25" t="s">
        <v>188</v>
      </c>
      <c r="R25" s="36" t="s">
        <v>189</v>
      </c>
      <c r="S25" s="28" t="s">
        <v>44</v>
      </c>
      <c r="T25" s="25"/>
    </row>
    <row r="26" spans="1:20" ht="31.5" customHeight="1" x14ac:dyDescent="0.3">
      <c r="A26" s="31" t="s">
        <v>65</v>
      </c>
      <c r="B26" s="32" t="s">
        <v>168</v>
      </c>
      <c r="C26" s="32" t="s">
        <v>190</v>
      </c>
      <c r="D26" s="32" t="s">
        <v>191</v>
      </c>
      <c r="E26" s="29" t="s">
        <v>49</v>
      </c>
      <c r="F26" s="27" t="s">
        <v>34</v>
      </c>
      <c r="G26" s="31" t="s">
        <v>35</v>
      </c>
      <c r="H26" s="32" t="s">
        <v>192</v>
      </c>
      <c r="I26" s="32" t="s">
        <v>50</v>
      </c>
      <c r="J26" s="31" t="s">
        <v>101</v>
      </c>
      <c r="K26" s="31" t="s">
        <v>193</v>
      </c>
      <c r="L26" s="28" t="s">
        <v>34</v>
      </c>
      <c r="M26" s="28" t="s">
        <v>34</v>
      </c>
      <c r="N26" s="32" t="s">
        <v>194</v>
      </c>
      <c r="O26" s="32" t="s">
        <v>195</v>
      </c>
      <c r="P26" s="31" t="s">
        <v>35</v>
      </c>
      <c r="Q26" s="32" t="s">
        <v>196</v>
      </c>
      <c r="R26" s="33" t="s">
        <v>197</v>
      </c>
      <c r="S26" s="28" t="s">
        <v>44</v>
      </c>
      <c r="T26" s="32" t="s">
        <v>198</v>
      </c>
    </row>
    <row r="27" spans="1:20" ht="31.5" customHeight="1" x14ac:dyDescent="0.3">
      <c r="A27" s="24" t="s">
        <v>77</v>
      </c>
      <c r="B27" s="25" t="s">
        <v>168</v>
      </c>
      <c r="C27" s="25" t="s">
        <v>199</v>
      </c>
      <c r="D27" s="25" t="s">
        <v>200</v>
      </c>
      <c r="E27" s="29" t="s">
        <v>49</v>
      </c>
      <c r="F27" s="24" t="s">
        <v>35</v>
      </c>
      <c r="G27" s="24" t="s">
        <v>35</v>
      </c>
      <c r="H27" s="25" t="s">
        <v>68</v>
      </c>
      <c r="I27" s="25" t="s">
        <v>69</v>
      </c>
      <c r="J27" s="24" t="s">
        <v>70</v>
      </c>
      <c r="K27" s="24" t="s">
        <v>201</v>
      </c>
      <c r="L27" s="28" t="s">
        <v>34</v>
      </c>
      <c r="M27" s="28" t="s">
        <v>34</v>
      </c>
      <c r="N27" s="25" t="s">
        <v>202</v>
      </c>
      <c r="O27" s="25" t="s">
        <v>203</v>
      </c>
      <c r="P27" s="24" t="s">
        <v>35</v>
      </c>
      <c r="Q27" s="25" t="s">
        <v>204</v>
      </c>
      <c r="R27" s="36" t="s">
        <v>101</v>
      </c>
      <c r="S27" s="28" t="s">
        <v>44</v>
      </c>
      <c r="T27" s="25" t="s">
        <v>205</v>
      </c>
    </row>
    <row r="28" spans="1:20" ht="31.5" customHeight="1" x14ac:dyDescent="0.3">
      <c r="A28" s="31" t="s">
        <v>88</v>
      </c>
      <c r="B28" s="32" t="s">
        <v>168</v>
      </c>
      <c r="C28" s="32" t="s">
        <v>206</v>
      </c>
      <c r="D28" s="32" t="s">
        <v>207</v>
      </c>
      <c r="E28" s="35" t="s">
        <v>100</v>
      </c>
      <c r="F28" s="31" t="s">
        <v>35</v>
      </c>
      <c r="G28" s="31" t="s">
        <v>35</v>
      </c>
      <c r="H28" s="32" t="s">
        <v>68</v>
      </c>
      <c r="I28" s="32" t="s">
        <v>81</v>
      </c>
      <c r="J28" s="31" t="s">
        <v>101</v>
      </c>
      <c r="K28" s="31" t="s">
        <v>208</v>
      </c>
      <c r="L28" s="27" t="s">
        <v>35</v>
      </c>
      <c r="M28" s="28" t="s">
        <v>34</v>
      </c>
      <c r="N28" s="32" t="s">
        <v>164</v>
      </c>
      <c r="O28" s="32" t="s">
        <v>168</v>
      </c>
      <c r="P28" s="31" t="s">
        <v>35</v>
      </c>
      <c r="Q28" s="32" t="s">
        <v>209</v>
      </c>
      <c r="R28" s="36" t="s">
        <v>101</v>
      </c>
      <c r="S28" s="28" t="s">
        <v>44</v>
      </c>
      <c r="T28" s="32"/>
    </row>
    <row r="29" spans="1:20" ht="31.5" customHeight="1" x14ac:dyDescent="0.3">
      <c r="A29" s="24" t="s">
        <v>143</v>
      </c>
      <c r="B29" s="25" t="s">
        <v>168</v>
      </c>
      <c r="C29" s="25" t="s">
        <v>210</v>
      </c>
      <c r="D29" s="25" t="s">
        <v>211</v>
      </c>
      <c r="E29" s="35" t="s">
        <v>100</v>
      </c>
      <c r="F29" s="24" t="s">
        <v>35</v>
      </c>
      <c r="G29" s="24" t="s">
        <v>35</v>
      </c>
      <c r="H29" s="25" t="s">
        <v>68</v>
      </c>
      <c r="I29" s="25" t="s">
        <v>69</v>
      </c>
      <c r="J29" s="24" t="s">
        <v>70</v>
      </c>
      <c r="K29" s="24" t="s">
        <v>212</v>
      </c>
      <c r="L29" s="27" t="s">
        <v>35</v>
      </c>
      <c r="M29" s="28" t="s">
        <v>34</v>
      </c>
      <c r="N29" s="25" t="s">
        <v>164</v>
      </c>
      <c r="O29" s="25" t="s">
        <v>168</v>
      </c>
      <c r="P29" s="24" t="s">
        <v>35</v>
      </c>
      <c r="Q29" s="25" t="s">
        <v>213</v>
      </c>
      <c r="R29" s="37" t="s">
        <v>150</v>
      </c>
      <c r="S29" s="28" t="s">
        <v>44</v>
      </c>
      <c r="T29" s="25"/>
    </row>
    <row r="30" spans="1:20" ht="21.75" customHeight="1" x14ac:dyDescent="0.3">
      <c r="A30" s="3" t="s">
        <v>214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ht="31.5" customHeight="1" x14ac:dyDescent="0.3">
      <c r="A31" s="24" t="s">
        <v>29</v>
      </c>
      <c r="B31" s="25" t="s">
        <v>215</v>
      </c>
      <c r="C31" s="25" t="s">
        <v>216</v>
      </c>
      <c r="D31" s="25" t="s">
        <v>217</v>
      </c>
      <c r="E31" s="26" t="s">
        <v>33</v>
      </c>
      <c r="F31" s="24" t="s">
        <v>35</v>
      </c>
      <c r="G31" s="24" t="s">
        <v>35</v>
      </c>
      <c r="H31" s="25" t="s">
        <v>68</v>
      </c>
      <c r="I31" s="25" t="s">
        <v>69</v>
      </c>
      <c r="J31" s="24" t="s">
        <v>61</v>
      </c>
      <c r="K31" s="24" t="s">
        <v>218</v>
      </c>
      <c r="L31" s="28" t="s">
        <v>34</v>
      </c>
      <c r="M31" s="28" t="s">
        <v>34</v>
      </c>
      <c r="N31" s="25" t="s">
        <v>219</v>
      </c>
      <c r="O31" s="25" t="s">
        <v>220</v>
      </c>
      <c r="P31" s="29" t="s">
        <v>34</v>
      </c>
      <c r="Q31" s="25" t="s">
        <v>221</v>
      </c>
      <c r="R31" s="30" t="s">
        <v>222</v>
      </c>
      <c r="S31" s="28" t="s">
        <v>44</v>
      </c>
      <c r="T31" s="25" t="s">
        <v>223</v>
      </c>
    </row>
    <row r="32" spans="1:20" ht="31.5" customHeight="1" x14ac:dyDescent="0.3">
      <c r="A32" s="31" t="s">
        <v>46</v>
      </c>
      <c r="B32" s="32" t="s">
        <v>215</v>
      </c>
      <c r="C32" s="32" t="s">
        <v>224</v>
      </c>
      <c r="D32" s="32" t="s">
        <v>225</v>
      </c>
      <c r="E32" s="26" t="s">
        <v>33</v>
      </c>
      <c r="F32" s="31" t="s">
        <v>35</v>
      </c>
      <c r="G32" s="31" t="s">
        <v>35</v>
      </c>
      <c r="H32" s="32" t="s">
        <v>68</v>
      </c>
      <c r="I32" s="32" t="s">
        <v>69</v>
      </c>
      <c r="J32" s="31" t="s">
        <v>101</v>
      </c>
      <c r="K32" s="31" t="s">
        <v>226</v>
      </c>
      <c r="L32" s="28" t="s">
        <v>34</v>
      </c>
      <c r="M32" s="28" t="s">
        <v>34</v>
      </c>
      <c r="N32" s="32" t="s">
        <v>227</v>
      </c>
      <c r="O32" s="32" t="s">
        <v>203</v>
      </c>
      <c r="P32" s="31" t="s">
        <v>35</v>
      </c>
      <c r="Q32" s="32" t="s">
        <v>228</v>
      </c>
      <c r="R32" s="30" t="s">
        <v>229</v>
      </c>
      <c r="S32" s="28" t="s">
        <v>44</v>
      </c>
      <c r="T32" s="32" t="s">
        <v>230</v>
      </c>
    </row>
    <row r="33" spans="1:20" ht="31.5" customHeight="1" x14ac:dyDescent="0.3">
      <c r="A33" s="24" t="s">
        <v>57</v>
      </c>
      <c r="B33" s="25" t="s">
        <v>215</v>
      </c>
      <c r="C33" s="25" t="s">
        <v>231</v>
      </c>
      <c r="D33" s="25" t="s">
        <v>232</v>
      </c>
      <c r="E33" s="26" t="s">
        <v>33</v>
      </c>
      <c r="F33" s="24" t="s">
        <v>35</v>
      </c>
      <c r="G33" s="24" t="s">
        <v>35</v>
      </c>
      <c r="H33" s="25" t="s">
        <v>68</v>
      </c>
      <c r="I33" s="25" t="s">
        <v>69</v>
      </c>
      <c r="J33" s="24" t="s">
        <v>70</v>
      </c>
      <c r="K33" s="24" t="s">
        <v>233</v>
      </c>
      <c r="L33" s="28" t="s">
        <v>34</v>
      </c>
      <c r="M33" s="28" t="s">
        <v>34</v>
      </c>
      <c r="N33" s="25" t="s">
        <v>164</v>
      </c>
      <c r="O33" s="25" t="s">
        <v>203</v>
      </c>
      <c r="P33" s="24" t="s">
        <v>35</v>
      </c>
      <c r="Q33" s="25" t="s">
        <v>234</v>
      </c>
      <c r="R33" s="30" t="s">
        <v>113</v>
      </c>
      <c r="S33" s="28" t="s">
        <v>44</v>
      </c>
      <c r="T33" s="25" t="s">
        <v>235</v>
      </c>
    </row>
    <row r="34" spans="1:20" ht="31.5" customHeight="1" x14ac:dyDescent="0.3">
      <c r="A34" s="31" t="s">
        <v>65</v>
      </c>
      <c r="B34" s="32" t="s">
        <v>215</v>
      </c>
      <c r="C34" s="32" t="s">
        <v>236</v>
      </c>
      <c r="D34" s="32" t="s">
        <v>237</v>
      </c>
      <c r="E34" s="29" t="s">
        <v>49</v>
      </c>
      <c r="F34" s="27" t="s">
        <v>34</v>
      </c>
      <c r="G34" s="31" t="s">
        <v>35</v>
      </c>
      <c r="H34" s="32" t="s">
        <v>238</v>
      </c>
      <c r="I34" s="32" t="s">
        <v>81</v>
      </c>
      <c r="J34" s="31" t="s">
        <v>51</v>
      </c>
      <c r="K34" s="31" t="s">
        <v>239</v>
      </c>
      <c r="L34" s="28" t="s">
        <v>34</v>
      </c>
      <c r="M34" s="28" t="s">
        <v>34</v>
      </c>
      <c r="N34" s="32" t="s">
        <v>156</v>
      </c>
      <c r="O34" s="32" t="s">
        <v>84</v>
      </c>
      <c r="P34" s="31" t="s">
        <v>35</v>
      </c>
      <c r="Q34" s="32" t="s">
        <v>240</v>
      </c>
      <c r="R34" s="33" t="s">
        <v>241</v>
      </c>
      <c r="S34" s="28" t="s">
        <v>44</v>
      </c>
      <c r="T34" s="32" t="s">
        <v>242</v>
      </c>
    </row>
    <row r="35" spans="1:20" ht="31.5" customHeight="1" x14ac:dyDescent="0.3">
      <c r="A35" s="24" t="s">
        <v>77</v>
      </c>
      <c r="B35" s="25" t="s">
        <v>215</v>
      </c>
      <c r="C35" s="25" t="s">
        <v>243</v>
      </c>
      <c r="D35" s="25" t="s">
        <v>244</v>
      </c>
      <c r="E35" s="26" t="s">
        <v>33</v>
      </c>
      <c r="F35" s="24" t="s">
        <v>35</v>
      </c>
      <c r="G35" s="24" t="s">
        <v>35</v>
      </c>
      <c r="H35" s="25" t="s">
        <v>68</v>
      </c>
      <c r="I35" s="25" t="s">
        <v>69</v>
      </c>
      <c r="J35" s="24" t="s">
        <v>101</v>
      </c>
      <c r="K35" s="24" t="s">
        <v>245</v>
      </c>
      <c r="L35" s="28" t="s">
        <v>34</v>
      </c>
      <c r="M35" s="28" t="s">
        <v>34</v>
      </c>
      <c r="N35" s="25" t="s">
        <v>246</v>
      </c>
      <c r="O35" s="25" t="s">
        <v>247</v>
      </c>
      <c r="P35" s="24" t="s">
        <v>35</v>
      </c>
      <c r="Q35" s="25" t="s">
        <v>248</v>
      </c>
      <c r="R35" s="30" t="s">
        <v>249</v>
      </c>
      <c r="S35" s="28" t="s">
        <v>44</v>
      </c>
      <c r="T35" s="25" t="s">
        <v>250</v>
      </c>
    </row>
    <row r="36" spans="1:20" ht="31.5" customHeight="1" x14ac:dyDescent="0.3">
      <c r="A36" s="31" t="s">
        <v>88</v>
      </c>
      <c r="B36" s="32" t="s">
        <v>215</v>
      </c>
      <c r="C36" s="32" t="s">
        <v>251</v>
      </c>
      <c r="D36" s="32" t="s">
        <v>252</v>
      </c>
      <c r="E36" s="26" t="s">
        <v>33</v>
      </c>
      <c r="F36" s="31" t="s">
        <v>35</v>
      </c>
      <c r="G36" s="31" t="s">
        <v>35</v>
      </c>
      <c r="H36" s="32" t="s">
        <v>68</v>
      </c>
      <c r="I36" s="32" t="s">
        <v>69</v>
      </c>
      <c r="J36" s="31" t="s">
        <v>101</v>
      </c>
      <c r="K36" s="31" t="s">
        <v>253</v>
      </c>
      <c r="L36" s="28" t="s">
        <v>34</v>
      </c>
      <c r="M36" s="28" t="s">
        <v>34</v>
      </c>
      <c r="N36" s="32" t="s">
        <v>254</v>
      </c>
      <c r="O36" s="32" t="s">
        <v>220</v>
      </c>
      <c r="P36" s="31" t="s">
        <v>35</v>
      </c>
      <c r="Q36" s="32" t="s">
        <v>132</v>
      </c>
      <c r="R36" s="30" t="s">
        <v>255</v>
      </c>
      <c r="S36" s="28" t="s">
        <v>44</v>
      </c>
      <c r="T36" s="32" t="s">
        <v>256</v>
      </c>
    </row>
    <row r="37" spans="1:20" ht="31.5" customHeight="1" x14ac:dyDescent="0.3">
      <c r="A37" s="24" t="s">
        <v>143</v>
      </c>
      <c r="B37" s="25" t="s">
        <v>215</v>
      </c>
      <c r="C37" s="25" t="s">
        <v>257</v>
      </c>
      <c r="D37" s="25" t="s">
        <v>258</v>
      </c>
      <c r="E37" s="35" t="s">
        <v>100</v>
      </c>
      <c r="F37" s="24" t="s">
        <v>35</v>
      </c>
      <c r="G37" s="24" t="s">
        <v>35</v>
      </c>
      <c r="H37" s="25" t="s">
        <v>68</v>
      </c>
      <c r="I37" s="25" t="s">
        <v>69</v>
      </c>
      <c r="J37" s="24" t="s">
        <v>101</v>
      </c>
      <c r="K37" s="24" t="s">
        <v>259</v>
      </c>
      <c r="L37" s="27" t="s">
        <v>35</v>
      </c>
      <c r="M37" s="28" t="s">
        <v>34</v>
      </c>
      <c r="N37" s="25" t="s">
        <v>164</v>
      </c>
      <c r="O37" s="25" t="s">
        <v>260</v>
      </c>
      <c r="P37" s="24" t="s">
        <v>35</v>
      </c>
      <c r="Q37" s="25" t="s">
        <v>209</v>
      </c>
      <c r="R37" s="37" t="s">
        <v>150</v>
      </c>
      <c r="S37" s="28" t="s">
        <v>44</v>
      </c>
      <c r="T37" s="25"/>
    </row>
    <row r="38" spans="1:20" ht="31.5" customHeight="1" x14ac:dyDescent="0.3">
      <c r="A38" s="31" t="s">
        <v>151</v>
      </c>
      <c r="B38" s="32" t="s">
        <v>215</v>
      </c>
      <c r="C38" s="32" t="s">
        <v>261</v>
      </c>
      <c r="D38" s="32" t="s">
        <v>262</v>
      </c>
      <c r="E38" s="35" t="s">
        <v>100</v>
      </c>
      <c r="F38" s="31" t="s">
        <v>35</v>
      </c>
      <c r="G38" s="31" t="s">
        <v>35</v>
      </c>
      <c r="H38" s="32" t="s">
        <v>68</v>
      </c>
      <c r="I38" s="32" t="s">
        <v>81</v>
      </c>
      <c r="J38" s="31" t="s">
        <v>101</v>
      </c>
      <c r="K38" s="31" t="s">
        <v>263</v>
      </c>
      <c r="L38" s="27" t="s">
        <v>35</v>
      </c>
      <c r="M38" s="28" t="s">
        <v>34</v>
      </c>
      <c r="N38" s="32" t="s">
        <v>156</v>
      </c>
      <c r="O38" s="32" t="s">
        <v>264</v>
      </c>
      <c r="P38" s="31" t="s">
        <v>35</v>
      </c>
      <c r="Q38" s="32" t="s">
        <v>265</v>
      </c>
      <c r="R38" s="36" t="s">
        <v>101</v>
      </c>
      <c r="S38" s="28" t="s">
        <v>44</v>
      </c>
      <c r="T38" s="32" t="s">
        <v>266</v>
      </c>
    </row>
    <row r="39" spans="1:20" ht="31.5" customHeight="1" x14ac:dyDescent="0.3">
      <c r="A39" s="24" t="s">
        <v>160</v>
      </c>
      <c r="B39" s="25" t="s">
        <v>215</v>
      </c>
      <c r="C39" s="25" t="s">
        <v>267</v>
      </c>
      <c r="D39" s="25" t="s">
        <v>268</v>
      </c>
      <c r="E39" s="29" t="s">
        <v>49</v>
      </c>
      <c r="F39" s="27" t="s">
        <v>34</v>
      </c>
      <c r="G39" s="24" t="s">
        <v>35</v>
      </c>
      <c r="H39" s="25" t="s">
        <v>269</v>
      </c>
      <c r="I39" s="25" t="s">
        <v>81</v>
      </c>
      <c r="J39" s="24" t="s">
        <v>101</v>
      </c>
      <c r="K39" s="24" t="s">
        <v>270</v>
      </c>
      <c r="L39" s="28" t="s">
        <v>34</v>
      </c>
      <c r="M39" s="28" t="s">
        <v>34</v>
      </c>
      <c r="N39" s="25" t="s">
        <v>83</v>
      </c>
      <c r="O39" s="25" t="s">
        <v>203</v>
      </c>
      <c r="P39" s="29" t="s">
        <v>34</v>
      </c>
      <c r="Q39" s="25" t="s">
        <v>271</v>
      </c>
      <c r="R39" s="33" t="s">
        <v>272</v>
      </c>
      <c r="S39" s="28" t="s">
        <v>44</v>
      </c>
      <c r="T39" s="25" t="s">
        <v>273</v>
      </c>
    </row>
    <row r="40" spans="1:20" ht="21.75" customHeight="1" x14ac:dyDescent="0.3">
      <c r="A40" s="2" t="s">
        <v>274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31.5" customHeight="1" x14ac:dyDescent="0.3">
      <c r="A41" s="24" t="s">
        <v>29</v>
      </c>
      <c r="B41" s="25" t="s">
        <v>275</v>
      </c>
      <c r="C41" s="25" t="s">
        <v>276</v>
      </c>
      <c r="D41" s="25" t="s">
        <v>277</v>
      </c>
      <c r="E41" s="35" t="s">
        <v>100</v>
      </c>
      <c r="F41" s="27" t="s">
        <v>34</v>
      </c>
      <c r="G41" s="24" t="s">
        <v>35</v>
      </c>
      <c r="H41" s="25" t="s">
        <v>278</v>
      </c>
      <c r="I41" s="25" t="s">
        <v>69</v>
      </c>
      <c r="J41" s="24" t="s">
        <v>61</v>
      </c>
      <c r="K41" s="24" t="s">
        <v>279</v>
      </c>
      <c r="L41" s="27" t="s">
        <v>35</v>
      </c>
      <c r="M41" s="28" t="s">
        <v>34</v>
      </c>
      <c r="N41" s="25" t="s">
        <v>227</v>
      </c>
      <c r="O41" s="25" t="s">
        <v>280</v>
      </c>
      <c r="P41" s="24" t="s">
        <v>35</v>
      </c>
      <c r="Q41" s="25" t="s">
        <v>281</v>
      </c>
      <c r="R41" s="37" t="s">
        <v>150</v>
      </c>
      <c r="S41" s="28" t="s">
        <v>44</v>
      </c>
      <c r="T41" s="25" t="s">
        <v>282</v>
      </c>
    </row>
    <row r="42" spans="1:20" ht="31.5" customHeight="1" x14ac:dyDescent="0.3">
      <c r="A42" s="31" t="s">
        <v>46</v>
      </c>
      <c r="B42" s="32" t="s">
        <v>275</v>
      </c>
      <c r="C42" s="32" t="s">
        <v>283</v>
      </c>
      <c r="D42" s="32" t="s">
        <v>284</v>
      </c>
      <c r="E42" s="29" t="s">
        <v>49</v>
      </c>
      <c r="F42" s="27" t="s">
        <v>34</v>
      </c>
      <c r="G42" s="31" t="s">
        <v>35</v>
      </c>
      <c r="H42" s="32" t="s">
        <v>278</v>
      </c>
      <c r="I42" s="32" t="s">
        <v>69</v>
      </c>
      <c r="J42" s="31" t="s">
        <v>101</v>
      </c>
      <c r="K42" s="31" t="s">
        <v>285</v>
      </c>
      <c r="L42" s="27" t="s">
        <v>35</v>
      </c>
      <c r="M42" s="28" t="s">
        <v>34</v>
      </c>
      <c r="N42" s="32" t="s">
        <v>286</v>
      </c>
      <c r="O42" s="32" t="s">
        <v>287</v>
      </c>
      <c r="P42" s="31" t="s">
        <v>35</v>
      </c>
      <c r="Q42" s="32" t="s">
        <v>288</v>
      </c>
      <c r="R42" s="36" t="s">
        <v>101</v>
      </c>
      <c r="S42" s="28" t="s">
        <v>44</v>
      </c>
      <c r="T42" s="32" t="s">
        <v>289</v>
      </c>
    </row>
    <row r="43" spans="1:20" ht="31.5" customHeight="1" x14ac:dyDescent="0.3">
      <c r="A43" s="24" t="s">
        <v>57</v>
      </c>
      <c r="B43" s="25" t="s">
        <v>275</v>
      </c>
      <c r="C43" s="25" t="s">
        <v>290</v>
      </c>
      <c r="D43" s="25" t="s">
        <v>291</v>
      </c>
      <c r="E43" s="29" t="s">
        <v>49</v>
      </c>
      <c r="F43" s="27" t="s">
        <v>34</v>
      </c>
      <c r="G43" s="24" t="s">
        <v>35</v>
      </c>
      <c r="H43" s="25" t="s">
        <v>278</v>
      </c>
      <c r="I43" s="25" t="s">
        <v>292</v>
      </c>
      <c r="J43" s="24" t="s">
        <v>101</v>
      </c>
      <c r="K43" s="24" t="s">
        <v>293</v>
      </c>
      <c r="L43" s="28" t="s">
        <v>34</v>
      </c>
      <c r="M43" s="28" t="s">
        <v>34</v>
      </c>
      <c r="N43" s="25" t="s">
        <v>294</v>
      </c>
      <c r="O43" s="25" t="s">
        <v>264</v>
      </c>
      <c r="P43" s="24" t="s">
        <v>35</v>
      </c>
      <c r="Q43" s="25" t="s">
        <v>295</v>
      </c>
      <c r="R43" s="33" t="s">
        <v>272</v>
      </c>
      <c r="S43" s="28" t="s">
        <v>44</v>
      </c>
      <c r="T43" s="25" t="s">
        <v>296</v>
      </c>
    </row>
    <row r="44" spans="1:20" ht="31.5" customHeight="1" x14ac:dyDescent="0.3">
      <c r="A44" s="31" t="s">
        <v>65</v>
      </c>
      <c r="B44" s="32" t="s">
        <v>275</v>
      </c>
      <c r="C44" s="32" t="s">
        <v>297</v>
      </c>
      <c r="D44" s="32" t="s">
        <v>298</v>
      </c>
      <c r="E44" s="26" t="s">
        <v>33</v>
      </c>
      <c r="F44" s="27" t="s">
        <v>34</v>
      </c>
      <c r="G44" s="31" t="s">
        <v>35</v>
      </c>
      <c r="H44" s="32" t="s">
        <v>137</v>
      </c>
      <c r="I44" s="32" t="s">
        <v>69</v>
      </c>
      <c r="J44" s="31" t="s">
        <v>70</v>
      </c>
      <c r="K44" s="31" t="s">
        <v>299</v>
      </c>
      <c r="L44" s="28" t="s">
        <v>34</v>
      </c>
      <c r="M44" s="28" t="s">
        <v>34</v>
      </c>
      <c r="N44" s="32" t="s">
        <v>300</v>
      </c>
      <c r="O44" s="32" t="s">
        <v>203</v>
      </c>
      <c r="P44" s="29" t="s">
        <v>34</v>
      </c>
      <c r="Q44" s="32" t="s">
        <v>301</v>
      </c>
      <c r="R44" s="30" t="s">
        <v>249</v>
      </c>
      <c r="S44" s="28" t="s">
        <v>44</v>
      </c>
      <c r="T44" s="32" t="s">
        <v>302</v>
      </c>
    </row>
    <row r="45" spans="1:20" ht="31.5" customHeight="1" x14ac:dyDescent="0.3">
      <c r="A45" s="24" t="s">
        <v>77</v>
      </c>
      <c r="B45" s="25" t="s">
        <v>275</v>
      </c>
      <c r="C45" s="25" t="s">
        <v>303</v>
      </c>
      <c r="D45" s="25" t="s">
        <v>304</v>
      </c>
      <c r="E45" s="29" t="s">
        <v>49</v>
      </c>
      <c r="F45" s="27" t="s">
        <v>34</v>
      </c>
      <c r="G45" s="24" t="s">
        <v>35</v>
      </c>
      <c r="H45" s="25" t="s">
        <v>278</v>
      </c>
      <c r="I45" s="25" t="s">
        <v>81</v>
      </c>
      <c r="J45" s="24" t="s">
        <v>61</v>
      </c>
      <c r="K45" s="24" t="s">
        <v>305</v>
      </c>
      <c r="L45" s="28" t="s">
        <v>34</v>
      </c>
      <c r="M45" s="28" t="s">
        <v>34</v>
      </c>
      <c r="N45" s="25" t="s">
        <v>306</v>
      </c>
      <c r="O45" s="25" t="s">
        <v>307</v>
      </c>
      <c r="P45" s="24" t="s">
        <v>35</v>
      </c>
      <c r="Q45" s="25" t="s">
        <v>308</v>
      </c>
      <c r="R45" s="36" t="s">
        <v>101</v>
      </c>
      <c r="S45" s="28" t="s">
        <v>44</v>
      </c>
      <c r="T45" s="25"/>
    </row>
    <row r="46" spans="1:20" ht="21.75" customHeight="1" x14ac:dyDescent="0.3">
      <c r="A46" s="1" t="s">
        <v>309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31.5" customHeight="1" x14ac:dyDescent="0.3">
      <c r="A47" s="24" t="s">
        <v>29</v>
      </c>
      <c r="B47" s="25" t="s">
        <v>310</v>
      </c>
      <c r="C47" s="25" t="s">
        <v>311</v>
      </c>
      <c r="D47" s="25" t="s">
        <v>312</v>
      </c>
      <c r="E47" s="29" t="s">
        <v>49</v>
      </c>
      <c r="F47" s="24" t="s">
        <v>35</v>
      </c>
      <c r="G47" s="24" t="s">
        <v>35</v>
      </c>
      <c r="H47" s="25" t="s">
        <v>68</v>
      </c>
      <c r="I47" s="25" t="s">
        <v>69</v>
      </c>
      <c r="J47" s="24" t="s">
        <v>101</v>
      </c>
      <c r="K47" s="24" t="s">
        <v>313</v>
      </c>
      <c r="L47" s="27" t="s">
        <v>35</v>
      </c>
      <c r="M47" s="28" t="s">
        <v>34</v>
      </c>
      <c r="N47" s="25" t="s">
        <v>314</v>
      </c>
      <c r="O47" s="25" t="s">
        <v>315</v>
      </c>
      <c r="P47" s="24" t="s">
        <v>35</v>
      </c>
      <c r="Q47" s="25" t="s">
        <v>173</v>
      </c>
      <c r="R47" s="36" t="s">
        <v>101</v>
      </c>
      <c r="S47" s="28" t="s">
        <v>44</v>
      </c>
      <c r="T47" s="25"/>
    </row>
    <row r="48" spans="1:20" ht="31.5" customHeight="1" x14ac:dyDescent="0.3">
      <c r="A48" s="31" t="s">
        <v>46</v>
      </c>
      <c r="B48" s="32" t="s">
        <v>310</v>
      </c>
      <c r="C48" s="32" t="s">
        <v>316</v>
      </c>
      <c r="D48" s="32" t="s">
        <v>317</v>
      </c>
      <c r="E48" s="29" t="s">
        <v>49</v>
      </c>
      <c r="F48" s="31" t="s">
        <v>35</v>
      </c>
      <c r="G48" s="31" t="s">
        <v>35</v>
      </c>
      <c r="H48" s="32" t="s">
        <v>68</v>
      </c>
      <c r="I48" s="32" t="s">
        <v>69</v>
      </c>
      <c r="J48" s="31" t="s">
        <v>101</v>
      </c>
      <c r="K48" s="31" t="s">
        <v>318</v>
      </c>
      <c r="L48" s="28" t="s">
        <v>34</v>
      </c>
      <c r="M48" s="28" t="s">
        <v>34</v>
      </c>
      <c r="N48" s="32" t="s">
        <v>319</v>
      </c>
      <c r="O48" s="32" t="s">
        <v>315</v>
      </c>
      <c r="P48" s="31" t="s">
        <v>35</v>
      </c>
      <c r="Q48" s="32" t="s">
        <v>173</v>
      </c>
      <c r="R48" s="36" t="s">
        <v>101</v>
      </c>
      <c r="S48" s="28" t="s">
        <v>44</v>
      </c>
      <c r="T48" s="32"/>
    </row>
    <row r="49" spans="1:20" ht="31.5" customHeight="1" x14ac:dyDescent="0.3">
      <c r="A49" s="24" t="s">
        <v>57</v>
      </c>
      <c r="B49" s="25" t="s">
        <v>310</v>
      </c>
      <c r="C49" s="25" t="s">
        <v>320</v>
      </c>
      <c r="D49" s="25" t="s">
        <v>321</v>
      </c>
      <c r="E49" s="29" t="s">
        <v>49</v>
      </c>
      <c r="F49" s="27" t="s">
        <v>34</v>
      </c>
      <c r="G49" s="34" t="s">
        <v>34</v>
      </c>
      <c r="H49" s="25" t="s">
        <v>322</v>
      </c>
      <c r="I49" s="25" t="s">
        <v>81</v>
      </c>
      <c r="J49" s="24" t="s">
        <v>101</v>
      </c>
      <c r="K49" s="24" t="s">
        <v>178</v>
      </c>
      <c r="L49" s="28" t="s">
        <v>34</v>
      </c>
      <c r="M49" s="28" t="s">
        <v>34</v>
      </c>
      <c r="N49" s="25" t="s">
        <v>323</v>
      </c>
      <c r="O49" s="25" t="s">
        <v>324</v>
      </c>
      <c r="P49" s="29" t="s">
        <v>34</v>
      </c>
      <c r="Q49" s="25" t="s">
        <v>325</v>
      </c>
      <c r="R49" s="30" t="s">
        <v>326</v>
      </c>
      <c r="S49" s="28" t="s">
        <v>44</v>
      </c>
      <c r="T49" s="25" t="s">
        <v>327</v>
      </c>
    </row>
    <row r="50" spans="1:20" ht="31.5" customHeight="1" x14ac:dyDescent="0.3">
      <c r="A50" s="31" t="s">
        <v>65</v>
      </c>
      <c r="B50" s="32" t="s">
        <v>310</v>
      </c>
      <c r="C50" s="32" t="s">
        <v>328</v>
      </c>
      <c r="D50" s="32" t="s">
        <v>329</v>
      </c>
      <c r="E50" s="35" t="s">
        <v>100</v>
      </c>
      <c r="F50" s="31" t="s">
        <v>35</v>
      </c>
      <c r="G50" s="31" t="s">
        <v>35</v>
      </c>
      <c r="H50" s="32" t="s">
        <v>68</v>
      </c>
      <c r="I50" s="32" t="s">
        <v>69</v>
      </c>
      <c r="J50" s="31" t="s">
        <v>101</v>
      </c>
      <c r="K50" s="31" t="s">
        <v>330</v>
      </c>
      <c r="L50" s="27" t="s">
        <v>35</v>
      </c>
      <c r="M50" s="28" t="s">
        <v>34</v>
      </c>
      <c r="N50" s="32" t="s">
        <v>156</v>
      </c>
      <c r="O50" s="32" t="s">
        <v>315</v>
      </c>
      <c r="P50" s="31" t="s">
        <v>35</v>
      </c>
      <c r="Q50" s="32" t="s">
        <v>173</v>
      </c>
      <c r="R50" s="37" t="s">
        <v>150</v>
      </c>
      <c r="S50" s="28" t="s">
        <v>44</v>
      </c>
      <c r="T50" s="32"/>
    </row>
    <row r="51" spans="1:20" ht="31.5" customHeight="1" x14ac:dyDescent="0.3">
      <c r="A51" s="24" t="s">
        <v>77</v>
      </c>
      <c r="B51" s="25" t="s">
        <v>310</v>
      </c>
      <c r="C51" s="25" t="s">
        <v>331</v>
      </c>
      <c r="D51" s="25" t="s">
        <v>332</v>
      </c>
      <c r="E51" s="29" t="s">
        <v>49</v>
      </c>
      <c r="F51" s="24" t="s">
        <v>35</v>
      </c>
      <c r="G51" s="24" t="s">
        <v>35</v>
      </c>
      <c r="H51" s="25" t="s">
        <v>68</v>
      </c>
      <c r="I51" s="25" t="s">
        <v>69</v>
      </c>
      <c r="J51" s="24" t="s">
        <v>70</v>
      </c>
      <c r="K51" s="24" t="s">
        <v>333</v>
      </c>
      <c r="L51" s="28" t="s">
        <v>34</v>
      </c>
      <c r="M51" s="28" t="s">
        <v>34</v>
      </c>
      <c r="N51" s="25" t="s">
        <v>156</v>
      </c>
      <c r="O51" s="25" t="s">
        <v>334</v>
      </c>
      <c r="P51" s="24" t="s">
        <v>35</v>
      </c>
      <c r="Q51" s="25" t="s">
        <v>335</v>
      </c>
      <c r="R51" s="36" t="s">
        <v>101</v>
      </c>
      <c r="S51" s="28" t="s">
        <v>44</v>
      </c>
      <c r="T51" s="25" t="s">
        <v>336</v>
      </c>
    </row>
    <row r="52" spans="1:20" ht="31.5" customHeight="1" x14ac:dyDescent="0.3">
      <c r="A52" s="31" t="s">
        <v>88</v>
      </c>
      <c r="B52" s="32" t="s">
        <v>310</v>
      </c>
      <c r="C52" s="32" t="s">
        <v>337</v>
      </c>
      <c r="D52" s="32" t="s">
        <v>338</v>
      </c>
      <c r="E52" s="26" t="s">
        <v>33</v>
      </c>
      <c r="F52" s="31" t="s">
        <v>35</v>
      </c>
      <c r="G52" s="31" t="s">
        <v>35</v>
      </c>
      <c r="H52" s="32" t="s">
        <v>68</v>
      </c>
      <c r="I52" s="32" t="s">
        <v>69</v>
      </c>
      <c r="J52" s="31" t="s">
        <v>70</v>
      </c>
      <c r="K52" s="31" t="s">
        <v>339</v>
      </c>
      <c r="L52" s="28" t="s">
        <v>34</v>
      </c>
      <c r="M52" s="28" t="s">
        <v>34</v>
      </c>
      <c r="N52" s="32" t="s">
        <v>340</v>
      </c>
      <c r="O52" s="32" t="s">
        <v>148</v>
      </c>
      <c r="P52" s="31" t="s">
        <v>35</v>
      </c>
      <c r="Q52" s="32" t="s">
        <v>157</v>
      </c>
      <c r="R52" s="30" t="s">
        <v>249</v>
      </c>
      <c r="S52" s="28" t="s">
        <v>44</v>
      </c>
      <c r="T52" s="32"/>
    </row>
    <row r="53" spans="1:20" ht="31.5" customHeight="1" x14ac:dyDescent="0.3">
      <c r="A53" s="24" t="s">
        <v>143</v>
      </c>
      <c r="B53" s="25" t="s">
        <v>310</v>
      </c>
      <c r="C53" s="25" t="s">
        <v>341</v>
      </c>
      <c r="D53" s="25" t="s">
        <v>342</v>
      </c>
      <c r="E53" s="29" t="s">
        <v>49</v>
      </c>
      <c r="F53" s="27" t="s">
        <v>34</v>
      </c>
      <c r="G53" s="24" t="s">
        <v>35</v>
      </c>
      <c r="H53" s="25" t="s">
        <v>343</v>
      </c>
      <c r="I53" s="25" t="s">
        <v>344</v>
      </c>
      <c r="J53" s="24" t="s">
        <v>70</v>
      </c>
      <c r="K53" s="24" t="s">
        <v>345</v>
      </c>
      <c r="L53" s="28" t="s">
        <v>34</v>
      </c>
      <c r="M53" s="28" t="s">
        <v>34</v>
      </c>
      <c r="N53" s="25" t="s">
        <v>346</v>
      </c>
      <c r="O53" s="25" t="s">
        <v>347</v>
      </c>
      <c r="P53" s="29" t="s">
        <v>34</v>
      </c>
      <c r="Q53" s="25" t="s">
        <v>348</v>
      </c>
      <c r="R53" s="33" t="s">
        <v>349</v>
      </c>
      <c r="S53" s="28" t="s">
        <v>44</v>
      </c>
      <c r="T53" s="25" t="s">
        <v>350</v>
      </c>
    </row>
    <row r="54" spans="1:20" ht="19.5" customHeight="1" x14ac:dyDescent="0.3">
      <c r="A54" s="38" t="s">
        <v>351</v>
      </c>
      <c r="B54" s="39">
        <f>COUNTA(B5:B53)-COUNTIF(B5:B53,"")</f>
        <v>37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</row>
  </sheetData>
  <mergeCells count="14">
    <mergeCell ref="A46:T46"/>
    <mergeCell ref="A5:T5"/>
    <mergeCell ref="A12:T12"/>
    <mergeCell ref="A22:T22"/>
    <mergeCell ref="A30:T30"/>
    <mergeCell ref="A40:T40"/>
    <mergeCell ref="A1:T1"/>
    <mergeCell ref="A3:B3"/>
    <mergeCell ref="C3:D3"/>
    <mergeCell ref="E3:F3"/>
    <mergeCell ref="G3:H3"/>
    <mergeCell ref="I3:J3"/>
    <mergeCell ref="K3:L3"/>
    <mergeCell ref="O3:P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P19"/>
  <sheetViews>
    <sheetView showGridLines="0" zoomScaleNormal="100" workbookViewId="0">
      <pane ySplit="3" topLeftCell="A4" activePane="bottomLeft" state="frozen"/>
      <selection pane="bottomLeft" sqref="A1:P1"/>
    </sheetView>
  </sheetViews>
  <sheetFormatPr defaultColWidth="8.6640625" defaultRowHeight="14.4" x14ac:dyDescent="0.3"/>
  <cols>
    <col min="1" max="1" width="10.109375" bestFit="1" customWidth="1"/>
    <col min="2" max="2" width="20" customWidth="1"/>
    <col min="3" max="3" width="26" customWidth="1"/>
    <col min="4" max="4" width="22" customWidth="1"/>
    <col min="5" max="5" width="18" customWidth="1"/>
    <col min="6" max="6" width="14" customWidth="1"/>
    <col min="7" max="7" width="18" customWidth="1"/>
    <col min="8" max="8" width="16" customWidth="1"/>
    <col min="9" max="10" width="10" customWidth="1"/>
    <col min="11" max="11" width="12" customWidth="1"/>
    <col min="12" max="12" width="16" customWidth="1"/>
    <col min="13" max="13" width="18" customWidth="1"/>
    <col min="14" max="14" width="14" customWidth="1"/>
    <col min="15" max="15" width="12" customWidth="1"/>
    <col min="16" max="16" width="22" customWidth="1"/>
  </cols>
  <sheetData>
    <row r="1" spans="1:16" ht="36" customHeight="1" x14ac:dyDescent="0.3">
      <c r="A1" s="48" t="s">
        <v>352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ht="12" customHeight="1" x14ac:dyDescent="0.3"/>
    <row r="3" spans="1:16" ht="39.6" x14ac:dyDescent="0.3">
      <c r="A3" s="41" t="s">
        <v>8</v>
      </c>
      <c r="B3" s="41" t="s">
        <v>9</v>
      </c>
      <c r="C3" s="41" t="s">
        <v>353</v>
      </c>
      <c r="D3" s="41" t="s">
        <v>354</v>
      </c>
      <c r="E3" s="41" t="s">
        <v>355</v>
      </c>
      <c r="F3" s="41" t="s">
        <v>356</v>
      </c>
      <c r="G3" s="41" t="s">
        <v>357</v>
      </c>
      <c r="H3" s="41" t="s">
        <v>358</v>
      </c>
      <c r="I3" s="41" t="s">
        <v>359</v>
      </c>
      <c r="J3" s="41" t="s">
        <v>360</v>
      </c>
      <c r="K3" s="41" t="s">
        <v>361</v>
      </c>
      <c r="L3" s="41" t="s">
        <v>362</v>
      </c>
      <c r="M3" s="41" t="s">
        <v>363</v>
      </c>
      <c r="N3" s="41" t="s">
        <v>364</v>
      </c>
      <c r="O3" s="41" t="s">
        <v>365</v>
      </c>
      <c r="P3" s="41" t="s">
        <v>366</v>
      </c>
    </row>
    <row r="4" spans="1:16" ht="27.75" customHeight="1" x14ac:dyDescent="0.3">
      <c r="A4" s="31" t="s">
        <v>30</v>
      </c>
      <c r="B4" s="32" t="s">
        <v>367</v>
      </c>
      <c r="C4" s="32" t="s">
        <v>368</v>
      </c>
      <c r="D4" s="32" t="s">
        <v>369</v>
      </c>
      <c r="E4" s="32" t="s">
        <v>370</v>
      </c>
      <c r="F4" s="31" t="s">
        <v>68</v>
      </c>
      <c r="G4" s="32" t="s">
        <v>371</v>
      </c>
      <c r="H4" s="31" t="s">
        <v>34</v>
      </c>
      <c r="I4" s="28" t="s">
        <v>34</v>
      </c>
      <c r="J4" s="31" t="s">
        <v>372</v>
      </c>
      <c r="K4" s="31" t="s">
        <v>373</v>
      </c>
      <c r="L4" s="32" t="s">
        <v>374</v>
      </c>
      <c r="M4" s="32" t="s">
        <v>375</v>
      </c>
      <c r="N4" s="32" t="s">
        <v>53</v>
      </c>
      <c r="O4" s="31" t="s">
        <v>376</v>
      </c>
    </row>
    <row r="5" spans="1:16" ht="27.75" customHeight="1" x14ac:dyDescent="0.3">
      <c r="A5" s="24" t="s">
        <v>30</v>
      </c>
      <c r="B5" s="25" t="s">
        <v>58</v>
      </c>
      <c r="C5" s="25" t="s">
        <v>368</v>
      </c>
      <c r="D5" s="25" t="s">
        <v>369</v>
      </c>
      <c r="E5" s="25" t="s">
        <v>370</v>
      </c>
      <c r="F5" s="24" t="s">
        <v>68</v>
      </c>
      <c r="G5" s="25" t="s">
        <v>377</v>
      </c>
      <c r="H5" s="24" t="s">
        <v>34</v>
      </c>
      <c r="I5" s="28" t="s">
        <v>34</v>
      </c>
      <c r="J5" s="24" t="s">
        <v>378</v>
      </c>
      <c r="K5" s="24" t="s">
        <v>68</v>
      </c>
      <c r="L5" s="25" t="s">
        <v>379</v>
      </c>
      <c r="M5" s="25" t="s">
        <v>380</v>
      </c>
      <c r="N5" s="25" t="s">
        <v>53</v>
      </c>
      <c r="O5" s="24"/>
    </row>
    <row r="6" spans="1:16" ht="27.75" customHeight="1" x14ac:dyDescent="0.3">
      <c r="A6" s="31" t="s">
        <v>30</v>
      </c>
      <c r="B6" s="32" t="s">
        <v>381</v>
      </c>
      <c r="C6" s="32" t="s">
        <v>382</v>
      </c>
      <c r="D6" s="32" t="s">
        <v>383</v>
      </c>
      <c r="E6" s="32" t="s">
        <v>384</v>
      </c>
      <c r="F6" s="42" t="s">
        <v>385</v>
      </c>
      <c r="G6" s="32" t="s">
        <v>377</v>
      </c>
      <c r="H6" s="31" t="s">
        <v>34</v>
      </c>
      <c r="I6" s="28" t="s">
        <v>34</v>
      </c>
      <c r="J6" s="31" t="s">
        <v>386</v>
      </c>
      <c r="K6" s="31" t="s">
        <v>387</v>
      </c>
      <c r="L6" s="32" t="s">
        <v>388</v>
      </c>
      <c r="M6" s="32" t="s">
        <v>389</v>
      </c>
      <c r="N6" s="32" t="s">
        <v>83</v>
      </c>
      <c r="O6" s="31" t="s">
        <v>390</v>
      </c>
    </row>
    <row r="7" spans="1:16" ht="27.75" customHeight="1" x14ac:dyDescent="0.3">
      <c r="A7" s="24" t="s">
        <v>30</v>
      </c>
      <c r="B7" s="25" t="s">
        <v>391</v>
      </c>
      <c r="C7" s="25" t="s">
        <v>392</v>
      </c>
      <c r="D7" s="25" t="s">
        <v>393</v>
      </c>
      <c r="E7" s="25" t="s">
        <v>370</v>
      </c>
      <c r="F7" s="24" t="s">
        <v>68</v>
      </c>
      <c r="G7" s="25" t="s">
        <v>377</v>
      </c>
      <c r="H7" s="24" t="s">
        <v>34</v>
      </c>
      <c r="I7" s="28" t="s">
        <v>34</v>
      </c>
      <c r="J7" s="24" t="s">
        <v>378</v>
      </c>
      <c r="K7" s="24" t="s">
        <v>68</v>
      </c>
      <c r="L7" s="25" t="s">
        <v>394</v>
      </c>
      <c r="M7" s="25" t="s">
        <v>395</v>
      </c>
      <c r="N7" s="25" t="s">
        <v>126</v>
      </c>
      <c r="O7" s="24" t="s">
        <v>396</v>
      </c>
    </row>
    <row r="8" spans="1:16" ht="27.75" customHeight="1" x14ac:dyDescent="0.3">
      <c r="A8" s="31" t="s">
        <v>97</v>
      </c>
      <c r="B8" s="32" t="s">
        <v>397</v>
      </c>
      <c r="C8" s="32" t="s">
        <v>398</v>
      </c>
      <c r="D8" s="32" t="s">
        <v>399</v>
      </c>
      <c r="E8" s="32" t="s">
        <v>370</v>
      </c>
      <c r="F8" s="31" t="s">
        <v>68</v>
      </c>
      <c r="G8" s="32" t="s">
        <v>377</v>
      </c>
      <c r="H8" s="31" t="s">
        <v>34</v>
      </c>
      <c r="I8" s="28" t="s">
        <v>34</v>
      </c>
      <c r="J8" s="31" t="s">
        <v>378</v>
      </c>
      <c r="K8" s="31" t="s">
        <v>68</v>
      </c>
      <c r="L8" s="32" t="s">
        <v>400</v>
      </c>
      <c r="M8" s="32" t="s">
        <v>401</v>
      </c>
      <c r="N8" s="32" t="s">
        <v>402</v>
      </c>
      <c r="O8" s="31" t="s">
        <v>403</v>
      </c>
    </row>
    <row r="9" spans="1:16" ht="27.75" customHeight="1" x14ac:dyDescent="0.3">
      <c r="A9" s="24" t="s">
        <v>97</v>
      </c>
      <c r="B9" s="25" t="s">
        <v>404</v>
      </c>
      <c r="C9" s="25" t="s">
        <v>405</v>
      </c>
      <c r="D9" s="25" t="s">
        <v>406</v>
      </c>
      <c r="E9" s="25" t="s">
        <v>370</v>
      </c>
      <c r="F9" s="24" t="s">
        <v>68</v>
      </c>
      <c r="G9" s="25" t="s">
        <v>377</v>
      </c>
      <c r="H9" s="24" t="s">
        <v>35</v>
      </c>
      <c r="I9" s="28" t="s">
        <v>34</v>
      </c>
      <c r="J9" s="24" t="s">
        <v>378</v>
      </c>
      <c r="K9" s="24" t="s">
        <v>68</v>
      </c>
      <c r="L9" s="25" t="s">
        <v>407</v>
      </c>
      <c r="M9" s="25" t="s">
        <v>408</v>
      </c>
      <c r="N9" s="25" t="s">
        <v>126</v>
      </c>
      <c r="O9" s="24"/>
    </row>
    <row r="10" spans="1:16" ht="27.75" customHeight="1" x14ac:dyDescent="0.3">
      <c r="A10" s="31" t="s">
        <v>97</v>
      </c>
      <c r="B10" s="32" t="s">
        <v>409</v>
      </c>
      <c r="C10" s="32" t="s">
        <v>410</v>
      </c>
      <c r="D10" s="32" t="s">
        <v>411</v>
      </c>
      <c r="E10" s="32" t="s">
        <v>370</v>
      </c>
      <c r="F10" s="31" t="s">
        <v>68</v>
      </c>
      <c r="G10" s="32" t="s">
        <v>377</v>
      </c>
      <c r="H10" s="31" t="s">
        <v>34</v>
      </c>
      <c r="I10" s="28" t="s">
        <v>34</v>
      </c>
      <c r="J10" s="31" t="s">
        <v>378</v>
      </c>
      <c r="K10" s="31" t="s">
        <v>68</v>
      </c>
      <c r="L10" s="32" t="s">
        <v>412</v>
      </c>
      <c r="M10" s="32" t="s">
        <v>413</v>
      </c>
      <c r="N10" s="32" t="s">
        <v>156</v>
      </c>
      <c r="O10" s="31"/>
    </row>
    <row r="11" spans="1:16" ht="27.75" customHeight="1" x14ac:dyDescent="0.3">
      <c r="A11" s="24" t="s">
        <v>168</v>
      </c>
      <c r="B11" s="25" t="s">
        <v>414</v>
      </c>
      <c r="C11" s="25" t="s">
        <v>415</v>
      </c>
      <c r="D11" s="25" t="s">
        <v>416</v>
      </c>
      <c r="E11" s="25" t="s">
        <v>384</v>
      </c>
      <c r="F11" s="24" t="s">
        <v>417</v>
      </c>
      <c r="G11" s="25" t="s">
        <v>377</v>
      </c>
      <c r="H11" s="24" t="s">
        <v>34</v>
      </c>
      <c r="I11" s="28" t="s">
        <v>34</v>
      </c>
      <c r="J11" s="24" t="s">
        <v>418</v>
      </c>
      <c r="K11" s="24" t="s">
        <v>419</v>
      </c>
      <c r="L11" s="25" t="s">
        <v>420</v>
      </c>
      <c r="M11" s="25" t="s">
        <v>421</v>
      </c>
      <c r="N11" s="25" t="s">
        <v>53</v>
      </c>
      <c r="O11" s="24"/>
    </row>
    <row r="12" spans="1:16" ht="27.75" customHeight="1" x14ac:dyDescent="0.3">
      <c r="A12" s="31" t="s">
        <v>168</v>
      </c>
      <c r="B12" s="32" t="s">
        <v>176</v>
      </c>
      <c r="C12" s="32" t="s">
        <v>422</v>
      </c>
      <c r="D12" s="32" t="s">
        <v>423</v>
      </c>
      <c r="E12" s="32" t="s">
        <v>384</v>
      </c>
      <c r="F12" s="31" t="s">
        <v>68</v>
      </c>
      <c r="G12" s="32" t="s">
        <v>377</v>
      </c>
      <c r="H12" s="31" t="s">
        <v>34</v>
      </c>
      <c r="I12" s="28" t="s">
        <v>34</v>
      </c>
      <c r="J12" s="31" t="s">
        <v>424</v>
      </c>
      <c r="K12" s="31" t="s">
        <v>387</v>
      </c>
      <c r="L12" s="32" t="s">
        <v>425</v>
      </c>
      <c r="M12" s="32" t="s">
        <v>426</v>
      </c>
      <c r="N12" s="32" t="s">
        <v>179</v>
      </c>
      <c r="O12" s="31"/>
    </row>
    <row r="13" spans="1:16" ht="27.75" customHeight="1" x14ac:dyDescent="0.3">
      <c r="A13" s="24" t="s">
        <v>215</v>
      </c>
      <c r="B13" s="25" t="s">
        <v>427</v>
      </c>
      <c r="C13" s="25" t="s">
        <v>428</v>
      </c>
      <c r="D13" s="25" t="s">
        <v>429</v>
      </c>
      <c r="E13" s="25" t="s">
        <v>370</v>
      </c>
      <c r="F13" s="24" t="s">
        <v>68</v>
      </c>
      <c r="G13" s="25" t="s">
        <v>377</v>
      </c>
      <c r="H13" s="24" t="s">
        <v>34</v>
      </c>
      <c r="I13" s="28" t="s">
        <v>34</v>
      </c>
      <c r="J13" s="24" t="s">
        <v>430</v>
      </c>
      <c r="K13" s="24" t="s">
        <v>431</v>
      </c>
      <c r="L13" s="25" t="s">
        <v>432</v>
      </c>
      <c r="M13" s="25" t="s">
        <v>433</v>
      </c>
      <c r="N13" s="25" t="s">
        <v>126</v>
      </c>
      <c r="O13" s="24" t="s">
        <v>434</v>
      </c>
    </row>
    <row r="14" spans="1:16" ht="27.75" customHeight="1" x14ac:dyDescent="0.3">
      <c r="A14" s="31" t="s">
        <v>215</v>
      </c>
      <c r="B14" s="32" t="s">
        <v>435</v>
      </c>
      <c r="C14" s="32" t="s">
        <v>436</v>
      </c>
      <c r="D14" s="32" t="s">
        <v>437</v>
      </c>
      <c r="E14" s="32" t="s">
        <v>370</v>
      </c>
      <c r="F14" s="31" t="s">
        <v>68</v>
      </c>
      <c r="G14" s="32" t="s">
        <v>377</v>
      </c>
      <c r="H14" s="31" t="s">
        <v>34</v>
      </c>
      <c r="I14" s="28" t="s">
        <v>34</v>
      </c>
      <c r="J14" s="31" t="s">
        <v>378</v>
      </c>
      <c r="K14" s="31" t="s">
        <v>68</v>
      </c>
      <c r="L14" s="32" t="s">
        <v>438</v>
      </c>
      <c r="M14" s="32" t="s">
        <v>439</v>
      </c>
      <c r="N14" s="32" t="s">
        <v>164</v>
      </c>
      <c r="O14" s="31" t="s">
        <v>440</v>
      </c>
    </row>
    <row r="15" spans="1:16" ht="27.75" customHeight="1" x14ac:dyDescent="0.3">
      <c r="A15" s="24" t="s">
        <v>215</v>
      </c>
      <c r="B15" s="25" t="s">
        <v>441</v>
      </c>
      <c r="C15" s="25" t="s">
        <v>239</v>
      </c>
      <c r="D15" s="25" t="s">
        <v>442</v>
      </c>
      <c r="E15" s="25" t="s">
        <v>384</v>
      </c>
      <c r="F15" s="42" t="s">
        <v>443</v>
      </c>
      <c r="G15" s="25" t="s">
        <v>377</v>
      </c>
      <c r="H15" s="24" t="s">
        <v>34</v>
      </c>
      <c r="I15" s="28" t="s">
        <v>34</v>
      </c>
      <c r="J15" s="24" t="s">
        <v>444</v>
      </c>
      <c r="K15" s="24" t="s">
        <v>445</v>
      </c>
      <c r="L15" s="25" t="s">
        <v>446</v>
      </c>
      <c r="M15" s="25" t="s">
        <v>447</v>
      </c>
      <c r="N15" s="25" t="s">
        <v>156</v>
      </c>
      <c r="O15" s="24"/>
    </row>
    <row r="16" spans="1:16" ht="27.75" customHeight="1" x14ac:dyDescent="0.3">
      <c r="A16" s="31" t="s">
        <v>275</v>
      </c>
      <c r="B16" s="32" t="s">
        <v>448</v>
      </c>
      <c r="C16" s="32" t="s">
        <v>449</v>
      </c>
      <c r="D16" s="32" t="s">
        <v>450</v>
      </c>
      <c r="E16" s="32" t="s">
        <v>384</v>
      </c>
      <c r="F16" s="31" t="s">
        <v>68</v>
      </c>
      <c r="G16" s="32" t="s">
        <v>377</v>
      </c>
      <c r="H16" s="31" t="s">
        <v>34</v>
      </c>
      <c r="I16" s="28" t="s">
        <v>34</v>
      </c>
      <c r="J16" s="31" t="s">
        <v>451</v>
      </c>
      <c r="K16" s="31" t="s">
        <v>419</v>
      </c>
      <c r="L16" s="32" t="s">
        <v>452</v>
      </c>
      <c r="M16" s="32" t="s">
        <v>453</v>
      </c>
      <c r="N16" s="32" t="s">
        <v>227</v>
      </c>
      <c r="O16" s="31"/>
    </row>
    <row r="17" spans="1:15" ht="27.75" customHeight="1" x14ac:dyDescent="0.3">
      <c r="A17" s="24" t="s">
        <v>275</v>
      </c>
      <c r="B17" s="25" t="s">
        <v>454</v>
      </c>
      <c r="C17" s="25" t="s">
        <v>455</v>
      </c>
      <c r="D17" s="25" t="s">
        <v>456</v>
      </c>
      <c r="E17" s="25" t="s">
        <v>370</v>
      </c>
      <c r="F17" s="24" t="s">
        <v>68</v>
      </c>
      <c r="G17" s="25" t="s">
        <v>377</v>
      </c>
      <c r="H17" s="24" t="s">
        <v>34</v>
      </c>
      <c r="I17" s="28" t="s">
        <v>34</v>
      </c>
      <c r="J17" s="24" t="s">
        <v>372</v>
      </c>
      <c r="K17" s="24" t="s">
        <v>457</v>
      </c>
      <c r="L17" s="25" t="s">
        <v>458</v>
      </c>
      <c r="M17" s="25" t="s">
        <v>459</v>
      </c>
      <c r="N17" s="25" t="s">
        <v>460</v>
      </c>
      <c r="O17" s="24"/>
    </row>
    <row r="18" spans="1:15" ht="27.75" customHeight="1" x14ac:dyDescent="0.3">
      <c r="A18" s="31" t="s">
        <v>310</v>
      </c>
      <c r="B18" s="32" t="s">
        <v>461</v>
      </c>
      <c r="C18" s="32" t="s">
        <v>462</v>
      </c>
      <c r="D18" s="32" t="s">
        <v>463</v>
      </c>
      <c r="E18" s="32" t="s">
        <v>384</v>
      </c>
      <c r="F18" s="31" t="s">
        <v>68</v>
      </c>
      <c r="G18" s="32" t="s">
        <v>377</v>
      </c>
      <c r="H18" s="31" t="s">
        <v>34</v>
      </c>
      <c r="I18" s="28" t="s">
        <v>34</v>
      </c>
      <c r="J18" s="31" t="s">
        <v>451</v>
      </c>
      <c r="K18" s="31" t="s">
        <v>387</v>
      </c>
      <c r="L18" s="32" t="s">
        <v>464</v>
      </c>
      <c r="M18" s="32" t="s">
        <v>453</v>
      </c>
      <c r="N18" s="32" t="s">
        <v>465</v>
      </c>
      <c r="O18" s="31" t="s">
        <v>466</v>
      </c>
    </row>
    <row r="19" spans="1:15" ht="27.75" customHeight="1" x14ac:dyDescent="0.3">
      <c r="A19" s="24" t="s">
        <v>310</v>
      </c>
      <c r="B19" s="25" t="s">
        <v>467</v>
      </c>
      <c r="C19" s="25" t="s">
        <v>468</v>
      </c>
      <c r="D19" s="25" t="s">
        <v>469</v>
      </c>
      <c r="E19" s="25" t="s">
        <v>370</v>
      </c>
      <c r="F19" s="24" t="s">
        <v>68</v>
      </c>
      <c r="G19" s="25" t="s">
        <v>377</v>
      </c>
      <c r="H19" s="24" t="s">
        <v>34</v>
      </c>
      <c r="I19" s="28" t="s">
        <v>34</v>
      </c>
      <c r="J19" s="24" t="s">
        <v>470</v>
      </c>
      <c r="K19" s="24" t="s">
        <v>387</v>
      </c>
      <c r="L19" s="25" t="s">
        <v>471</v>
      </c>
      <c r="M19" s="25" t="s">
        <v>472</v>
      </c>
      <c r="N19" s="25" t="s">
        <v>473</v>
      </c>
      <c r="O19" s="24"/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R18"/>
  <sheetViews>
    <sheetView showGridLines="0" zoomScaleNormal="100" workbookViewId="0">
      <pane ySplit="3" topLeftCell="A12" activePane="bottomLeft" state="frozen"/>
      <selection pane="bottomLeft" sqref="A1:R1"/>
    </sheetView>
  </sheetViews>
  <sheetFormatPr defaultColWidth="8.6640625" defaultRowHeight="14.4" x14ac:dyDescent="0.3"/>
  <cols>
    <col min="1" max="1" width="4" customWidth="1"/>
    <col min="2" max="2" width="18" customWidth="1"/>
    <col min="3" max="3" width="24" customWidth="1"/>
    <col min="4" max="4" width="20" customWidth="1"/>
    <col min="5" max="5" width="14" customWidth="1"/>
    <col min="6" max="6" width="20" customWidth="1"/>
    <col min="7" max="7" width="14" customWidth="1"/>
    <col min="8" max="12" width="10" customWidth="1"/>
    <col min="13" max="13" width="14" customWidth="1"/>
    <col min="14" max="15" width="12" customWidth="1"/>
    <col min="16" max="16" width="14" customWidth="1"/>
    <col min="17" max="17" width="10" customWidth="1"/>
    <col min="18" max="18" width="22" customWidth="1"/>
  </cols>
  <sheetData>
    <row r="1" spans="1:18" ht="36" customHeight="1" x14ac:dyDescent="0.3">
      <c r="A1" s="49" t="s">
        <v>474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</row>
    <row r="2" spans="1:18" ht="12" customHeight="1" x14ac:dyDescent="0.3"/>
    <row r="3" spans="1:18" ht="52.8" x14ac:dyDescent="0.3">
      <c r="A3" s="43" t="s">
        <v>8</v>
      </c>
      <c r="B3" s="43" t="s">
        <v>9</v>
      </c>
      <c r="C3" s="43" t="s">
        <v>353</v>
      </c>
      <c r="D3" s="43" t="s">
        <v>475</v>
      </c>
      <c r="E3" s="43" t="s">
        <v>476</v>
      </c>
      <c r="F3" s="43" t="s">
        <v>477</v>
      </c>
      <c r="G3" s="43" t="s">
        <v>478</v>
      </c>
      <c r="H3" s="43" t="s">
        <v>479</v>
      </c>
      <c r="I3" s="43" t="s">
        <v>480</v>
      </c>
      <c r="J3" s="43" t="s">
        <v>481</v>
      </c>
      <c r="K3" s="43" t="s">
        <v>482</v>
      </c>
      <c r="L3" s="43" t="s">
        <v>483</v>
      </c>
      <c r="M3" s="43" t="s">
        <v>484</v>
      </c>
      <c r="N3" s="43" t="s">
        <v>485</v>
      </c>
      <c r="O3" s="43" t="s">
        <v>486</v>
      </c>
      <c r="P3" s="43" t="s">
        <v>487</v>
      </c>
      <c r="Q3" s="43" t="s">
        <v>488</v>
      </c>
      <c r="R3" s="43" t="s">
        <v>489</v>
      </c>
    </row>
    <row r="4" spans="1:18" ht="30" customHeight="1" x14ac:dyDescent="0.3">
      <c r="A4" s="31" t="s">
        <v>30</v>
      </c>
      <c r="B4" s="32" t="s">
        <v>490</v>
      </c>
      <c r="C4" s="32" t="s">
        <v>491</v>
      </c>
      <c r="D4" s="32" t="s">
        <v>492</v>
      </c>
      <c r="E4" s="31" t="s">
        <v>493</v>
      </c>
      <c r="F4" s="32" t="s">
        <v>494</v>
      </c>
      <c r="G4" s="31" t="s">
        <v>34</v>
      </c>
      <c r="H4" s="28" t="s">
        <v>34</v>
      </c>
      <c r="I4" s="28" t="s">
        <v>34</v>
      </c>
      <c r="J4" s="28" t="s">
        <v>34</v>
      </c>
      <c r="K4" s="28" t="s">
        <v>34</v>
      </c>
      <c r="L4" s="31" t="s">
        <v>306</v>
      </c>
      <c r="M4" s="32" t="s">
        <v>34</v>
      </c>
      <c r="N4" s="31" t="s">
        <v>156</v>
      </c>
      <c r="O4" s="31" t="s">
        <v>377</v>
      </c>
      <c r="P4" s="32" t="s">
        <v>35</v>
      </c>
      <c r="Q4" s="31" t="s">
        <v>495</v>
      </c>
    </row>
    <row r="5" spans="1:18" ht="30" customHeight="1" x14ac:dyDescent="0.3">
      <c r="A5" s="24" t="s">
        <v>30</v>
      </c>
      <c r="B5" s="25" t="s">
        <v>58</v>
      </c>
      <c r="C5" s="25" t="s">
        <v>496</v>
      </c>
      <c r="D5" s="25" t="s">
        <v>497</v>
      </c>
      <c r="E5" s="24" t="s">
        <v>498</v>
      </c>
      <c r="F5" s="25" t="s">
        <v>499</v>
      </c>
      <c r="G5" s="24" t="s">
        <v>34</v>
      </c>
      <c r="H5" s="27" t="s">
        <v>35</v>
      </c>
      <c r="I5" s="27" t="s">
        <v>35</v>
      </c>
      <c r="J5" s="28" t="s">
        <v>34</v>
      </c>
      <c r="K5" s="28" t="s">
        <v>34</v>
      </c>
      <c r="L5" s="24" t="s">
        <v>306</v>
      </c>
      <c r="M5" s="25" t="s">
        <v>34</v>
      </c>
      <c r="N5" s="24" t="s">
        <v>156</v>
      </c>
      <c r="O5" s="24" t="s">
        <v>500</v>
      </c>
      <c r="P5" s="25" t="s">
        <v>34</v>
      </c>
      <c r="Q5" s="24" t="s">
        <v>501</v>
      </c>
    </row>
    <row r="6" spans="1:18" ht="30" customHeight="1" x14ac:dyDescent="0.3">
      <c r="A6" s="31" t="s">
        <v>30</v>
      </c>
      <c r="B6" s="32" t="s">
        <v>502</v>
      </c>
      <c r="C6" s="32" t="s">
        <v>503</v>
      </c>
      <c r="D6" s="32" t="s">
        <v>504</v>
      </c>
      <c r="E6" s="31" t="s">
        <v>68</v>
      </c>
      <c r="F6" s="32" t="s">
        <v>68</v>
      </c>
      <c r="G6" s="31" t="s">
        <v>68</v>
      </c>
      <c r="H6" s="31" t="s">
        <v>68</v>
      </c>
      <c r="I6" s="28" t="s">
        <v>34</v>
      </c>
      <c r="J6" s="28" t="s">
        <v>34</v>
      </c>
      <c r="K6" s="28" t="s">
        <v>34</v>
      </c>
      <c r="L6" s="31" t="s">
        <v>505</v>
      </c>
      <c r="M6" s="32" t="s">
        <v>34</v>
      </c>
      <c r="N6" s="31" t="s">
        <v>83</v>
      </c>
      <c r="O6" s="31" t="s">
        <v>68</v>
      </c>
      <c r="P6" s="32" t="s">
        <v>35</v>
      </c>
      <c r="Q6" s="31" t="s">
        <v>506</v>
      </c>
    </row>
    <row r="7" spans="1:18" ht="30" customHeight="1" x14ac:dyDescent="0.3">
      <c r="A7" s="24" t="s">
        <v>30</v>
      </c>
      <c r="B7" s="25" t="s">
        <v>507</v>
      </c>
      <c r="C7" s="25" t="s">
        <v>508</v>
      </c>
      <c r="D7" s="25" t="s">
        <v>509</v>
      </c>
      <c r="E7" s="24" t="s">
        <v>510</v>
      </c>
      <c r="F7" s="25" t="s">
        <v>511</v>
      </c>
      <c r="G7" s="24" t="s">
        <v>34</v>
      </c>
      <c r="H7" s="28" t="s">
        <v>34</v>
      </c>
      <c r="I7" s="28" t="s">
        <v>34</v>
      </c>
      <c r="J7" s="28" t="s">
        <v>34</v>
      </c>
      <c r="K7" s="28" t="s">
        <v>34</v>
      </c>
      <c r="L7" s="24" t="s">
        <v>512</v>
      </c>
      <c r="M7" s="25" t="s">
        <v>34</v>
      </c>
      <c r="N7" s="24" t="s">
        <v>227</v>
      </c>
      <c r="O7" s="24" t="s">
        <v>377</v>
      </c>
      <c r="P7" s="25" t="s">
        <v>35</v>
      </c>
      <c r="Q7" s="24"/>
    </row>
    <row r="8" spans="1:18" ht="30" customHeight="1" x14ac:dyDescent="0.3">
      <c r="A8" s="31" t="s">
        <v>97</v>
      </c>
      <c r="B8" s="32" t="s">
        <v>513</v>
      </c>
      <c r="C8" s="32" t="s">
        <v>514</v>
      </c>
      <c r="D8" s="32" t="s">
        <v>515</v>
      </c>
      <c r="E8" s="31" t="s">
        <v>516</v>
      </c>
      <c r="F8" s="32" t="s">
        <v>517</v>
      </c>
      <c r="G8" s="31" t="s">
        <v>34</v>
      </c>
      <c r="H8" s="28" t="s">
        <v>34</v>
      </c>
      <c r="I8" s="28" t="s">
        <v>34</v>
      </c>
      <c r="J8" s="28" t="s">
        <v>34</v>
      </c>
      <c r="K8" s="28" t="s">
        <v>34</v>
      </c>
      <c r="L8" s="31" t="s">
        <v>518</v>
      </c>
      <c r="M8" s="32" t="s">
        <v>34</v>
      </c>
      <c r="N8" s="31" t="s">
        <v>156</v>
      </c>
      <c r="O8" s="31" t="s">
        <v>377</v>
      </c>
      <c r="P8" s="32" t="s">
        <v>35</v>
      </c>
      <c r="Q8" s="31" t="s">
        <v>519</v>
      </c>
    </row>
    <row r="9" spans="1:18" ht="30" customHeight="1" x14ac:dyDescent="0.3">
      <c r="A9" s="24" t="s">
        <v>97</v>
      </c>
      <c r="B9" s="25" t="s">
        <v>409</v>
      </c>
      <c r="C9" s="25" t="s">
        <v>520</v>
      </c>
      <c r="D9" s="25" t="s">
        <v>504</v>
      </c>
      <c r="E9" s="24" t="s">
        <v>68</v>
      </c>
      <c r="F9" s="25" t="s">
        <v>68</v>
      </c>
      <c r="G9" s="24" t="s">
        <v>68</v>
      </c>
      <c r="H9" s="24" t="s">
        <v>68</v>
      </c>
      <c r="I9" s="27" t="s">
        <v>35</v>
      </c>
      <c r="J9" s="28" t="s">
        <v>34</v>
      </c>
      <c r="K9" s="28" t="s">
        <v>34</v>
      </c>
      <c r="L9" s="24" t="s">
        <v>505</v>
      </c>
      <c r="M9" s="25" t="s">
        <v>34</v>
      </c>
      <c r="N9" s="24" t="s">
        <v>156</v>
      </c>
      <c r="O9" s="24" t="s">
        <v>68</v>
      </c>
      <c r="P9" s="25" t="s">
        <v>35</v>
      </c>
      <c r="Q9" s="24"/>
    </row>
    <row r="10" spans="1:18" ht="30" customHeight="1" x14ac:dyDescent="0.3">
      <c r="A10" s="31" t="s">
        <v>168</v>
      </c>
      <c r="B10" s="32" t="s">
        <v>521</v>
      </c>
      <c r="C10" s="32" t="s">
        <v>522</v>
      </c>
      <c r="D10" s="32" t="s">
        <v>497</v>
      </c>
      <c r="E10" s="31" t="s">
        <v>68</v>
      </c>
      <c r="F10" s="32" t="s">
        <v>68</v>
      </c>
      <c r="G10" s="31" t="s">
        <v>68</v>
      </c>
      <c r="H10" s="31" t="s">
        <v>68</v>
      </c>
      <c r="I10" s="27" t="s">
        <v>35</v>
      </c>
      <c r="J10" s="28" t="s">
        <v>34</v>
      </c>
      <c r="K10" s="28" t="s">
        <v>34</v>
      </c>
      <c r="L10" s="31" t="s">
        <v>518</v>
      </c>
      <c r="M10" s="32" t="s">
        <v>34</v>
      </c>
      <c r="N10" s="31" t="s">
        <v>53</v>
      </c>
      <c r="O10" s="31" t="s">
        <v>68</v>
      </c>
      <c r="P10" s="32" t="s">
        <v>35</v>
      </c>
      <c r="Q10" s="31"/>
    </row>
    <row r="11" spans="1:18" ht="30" customHeight="1" x14ac:dyDescent="0.3">
      <c r="A11" s="24" t="s">
        <v>168</v>
      </c>
      <c r="B11" s="25" t="s">
        <v>176</v>
      </c>
      <c r="C11" s="25" t="s">
        <v>523</v>
      </c>
      <c r="D11" s="25" t="s">
        <v>497</v>
      </c>
      <c r="E11" s="24" t="s">
        <v>524</v>
      </c>
      <c r="F11" s="25" t="s">
        <v>504</v>
      </c>
      <c r="G11" s="24" t="s">
        <v>34</v>
      </c>
      <c r="H11" s="28" t="s">
        <v>34</v>
      </c>
      <c r="I11" s="27" t="s">
        <v>35</v>
      </c>
      <c r="J11" s="28" t="s">
        <v>34</v>
      </c>
      <c r="K11" s="28" t="s">
        <v>34</v>
      </c>
      <c r="L11" s="24" t="s">
        <v>512</v>
      </c>
      <c r="M11" s="25" t="s">
        <v>34</v>
      </c>
      <c r="N11" s="24" t="s">
        <v>164</v>
      </c>
      <c r="O11" s="24" t="s">
        <v>377</v>
      </c>
      <c r="P11" s="25" t="s">
        <v>35</v>
      </c>
      <c r="Q11" s="24"/>
    </row>
    <row r="12" spans="1:18" ht="30" customHeight="1" x14ac:dyDescent="0.3">
      <c r="A12" s="31" t="s">
        <v>215</v>
      </c>
      <c r="B12" s="32" t="s">
        <v>427</v>
      </c>
      <c r="C12" s="32" t="s">
        <v>525</v>
      </c>
      <c r="D12" s="32" t="s">
        <v>526</v>
      </c>
      <c r="E12" s="31" t="s">
        <v>68</v>
      </c>
      <c r="F12" s="32" t="s">
        <v>68</v>
      </c>
      <c r="G12" s="31" t="s">
        <v>68</v>
      </c>
      <c r="H12" s="31" t="s">
        <v>68</v>
      </c>
      <c r="I12" s="28" t="s">
        <v>34</v>
      </c>
      <c r="J12" s="28" t="s">
        <v>34</v>
      </c>
      <c r="K12" s="28" t="s">
        <v>34</v>
      </c>
      <c r="L12" s="31" t="s">
        <v>527</v>
      </c>
      <c r="M12" s="32" t="s">
        <v>34</v>
      </c>
      <c r="N12" s="31" t="s">
        <v>126</v>
      </c>
      <c r="O12" s="31" t="s">
        <v>68</v>
      </c>
      <c r="P12" s="32" t="s">
        <v>35</v>
      </c>
      <c r="Q12" s="31" t="s">
        <v>528</v>
      </c>
    </row>
    <row r="13" spans="1:18" ht="30" customHeight="1" x14ac:dyDescent="0.3">
      <c r="A13" s="24" t="s">
        <v>215</v>
      </c>
      <c r="B13" s="25" t="s">
        <v>435</v>
      </c>
      <c r="C13" s="25" t="s">
        <v>529</v>
      </c>
      <c r="D13" s="25" t="s">
        <v>504</v>
      </c>
      <c r="E13" s="24" t="s">
        <v>530</v>
      </c>
      <c r="F13" s="25" t="s">
        <v>531</v>
      </c>
      <c r="G13" s="24" t="s">
        <v>34</v>
      </c>
      <c r="H13" s="28" t="s">
        <v>34</v>
      </c>
      <c r="I13" s="27" t="s">
        <v>35</v>
      </c>
      <c r="J13" s="28" t="s">
        <v>34</v>
      </c>
      <c r="K13" s="28" t="s">
        <v>34</v>
      </c>
      <c r="L13" s="24" t="s">
        <v>532</v>
      </c>
      <c r="M13" s="25" t="s">
        <v>34</v>
      </c>
      <c r="N13" s="24" t="s">
        <v>164</v>
      </c>
      <c r="O13" s="24" t="s">
        <v>377</v>
      </c>
      <c r="P13" s="25" t="s">
        <v>35</v>
      </c>
      <c r="Q13" s="24" t="s">
        <v>533</v>
      </c>
    </row>
    <row r="14" spans="1:18" ht="30" customHeight="1" x14ac:dyDescent="0.3">
      <c r="A14" s="31" t="s">
        <v>215</v>
      </c>
      <c r="B14" s="32" t="s">
        <v>441</v>
      </c>
      <c r="C14" s="32" t="s">
        <v>534</v>
      </c>
      <c r="D14" s="32" t="s">
        <v>535</v>
      </c>
      <c r="E14" s="31" t="s">
        <v>536</v>
      </c>
      <c r="F14" s="32" t="s">
        <v>537</v>
      </c>
      <c r="G14" s="31" t="s">
        <v>34</v>
      </c>
      <c r="H14" s="28" t="s">
        <v>34</v>
      </c>
      <c r="I14" s="28" t="s">
        <v>34</v>
      </c>
      <c r="J14" s="28" t="s">
        <v>34</v>
      </c>
      <c r="K14" s="28" t="s">
        <v>34</v>
      </c>
      <c r="L14" s="31" t="s">
        <v>512</v>
      </c>
      <c r="M14" s="32" t="s">
        <v>34</v>
      </c>
      <c r="N14" s="31" t="s">
        <v>156</v>
      </c>
      <c r="O14" s="31" t="s">
        <v>377</v>
      </c>
      <c r="P14" s="32" t="s">
        <v>35</v>
      </c>
      <c r="Q14" s="31"/>
    </row>
    <row r="15" spans="1:18" ht="30" customHeight="1" x14ac:dyDescent="0.3">
      <c r="A15" s="24" t="s">
        <v>275</v>
      </c>
      <c r="B15" s="25" t="s">
        <v>454</v>
      </c>
      <c r="C15" s="25" t="s">
        <v>538</v>
      </c>
      <c r="D15" s="25" t="s">
        <v>539</v>
      </c>
      <c r="E15" s="24" t="s">
        <v>68</v>
      </c>
      <c r="F15" s="25" t="s">
        <v>68</v>
      </c>
      <c r="G15" s="24" t="s">
        <v>68</v>
      </c>
      <c r="H15" s="24" t="s">
        <v>68</v>
      </c>
      <c r="I15" s="28" t="s">
        <v>34</v>
      </c>
      <c r="J15" s="28" t="s">
        <v>34</v>
      </c>
      <c r="K15" s="28" t="s">
        <v>34</v>
      </c>
      <c r="L15" s="24" t="s">
        <v>512</v>
      </c>
      <c r="M15" s="25" t="s">
        <v>34</v>
      </c>
      <c r="N15" s="24" t="s">
        <v>156</v>
      </c>
      <c r="O15" s="24" t="s">
        <v>68</v>
      </c>
      <c r="P15" s="25" t="s">
        <v>35</v>
      </c>
      <c r="Q15" s="24" t="s">
        <v>540</v>
      </c>
    </row>
    <row r="16" spans="1:18" ht="30" customHeight="1" x14ac:dyDescent="0.3">
      <c r="A16" s="31" t="s">
        <v>275</v>
      </c>
      <c r="B16" s="32" t="s">
        <v>297</v>
      </c>
      <c r="C16" s="32" t="s">
        <v>541</v>
      </c>
      <c r="D16" s="32" t="s">
        <v>497</v>
      </c>
      <c r="E16" s="31" t="s">
        <v>542</v>
      </c>
      <c r="F16" s="32" t="s">
        <v>504</v>
      </c>
      <c r="G16" s="31" t="s">
        <v>34</v>
      </c>
      <c r="H16" s="28" t="s">
        <v>34</v>
      </c>
      <c r="I16" s="28" t="s">
        <v>34</v>
      </c>
      <c r="J16" s="28" t="s">
        <v>34</v>
      </c>
      <c r="K16" s="28" t="s">
        <v>34</v>
      </c>
      <c r="L16" s="31" t="s">
        <v>512</v>
      </c>
      <c r="M16" s="32" t="s">
        <v>34</v>
      </c>
      <c r="N16" s="31" t="s">
        <v>227</v>
      </c>
      <c r="O16" s="31" t="s">
        <v>377</v>
      </c>
      <c r="P16" s="32" t="s">
        <v>35</v>
      </c>
      <c r="Q16" s="31"/>
    </row>
    <row r="17" spans="1:17" ht="30" customHeight="1" x14ac:dyDescent="0.3">
      <c r="A17" s="24" t="s">
        <v>310</v>
      </c>
      <c r="B17" s="25" t="s">
        <v>461</v>
      </c>
      <c r="C17" s="25" t="s">
        <v>543</v>
      </c>
      <c r="D17" s="25" t="s">
        <v>497</v>
      </c>
      <c r="E17" s="24" t="s">
        <v>544</v>
      </c>
      <c r="F17" s="25" t="s">
        <v>504</v>
      </c>
      <c r="G17" s="24" t="s">
        <v>68</v>
      </c>
      <c r="H17" s="24" t="s">
        <v>68</v>
      </c>
      <c r="I17" s="27" t="s">
        <v>35</v>
      </c>
      <c r="J17" s="28" t="s">
        <v>34</v>
      </c>
      <c r="K17" s="28" t="s">
        <v>34</v>
      </c>
      <c r="L17" s="24" t="s">
        <v>518</v>
      </c>
      <c r="M17" s="25" t="s">
        <v>34</v>
      </c>
      <c r="N17" s="24" t="s">
        <v>545</v>
      </c>
      <c r="O17" s="24" t="s">
        <v>68</v>
      </c>
      <c r="P17" s="25" t="s">
        <v>35</v>
      </c>
      <c r="Q17" s="24" t="s">
        <v>546</v>
      </c>
    </row>
    <row r="18" spans="1:17" ht="30" customHeight="1" x14ac:dyDescent="0.3">
      <c r="A18" s="31" t="s">
        <v>310</v>
      </c>
      <c r="B18" s="32" t="s">
        <v>341</v>
      </c>
      <c r="C18" s="32" t="s">
        <v>547</v>
      </c>
      <c r="D18" s="32" t="s">
        <v>497</v>
      </c>
      <c r="E18" s="31" t="s">
        <v>68</v>
      </c>
      <c r="F18" s="32" t="s">
        <v>68</v>
      </c>
      <c r="G18" s="31" t="s">
        <v>68</v>
      </c>
      <c r="H18" s="31" t="s">
        <v>68</v>
      </c>
      <c r="I18" s="27" t="s">
        <v>35</v>
      </c>
      <c r="J18" s="28" t="s">
        <v>34</v>
      </c>
      <c r="K18" s="28" t="s">
        <v>34</v>
      </c>
      <c r="L18" s="31" t="s">
        <v>527</v>
      </c>
      <c r="M18" s="32" t="s">
        <v>34</v>
      </c>
      <c r="N18" s="31" t="s">
        <v>164</v>
      </c>
      <c r="O18" s="31" t="s">
        <v>68</v>
      </c>
      <c r="P18" s="32" t="s">
        <v>35</v>
      </c>
      <c r="Q18" s="31"/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55A11"/>
  </sheetPr>
  <dimension ref="A1:N17"/>
  <sheetViews>
    <sheetView showGridLines="0" zoomScaleNormal="100" workbookViewId="0">
      <pane ySplit="3" topLeftCell="A4" activePane="bottomLeft" state="frozen"/>
      <selection pane="bottomLeft" sqref="A1:N1"/>
    </sheetView>
  </sheetViews>
  <sheetFormatPr defaultColWidth="8.6640625" defaultRowHeight="14.4" x14ac:dyDescent="0.3"/>
  <cols>
    <col min="1" max="1" width="4" customWidth="1"/>
    <col min="2" max="2" width="18" customWidth="1"/>
    <col min="3" max="3" width="24" customWidth="1"/>
    <col min="4" max="4" width="28" customWidth="1"/>
    <col min="5" max="5" width="22" customWidth="1"/>
    <col min="6" max="6" width="18" customWidth="1"/>
    <col min="7" max="7" width="14" customWidth="1"/>
    <col min="8" max="8" width="16" customWidth="1"/>
    <col min="9" max="10" width="20" customWidth="1"/>
    <col min="11" max="11" width="22" customWidth="1"/>
    <col min="12" max="12" width="12" customWidth="1"/>
    <col min="13" max="13" width="14" customWidth="1"/>
    <col min="14" max="14" width="22" customWidth="1"/>
  </cols>
  <sheetData>
    <row r="1" spans="1:14" ht="36" customHeight="1" x14ac:dyDescent="0.3">
      <c r="A1" s="50" t="s">
        <v>548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ht="12" customHeight="1" x14ac:dyDescent="0.3"/>
    <row r="3" spans="1:14" ht="39.6" x14ac:dyDescent="0.3">
      <c r="A3" s="44" t="s">
        <v>8</v>
      </c>
      <c r="B3" s="44" t="s">
        <v>9</v>
      </c>
      <c r="C3" s="44" t="s">
        <v>353</v>
      </c>
      <c r="D3" s="44" t="s">
        <v>549</v>
      </c>
      <c r="E3" s="44" t="s">
        <v>550</v>
      </c>
      <c r="F3" s="44" t="s">
        <v>551</v>
      </c>
      <c r="G3" s="44" t="s">
        <v>552</v>
      </c>
      <c r="H3" s="44" t="s">
        <v>553</v>
      </c>
      <c r="I3" s="44" t="s">
        <v>554</v>
      </c>
      <c r="J3" s="44" t="s">
        <v>555</v>
      </c>
      <c r="K3" s="44" t="s">
        <v>556</v>
      </c>
      <c r="L3" s="44" t="s">
        <v>557</v>
      </c>
      <c r="M3" s="44" t="s">
        <v>558</v>
      </c>
      <c r="N3" s="44" t="s">
        <v>559</v>
      </c>
    </row>
    <row r="4" spans="1:14" ht="36" customHeight="1" x14ac:dyDescent="0.3">
      <c r="A4" s="31" t="s">
        <v>30</v>
      </c>
      <c r="B4" s="32" t="s">
        <v>490</v>
      </c>
      <c r="C4" s="32" t="s">
        <v>560</v>
      </c>
      <c r="D4" s="32" t="s">
        <v>561</v>
      </c>
      <c r="E4" s="32" t="s">
        <v>562</v>
      </c>
      <c r="F4" s="32" t="s">
        <v>34</v>
      </c>
      <c r="G4" s="28" t="s">
        <v>34</v>
      </c>
      <c r="H4" s="31" t="s">
        <v>563</v>
      </c>
      <c r="I4" s="32" t="s">
        <v>564</v>
      </c>
      <c r="J4" s="32" t="s">
        <v>565</v>
      </c>
      <c r="K4" s="32" t="s">
        <v>34</v>
      </c>
      <c r="L4" s="31" t="s">
        <v>566</v>
      </c>
      <c r="M4" s="27" t="s">
        <v>567</v>
      </c>
    </row>
    <row r="5" spans="1:14" ht="36" customHeight="1" x14ac:dyDescent="0.3">
      <c r="A5" s="24" t="s">
        <v>30</v>
      </c>
      <c r="B5" s="25" t="s">
        <v>58</v>
      </c>
      <c r="C5" s="25" t="s">
        <v>568</v>
      </c>
      <c r="D5" s="25" t="s">
        <v>569</v>
      </c>
      <c r="E5" s="25" t="s">
        <v>570</v>
      </c>
      <c r="F5" s="25" t="s">
        <v>34</v>
      </c>
      <c r="G5" s="28" t="s">
        <v>34</v>
      </c>
      <c r="H5" s="24" t="s">
        <v>53</v>
      </c>
      <c r="I5" s="25" t="s">
        <v>571</v>
      </c>
      <c r="J5" s="25" t="s">
        <v>572</v>
      </c>
      <c r="K5" s="25" t="s">
        <v>573</v>
      </c>
      <c r="L5" s="24" t="s">
        <v>566</v>
      </c>
      <c r="M5" s="24" t="s">
        <v>64</v>
      </c>
    </row>
    <row r="6" spans="1:14" ht="36" customHeight="1" x14ac:dyDescent="0.3">
      <c r="A6" s="31" t="s">
        <v>30</v>
      </c>
      <c r="B6" s="32" t="s">
        <v>502</v>
      </c>
      <c r="C6" s="32" t="s">
        <v>574</v>
      </c>
      <c r="D6" s="32" t="s">
        <v>81</v>
      </c>
      <c r="E6" s="32" t="s">
        <v>575</v>
      </c>
      <c r="F6" s="32" t="s">
        <v>34</v>
      </c>
      <c r="G6" s="28" t="s">
        <v>34</v>
      </c>
      <c r="H6" s="31" t="s">
        <v>576</v>
      </c>
      <c r="I6" s="32" t="s">
        <v>577</v>
      </c>
      <c r="J6" s="32" t="s">
        <v>578</v>
      </c>
      <c r="K6" s="32" t="s">
        <v>35</v>
      </c>
      <c r="L6" s="31" t="s">
        <v>579</v>
      </c>
      <c r="M6" s="31" t="s">
        <v>580</v>
      </c>
    </row>
    <row r="7" spans="1:14" ht="36" customHeight="1" x14ac:dyDescent="0.3">
      <c r="A7" s="24" t="s">
        <v>30</v>
      </c>
      <c r="B7" s="25" t="s">
        <v>507</v>
      </c>
      <c r="C7" s="25" t="s">
        <v>581</v>
      </c>
      <c r="D7" s="25" t="s">
        <v>69</v>
      </c>
      <c r="E7" s="25" t="s">
        <v>582</v>
      </c>
      <c r="F7" s="25" t="s">
        <v>34</v>
      </c>
      <c r="G7" s="28" t="s">
        <v>34</v>
      </c>
      <c r="H7" s="24" t="s">
        <v>583</v>
      </c>
      <c r="I7" s="25" t="s">
        <v>584</v>
      </c>
      <c r="J7" s="25" t="s">
        <v>585</v>
      </c>
      <c r="K7" s="25" t="s">
        <v>35</v>
      </c>
      <c r="L7" s="24" t="s">
        <v>586</v>
      </c>
      <c r="M7" s="24"/>
    </row>
    <row r="8" spans="1:14" ht="36" customHeight="1" x14ac:dyDescent="0.3">
      <c r="A8" s="31" t="s">
        <v>97</v>
      </c>
      <c r="B8" s="32" t="s">
        <v>513</v>
      </c>
      <c r="C8" s="32" t="s">
        <v>587</v>
      </c>
      <c r="D8" s="32" t="s">
        <v>69</v>
      </c>
      <c r="E8" s="32" t="s">
        <v>588</v>
      </c>
      <c r="F8" s="32" t="s">
        <v>34</v>
      </c>
      <c r="G8" s="28" t="s">
        <v>34</v>
      </c>
      <c r="H8" s="31" t="s">
        <v>589</v>
      </c>
      <c r="I8" s="32" t="s">
        <v>590</v>
      </c>
      <c r="J8" s="32" t="s">
        <v>585</v>
      </c>
      <c r="K8" s="32" t="s">
        <v>35</v>
      </c>
      <c r="L8" s="31" t="s">
        <v>586</v>
      </c>
      <c r="M8" s="31"/>
    </row>
    <row r="9" spans="1:14" ht="36" customHeight="1" x14ac:dyDescent="0.3">
      <c r="A9" s="24" t="s">
        <v>97</v>
      </c>
      <c r="B9" s="25" t="s">
        <v>591</v>
      </c>
      <c r="C9" s="25" t="s">
        <v>592</v>
      </c>
      <c r="D9" s="25" t="s">
        <v>593</v>
      </c>
      <c r="E9" s="25" t="s">
        <v>594</v>
      </c>
      <c r="F9" s="25" t="s">
        <v>34</v>
      </c>
      <c r="G9" s="28" t="s">
        <v>34</v>
      </c>
      <c r="H9" s="24" t="s">
        <v>156</v>
      </c>
      <c r="I9" s="25" t="s">
        <v>595</v>
      </c>
      <c r="J9" s="25" t="s">
        <v>596</v>
      </c>
      <c r="K9" s="25" t="s">
        <v>597</v>
      </c>
      <c r="L9" s="24" t="s">
        <v>598</v>
      </c>
      <c r="M9" s="24" t="s">
        <v>599</v>
      </c>
    </row>
    <row r="10" spans="1:14" ht="36" customHeight="1" x14ac:dyDescent="0.3">
      <c r="A10" s="31" t="s">
        <v>168</v>
      </c>
      <c r="B10" s="32" t="s">
        <v>521</v>
      </c>
      <c r="C10" s="32" t="s">
        <v>600</v>
      </c>
      <c r="D10" s="32" t="s">
        <v>561</v>
      </c>
      <c r="E10" s="32" t="s">
        <v>601</v>
      </c>
      <c r="F10" s="32" t="s">
        <v>34</v>
      </c>
      <c r="G10" s="28" t="s">
        <v>34</v>
      </c>
      <c r="H10" s="31" t="s">
        <v>602</v>
      </c>
      <c r="I10" s="32" t="s">
        <v>603</v>
      </c>
      <c r="J10" s="32" t="s">
        <v>585</v>
      </c>
      <c r="K10" s="32" t="s">
        <v>35</v>
      </c>
      <c r="L10" s="31" t="s">
        <v>586</v>
      </c>
      <c r="M10" s="31"/>
    </row>
    <row r="11" spans="1:14" ht="36" customHeight="1" x14ac:dyDescent="0.3">
      <c r="A11" s="24" t="s">
        <v>168</v>
      </c>
      <c r="B11" s="25" t="s">
        <v>176</v>
      </c>
      <c r="C11" s="25" t="s">
        <v>604</v>
      </c>
      <c r="D11" s="25" t="s">
        <v>605</v>
      </c>
      <c r="E11" s="25" t="s">
        <v>606</v>
      </c>
      <c r="F11" s="25" t="s">
        <v>34</v>
      </c>
      <c r="G11" s="28" t="s">
        <v>34</v>
      </c>
      <c r="H11" s="24" t="s">
        <v>179</v>
      </c>
      <c r="I11" s="25" t="s">
        <v>607</v>
      </c>
      <c r="J11" s="25" t="s">
        <v>585</v>
      </c>
      <c r="K11" s="25" t="s">
        <v>35</v>
      </c>
      <c r="L11" s="24" t="s">
        <v>586</v>
      </c>
      <c r="M11" s="24"/>
    </row>
    <row r="12" spans="1:14" ht="36" customHeight="1" x14ac:dyDescent="0.3">
      <c r="A12" s="31" t="s">
        <v>215</v>
      </c>
      <c r="B12" s="32" t="s">
        <v>427</v>
      </c>
      <c r="C12" s="32" t="s">
        <v>608</v>
      </c>
      <c r="D12" s="32" t="s">
        <v>69</v>
      </c>
      <c r="E12" s="32" t="s">
        <v>609</v>
      </c>
      <c r="F12" s="32" t="s">
        <v>34</v>
      </c>
      <c r="G12" s="28" t="s">
        <v>34</v>
      </c>
      <c r="H12" s="31" t="s">
        <v>126</v>
      </c>
      <c r="I12" s="32" t="s">
        <v>610</v>
      </c>
      <c r="J12" s="32" t="s">
        <v>585</v>
      </c>
      <c r="K12" s="32" t="s">
        <v>35</v>
      </c>
      <c r="L12" s="31" t="s">
        <v>586</v>
      </c>
      <c r="M12" s="31" t="s">
        <v>611</v>
      </c>
    </row>
    <row r="13" spans="1:14" ht="36" customHeight="1" x14ac:dyDescent="0.3">
      <c r="A13" s="24" t="s">
        <v>215</v>
      </c>
      <c r="B13" s="25" t="s">
        <v>441</v>
      </c>
      <c r="C13" s="25" t="s">
        <v>612</v>
      </c>
      <c r="D13" s="25" t="s">
        <v>605</v>
      </c>
      <c r="E13" s="25" t="s">
        <v>613</v>
      </c>
      <c r="F13" s="25" t="s">
        <v>34</v>
      </c>
      <c r="G13" s="28" t="s">
        <v>34</v>
      </c>
      <c r="H13" s="24" t="s">
        <v>156</v>
      </c>
      <c r="I13" s="25" t="s">
        <v>614</v>
      </c>
      <c r="J13" s="25" t="s">
        <v>615</v>
      </c>
      <c r="K13" s="25" t="s">
        <v>35</v>
      </c>
      <c r="L13" s="24" t="s">
        <v>586</v>
      </c>
      <c r="M13" s="24" t="s">
        <v>616</v>
      </c>
    </row>
    <row r="14" spans="1:14" ht="36" customHeight="1" x14ac:dyDescent="0.3">
      <c r="A14" s="31" t="s">
        <v>275</v>
      </c>
      <c r="B14" s="32" t="s">
        <v>454</v>
      </c>
      <c r="C14" s="32" t="s">
        <v>617</v>
      </c>
      <c r="D14" s="32" t="s">
        <v>618</v>
      </c>
      <c r="E14" s="32" t="s">
        <v>619</v>
      </c>
      <c r="F14" s="32" t="s">
        <v>34</v>
      </c>
      <c r="G14" s="28" t="s">
        <v>34</v>
      </c>
      <c r="H14" s="31" t="s">
        <v>620</v>
      </c>
      <c r="I14" s="32" t="s">
        <v>621</v>
      </c>
      <c r="J14" s="32" t="s">
        <v>622</v>
      </c>
      <c r="K14" s="32" t="s">
        <v>623</v>
      </c>
      <c r="L14" s="31" t="s">
        <v>586</v>
      </c>
      <c r="M14" s="31"/>
    </row>
    <row r="15" spans="1:14" ht="36" customHeight="1" x14ac:dyDescent="0.3">
      <c r="A15" s="24" t="s">
        <v>275</v>
      </c>
      <c r="B15" s="25" t="s">
        <v>297</v>
      </c>
      <c r="C15" s="25" t="s">
        <v>624</v>
      </c>
      <c r="D15" s="25" t="s">
        <v>605</v>
      </c>
      <c r="E15" s="25" t="s">
        <v>625</v>
      </c>
      <c r="F15" s="25" t="s">
        <v>34</v>
      </c>
      <c r="G15" s="28" t="s">
        <v>34</v>
      </c>
      <c r="H15" s="24" t="s">
        <v>626</v>
      </c>
      <c r="I15" s="25" t="s">
        <v>627</v>
      </c>
      <c r="J15" s="25" t="s">
        <v>615</v>
      </c>
      <c r="K15" s="25" t="s">
        <v>35</v>
      </c>
      <c r="L15" s="24" t="s">
        <v>628</v>
      </c>
      <c r="M15" s="24"/>
    </row>
    <row r="16" spans="1:14" ht="36" customHeight="1" x14ac:dyDescent="0.3">
      <c r="A16" s="31" t="s">
        <v>310</v>
      </c>
      <c r="B16" s="32" t="s">
        <v>461</v>
      </c>
      <c r="C16" s="32" t="s">
        <v>629</v>
      </c>
      <c r="D16" s="32" t="s">
        <v>81</v>
      </c>
      <c r="E16" s="32" t="s">
        <v>630</v>
      </c>
      <c r="F16" s="32" t="s">
        <v>34</v>
      </c>
      <c r="G16" s="28" t="s">
        <v>34</v>
      </c>
      <c r="H16" s="31" t="s">
        <v>465</v>
      </c>
      <c r="I16" s="32" t="s">
        <v>631</v>
      </c>
      <c r="J16" s="32" t="s">
        <v>632</v>
      </c>
      <c r="K16" s="32" t="s">
        <v>35</v>
      </c>
      <c r="L16" s="31" t="s">
        <v>633</v>
      </c>
      <c r="M16" s="27" t="s">
        <v>634</v>
      </c>
    </row>
    <row r="17" spans="1:13" ht="36" customHeight="1" x14ac:dyDescent="0.3">
      <c r="A17" s="24" t="s">
        <v>310</v>
      </c>
      <c r="B17" s="25" t="s">
        <v>341</v>
      </c>
      <c r="C17" s="25" t="s">
        <v>635</v>
      </c>
      <c r="D17" s="25" t="s">
        <v>605</v>
      </c>
      <c r="E17" s="25" t="s">
        <v>636</v>
      </c>
      <c r="F17" s="25" t="s">
        <v>34</v>
      </c>
      <c r="G17" s="28" t="s">
        <v>34</v>
      </c>
      <c r="H17" s="24" t="s">
        <v>346</v>
      </c>
      <c r="I17" s="25" t="s">
        <v>637</v>
      </c>
      <c r="J17" s="25" t="s">
        <v>638</v>
      </c>
      <c r="K17" s="25" t="s">
        <v>639</v>
      </c>
      <c r="L17" s="24" t="s">
        <v>640</v>
      </c>
      <c r="M17" s="27" t="s">
        <v>641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B2D8B"/>
  </sheetPr>
  <dimension ref="A1:R20"/>
  <sheetViews>
    <sheetView showGridLines="0" tabSelected="1" zoomScaleNormal="100" workbookViewId="0">
      <pane ySplit="3" topLeftCell="A18" activePane="bottomLeft" state="frozen"/>
      <selection pane="bottomLeft" sqref="A1:R1"/>
    </sheetView>
  </sheetViews>
  <sheetFormatPr defaultColWidth="8.6640625" defaultRowHeight="14.4" x14ac:dyDescent="0.3"/>
  <cols>
    <col min="1" max="1" width="4" customWidth="1"/>
    <col min="2" max="3" width="20" customWidth="1"/>
    <col min="4" max="5" width="16" customWidth="1"/>
    <col min="6" max="9" width="12" customWidth="1"/>
    <col min="10" max="14" width="10" customWidth="1"/>
    <col min="15" max="17" width="12" customWidth="1"/>
    <col min="18" max="18" width="20" customWidth="1"/>
  </cols>
  <sheetData>
    <row r="1" spans="1:18" ht="36" customHeight="1" x14ac:dyDescent="0.3">
      <c r="A1" s="51" t="s">
        <v>642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 ht="19.5" customHeight="1" x14ac:dyDescent="0.3">
      <c r="A2" s="52" t="s">
        <v>643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3" spans="1:18" ht="52.8" x14ac:dyDescent="0.3">
      <c r="A3" s="45" t="s">
        <v>8</v>
      </c>
      <c r="B3" s="45" t="s">
        <v>644</v>
      </c>
      <c r="C3" s="45" t="s">
        <v>645</v>
      </c>
      <c r="D3" s="45" t="s">
        <v>646</v>
      </c>
      <c r="E3" s="45" t="s">
        <v>647</v>
      </c>
      <c r="F3" s="45" t="s">
        <v>648</v>
      </c>
      <c r="G3" s="45" t="s">
        <v>649</v>
      </c>
      <c r="H3" s="45" t="s">
        <v>650</v>
      </c>
      <c r="I3" s="45" t="s">
        <v>651</v>
      </c>
      <c r="J3" s="45" t="s">
        <v>652</v>
      </c>
      <c r="K3" s="45" t="s">
        <v>653</v>
      </c>
      <c r="L3" s="45" t="s">
        <v>654</v>
      </c>
      <c r="M3" s="45" t="s">
        <v>655</v>
      </c>
      <c r="N3" s="45" t="s">
        <v>656</v>
      </c>
      <c r="O3" s="45" t="s">
        <v>657</v>
      </c>
      <c r="P3" s="45" t="s">
        <v>658</v>
      </c>
      <c r="Q3" s="45" t="s">
        <v>659</v>
      </c>
      <c r="R3" s="45" t="s">
        <v>27</v>
      </c>
    </row>
    <row r="4" spans="1:18" ht="18" customHeight="1" x14ac:dyDescent="0.3">
      <c r="A4" s="53" t="s">
        <v>660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</row>
    <row r="5" spans="1:18" ht="27.75" customHeight="1" x14ac:dyDescent="0.3">
      <c r="A5" s="31" t="s">
        <v>29</v>
      </c>
      <c r="B5" s="32" t="s">
        <v>41</v>
      </c>
      <c r="C5" s="32" t="s">
        <v>661</v>
      </c>
      <c r="D5" s="32" t="s">
        <v>662</v>
      </c>
      <c r="E5" s="32" t="s">
        <v>663</v>
      </c>
      <c r="F5" s="46" t="s">
        <v>664</v>
      </c>
      <c r="G5" s="47" t="s">
        <v>68</v>
      </c>
      <c r="H5" s="46" t="s">
        <v>664</v>
      </c>
      <c r="I5" s="47" t="s">
        <v>68</v>
      </c>
      <c r="J5" s="46" t="s">
        <v>664</v>
      </c>
      <c r="K5" s="29" t="s">
        <v>665</v>
      </c>
      <c r="L5" s="31" t="s">
        <v>34</v>
      </c>
      <c r="M5" s="29" t="s">
        <v>34</v>
      </c>
      <c r="N5" s="26" t="s">
        <v>666</v>
      </c>
      <c r="O5" s="32" t="s">
        <v>666</v>
      </c>
      <c r="P5" s="32" t="s">
        <v>44</v>
      </c>
      <c r="Q5" s="27" t="s">
        <v>667</v>
      </c>
    </row>
    <row r="6" spans="1:18" ht="27.75" customHeight="1" x14ac:dyDescent="0.3">
      <c r="A6" s="24" t="s">
        <v>46</v>
      </c>
      <c r="B6" s="25" t="s">
        <v>668</v>
      </c>
      <c r="C6" s="25" t="s">
        <v>30</v>
      </c>
      <c r="D6" s="25" t="s">
        <v>662</v>
      </c>
      <c r="E6" s="25" t="s">
        <v>663</v>
      </c>
      <c r="F6" s="46" t="s">
        <v>664</v>
      </c>
      <c r="G6" s="47" t="s">
        <v>68</v>
      </c>
      <c r="H6" s="46" t="s">
        <v>664</v>
      </c>
      <c r="I6" s="47" t="s">
        <v>68</v>
      </c>
      <c r="J6" s="47" t="s">
        <v>68</v>
      </c>
      <c r="K6" s="46" t="s">
        <v>664</v>
      </c>
      <c r="L6" s="24" t="s">
        <v>34</v>
      </c>
      <c r="M6" s="29" t="s">
        <v>34</v>
      </c>
      <c r="N6" s="26" t="s">
        <v>666</v>
      </c>
      <c r="O6" s="25" t="s">
        <v>666</v>
      </c>
      <c r="P6" s="25" t="s">
        <v>44</v>
      </c>
      <c r="Q6" s="27" t="s">
        <v>669</v>
      </c>
    </row>
    <row r="7" spans="1:18" ht="27.75" customHeight="1" x14ac:dyDescent="0.3">
      <c r="A7" s="31" t="s">
        <v>57</v>
      </c>
      <c r="B7" s="32" t="s">
        <v>670</v>
      </c>
      <c r="C7" s="32" t="s">
        <v>97</v>
      </c>
      <c r="D7" s="32" t="s">
        <v>662</v>
      </c>
      <c r="E7" s="32" t="s">
        <v>664</v>
      </c>
      <c r="F7" s="26" t="s">
        <v>663</v>
      </c>
      <c r="G7" s="47" t="s">
        <v>68</v>
      </c>
      <c r="H7" s="46" t="s">
        <v>664</v>
      </c>
      <c r="I7" s="47" t="s">
        <v>68</v>
      </c>
      <c r="J7" s="46" t="s">
        <v>664</v>
      </c>
      <c r="K7" s="29" t="s">
        <v>665</v>
      </c>
      <c r="L7" s="31" t="s">
        <v>34</v>
      </c>
      <c r="M7" s="29" t="s">
        <v>34</v>
      </c>
      <c r="N7" s="26" t="s">
        <v>666</v>
      </c>
      <c r="O7" s="32" t="s">
        <v>666</v>
      </c>
      <c r="P7" s="32" t="s">
        <v>44</v>
      </c>
      <c r="Q7" s="27"/>
    </row>
    <row r="8" spans="1:18" ht="27.75" customHeight="1" x14ac:dyDescent="0.3">
      <c r="A8" s="24" t="s">
        <v>65</v>
      </c>
      <c r="B8" s="25" t="s">
        <v>84</v>
      </c>
      <c r="C8" s="25" t="s">
        <v>671</v>
      </c>
      <c r="D8" s="25" t="s">
        <v>662</v>
      </c>
      <c r="E8" s="25" t="s">
        <v>664</v>
      </c>
      <c r="F8" s="46" t="s">
        <v>664</v>
      </c>
      <c r="G8" s="46" t="s">
        <v>664</v>
      </c>
      <c r="H8" s="26" t="s">
        <v>663</v>
      </c>
      <c r="I8" s="47" t="s">
        <v>68</v>
      </c>
      <c r="J8" s="26" t="s">
        <v>663</v>
      </c>
      <c r="K8" s="26" t="s">
        <v>663</v>
      </c>
      <c r="L8" s="24" t="s">
        <v>34</v>
      </c>
      <c r="M8" s="29" t="s">
        <v>34</v>
      </c>
      <c r="N8" s="26" t="s">
        <v>666</v>
      </c>
      <c r="O8" s="25" t="s">
        <v>666</v>
      </c>
      <c r="P8" s="25" t="s">
        <v>44</v>
      </c>
      <c r="Q8" s="27" t="s">
        <v>672</v>
      </c>
    </row>
    <row r="9" spans="1:18" ht="27.75" customHeight="1" x14ac:dyDescent="0.3">
      <c r="A9" s="31" t="s">
        <v>77</v>
      </c>
      <c r="B9" s="32" t="s">
        <v>673</v>
      </c>
      <c r="C9" s="32" t="s">
        <v>674</v>
      </c>
      <c r="D9" s="32" t="s">
        <v>662</v>
      </c>
      <c r="E9" s="32" t="s">
        <v>68</v>
      </c>
      <c r="F9" s="47" t="s">
        <v>68</v>
      </c>
      <c r="G9" s="26" t="s">
        <v>663</v>
      </c>
      <c r="H9" s="46" t="s">
        <v>664</v>
      </c>
      <c r="I9" s="47" t="s">
        <v>68</v>
      </c>
      <c r="J9" s="47" t="s">
        <v>68</v>
      </c>
      <c r="K9" s="46" t="s">
        <v>664</v>
      </c>
      <c r="L9" s="31" t="s">
        <v>34</v>
      </c>
      <c r="M9" s="29" t="s">
        <v>34</v>
      </c>
      <c r="N9" s="26" t="s">
        <v>666</v>
      </c>
      <c r="O9" s="32" t="s">
        <v>666</v>
      </c>
      <c r="P9" s="32" t="s">
        <v>44</v>
      </c>
      <c r="Q9" s="27"/>
    </row>
    <row r="10" spans="1:18" ht="27.75" customHeight="1" x14ac:dyDescent="0.3">
      <c r="A10" s="24" t="s">
        <v>88</v>
      </c>
      <c r="B10" s="25" t="s">
        <v>675</v>
      </c>
      <c r="C10" s="25" t="s">
        <v>676</v>
      </c>
      <c r="D10" s="25" t="s">
        <v>662</v>
      </c>
      <c r="E10" s="25" t="s">
        <v>68</v>
      </c>
      <c r="F10" s="47" t="s">
        <v>68</v>
      </c>
      <c r="G10" s="29" t="s">
        <v>665</v>
      </c>
      <c r="H10" s="47" t="s">
        <v>68</v>
      </c>
      <c r="I10" s="47" t="s">
        <v>68</v>
      </c>
      <c r="J10" s="47" t="s">
        <v>68</v>
      </c>
      <c r="K10" s="46" t="s">
        <v>664</v>
      </c>
      <c r="L10" s="24" t="s">
        <v>35</v>
      </c>
      <c r="M10" s="29" t="s">
        <v>34</v>
      </c>
      <c r="N10" s="26" t="s">
        <v>666</v>
      </c>
      <c r="O10" s="25" t="s">
        <v>666</v>
      </c>
      <c r="P10" s="25" t="s">
        <v>44</v>
      </c>
      <c r="Q10" s="27" t="s">
        <v>677</v>
      </c>
    </row>
    <row r="11" spans="1:18" ht="27.75" customHeight="1" x14ac:dyDescent="0.3">
      <c r="A11" s="31" t="s">
        <v>143</v>
      </c>
      <c r="B11" s="32" t="s">
        <v>678</v>
      </c>
      <c r="C11" s="32" t="s">
        <v>676</v>
      </c>
      <c r="D11" s="32" t="s">
        <v>662</v>
      </c>
      <c r="E11" s="32" t="s">
        <v>68</v>
      </c>
      <c r="F11" s="47" t="s">
        <v>68</v>
      </c>
      <c r="G11" s="29" t="s">
        <v>665</v>
      </c>
      <c r="H11" s="47" t="s">
        <v>68</v>
      </c>
      <c r="I11" s="47" t="s">
        <v>68</v>
      </c>
      <c r="J11" s="47" t="s">
        <v>68</v>
      </c>
      <c r="K11" s="46" t="s">
        <v>664</v>
      </c>
      <c r="L11" s="31" t="s">
        <v>35</v>
      </c>
      <c r="M11" s="29" t="s">
        <v>34</v>
      </c>
      <c r="N11" s="26" t="s">
        <v>666</v>
      </c>
      <c r="O11" s="32" t="s">
        <v>666</v>
      </c>
      <c r="P11" s="32" t="s">
        <v>44</v>
      </c>
      <c r="Q11" s="27" t="s">
        <v>679</v>
      </c>
    </row>
    <row r="12" spans="1:18" ht="27.75" customHeight="1" x14ac:dyDescent="0.3">
      <c r="A12" s="24" t="s">
        <v>151</v>
      </c>
      <c r="B12" s="25" t="s">
        <v>680</v>
      </c>
      <c r="C12" s="25" t="s">
        <v>275</v>
      </c>
      <c r="D12" s="25" t="s">
        <v>662</v>
      </c>
      <c r="E12" s="25" t="s">
        <v>68</v>
      </c>
      <c r="F12" s="47" t="s">
        <v>68</v>
      </c>
      <c r="G12" s="47" t="s">
        <v>68</v>
      </c>
      <c r="H12" s="47" t="s">
        <v>68</v>
      </c>
      <c r="I12" s="47" t="s">
        <v>68</v>
      </c>
      <c r="J12" s="47" t="s">
        <v>68</v>
      </c>
      <c r="K12" s="46" t="s">
        <v>664</v>
      </c>
      <c r="L12" s="24" t="s">
        <v>35</v>
      </c>
      <c r="M12" s="29" t="s">
        <v>34</v>
      </c>
      <c r="N12" s="26" t="s">
        <v>666</v>
      </c>
      <c r="O12" s="25" t="s">
        <v>666</v>
      </c>
      <c r="P12" s="25" t="s">
        <v>44</v>
      </c>
      <c r="Q12" s="27" t="s">
        <v>681</v>
      </c>
    </row>
    <row r="13" spans="1:18" ht="27.75" customHeight="1" x14ac:dyDescent="0.3">
      <c r="A13" s="31" t="s">
        <v>160</v>
      </c>
      <c r="B13" s="32" t="s">
        <v>682</v>
      </c>
      <c r="C13" s="32" t="s">
        <v>275</v>
      </c>
      <c r="D13" s="32" t="s">
        <v>662</v>
      </c>
      <c r="E13" s="32" t="s">
        <v>664</v>
      </c>
      <c r="F13" s="46" t="s">
        <v>664</v>
      </c>
      <c r="G13" s="47" t="s">
        <v>68</v>
      </c>
      <c r="H13" s="47" t="s">
        <v>68</v>
      </c>
      <c r="I13" s="47" t="s">
        <v>68</v>
      </c>
      <c r="J13" s="47" t="s">
        <v>68</v>
      </c>
      <c r="K13" s="29" t="s">
        <v>665</v>
      </c>
      <c r="L13" s="31" t="s">
        <v>35</v>
      </c>
      <c r="M13" s="29" t="s">
        <v>34</v>
      </c>
      <c r="N13" s="26" t="s">
        <v>666</v>
      </c>
      <c r="O13" s="32" t="s">
        <v>666</v>
      </c>
      <c r="P13" s="32" t="s">
        <v>44</v>
      </c>
      <c r="Q13" s="27"/>
    </row>
    <row r="14" spans="1:18" ht="27.75" customHeight="1" x14ac:dyDescent="0.3">
      <c r="A14" s="24" t="s">
        <v>683</v>
      </c>
      <c r="B14" s="25" t="s">
        <v>315</v>
      </c>
      <c r="C14" s="25" t="s">
        <v>310</v>
      </c>
      <c r="D14" s="25" t="s">
        <v>662</v>
      </c>
      <c r="E14" s="25" t="s">
        <v>664</v>
      </c>
      <c r="F14" s="47" t="s">
        <v>68</v>
      </c>
      <c r="G14" s="46" t="s">
        <v>664</v>
      </c>
      <c r="H14" s="47" t="s">
        <v>68</v>
      </c>
      <c r="I14" s="47" t="s">
        <v>68</v>
      </c>
      <c r="J14" s="46" t="s">
        <v>664</v>
      </c>
      <c r="K14" s="29" t="s">
        <v>665</v>
      </c>
      <c r="L14" s="24" t="s">
        <v>35</v>
      </c>
      <c r="M14" s="29" t="s">
        <v>34</v>
      </c>
      <c r="N14" s="26" t="s">
        <v>666</v>
      </c>
      <c r="O14" s="25" t="s">
        <v>666</v>
      </c>
      <c r="P14" s="25" t="s">
        <v>44</v>
      </c>
      <c r="Q14" s="27"/>
    </row>
    <row r="15" spans="1:18" ht="27.75" customHeight="1" x14ac:dyDescent="0.3">
      <c r="A15" s="31" t="s">
        <v>684</v>
      </c>
      <c r="B15" s="32" t="s">
        <v>685</v>
      </c>
      <c r="C15" s="32" t="s">
        <v>686</v>
      </c>
      <c r="D15" s="32" t="s">
        <v>662</v>
      </c>
      <c r="E15" s="32" t="s">
        <v>664</v>
      </c>
      <c r="F15" s="47" t="s">
        <v>68</v>
      </c>
      <c r="G15" s="46" t="s">
        <v>664</v>
      </c>
      <c r="H15" s="47" t="s">
        <v>68</v>
      </c>
      <c r="I15" s="47" t="s">
        <v>68</v>
      </c>
      <c r="J15" s="46" t="s">
        <v>664</v>
      </c>
      <c r="K15" s="29" t="s">
        <v>665</v>
      </c>
      <c r="L15" s="31" t="s">
        <v>35</v>
      </c>
      <c r="M15" s="29" t="s">
        <v>34</v>
      </c>
      <c r="N15" s="26" t="s">
        <v>666</v>
      </c>
      <c r="O15" s="32" t="s">
        <v>666</v>
      </c>
      <c r="P15" s="32" t="s">
        <v>44</v>
      </c>
      <c r="Q15" s="27"/>
    </row>
    <row r="16" spans="1:18" ht="27.75" customHeight="1" x14ac:dyDescent="0.3">
      <c r="A16" s="24" t="s">
        <v>687</v>
      </c>
      <c r="B16" s="25" t="s">
        <v>73</v>
      </c>
      <c r="C16" s="25" t="s">
        <v>688</v>
      </c>
      <c r="D16" s="25" t="s">
        <v>662</v>
      </c>
      <c r="E16" s="25" t="s">
        <v>664</v>
      </c>
      <c r="F16" s="46" t="s">
        <v>664</v>
      </c>
      <c r="G16" s="46" t="s">
        <v>664</v>
      </c>
      <c r="H16" s="46" t="s">
        <v>664</v>
      </c>
      <c r="I16" s="47" t="s">
        <v>68</v>
      </c>
      <c r="J16" s="46" t="s">
        <v>664</v>
      </c>
      <c r="K16" s="26" t="s">
        <v>663</v>
      </c>
      <c r="L16" s="24" t="s">
        <v>34</v>
      </c>
      <c r="M16" s="29" t="s">
        <v>34</v>
      </c>
      <c r="N16" s="26" t="s">
        <v>666</v>
      </c>
      <c r="O16" s="25" t="s">
        <v>666</v>
      </c>
      <c r="P16" s="25" t="s">
        <v>44</v>
      </c>
      <c r="Q16" s="27" t="s">
        <v>689</v>
      </c>
    </row>
    <row r="17" spans="1:18" ht="27.75" customHeight="1" x14ac:dyDescent="0.3">
      <c r="A17" s="31" t="s">
        <v>690</v>
      </c>
      <c r="B17" s="32" t="s">
        <v>691</v>
      </c>
      <c r="C17" s="32" t="s">
        <v>692</v>
      </c>
      <c r="D17" s="32" t="s">
        <v>693</v>
      </c>
      <c r="E17" s="32" t="s">
        <v>664</v>
      </c>
      <c r="F17" s="47" t="s">
        <v>68</v>
      </c>
      <c r="G17" s="47" t="s">
        <v>68</v>
      </c>
      <c r="H17" s="47" t="s">
        <v>68</v>
      </c>
      <c r="I17" s="47" t="s">
        <v>68</v>
      </c>
      <c r="J17" s="47" t="s">
        <v>68</v>
      </c>
      <c r="K17" s="47" t="s">
        <v>68</v>
      </c>
      <c r="L17" s="31" t="s">
        <v>35</v>
      </c>
      <c r="M17" s="29" t="s">
        <v>34</v>
      </c>
      <c r="N17" s="26" t="s">
        <v>666</v>
      </c>
      <c r="O17" s="32" t="s">
        <v>666</v>
      </c>
      <c r="P17" s="32" t="s">
        <v>694</v>
      </c>
      <c r="Q17" s="27" t="s">
        <v>695</v>
      </c>
    </row>
    <row r="18" spans="1:18" ht="27.75" customHeight="1" x14ac:dyDescent="0.3">
      <c r="A18" s="24" t="s">
        <v>696</v>
      </c>
      <c r="B18" s="25" t="s">
        <v>697</v>
      </c>
      <c r="C18" s="25" t="s">
        <v>698</v>
      </c>
      <c r="D18" s="25" t="s">
        <v>693</v>
      </c>
      <c r="E18" s="25" t="s">
        <v>68</v>
      </c>
      <c r="F18" s="46" t="s">
        <v>664</v>
      </c>
      <c r="G18" s="47" t="s">
        <v>68</v>
      </c>
      <c r="H18" s="47" t="s">
        <v>68</v>
      </c>
      <c r="I18" s="47" t="s">
        <v>68</v>
      </c>
      <c r="J18" s="47" t="s">
        <v>68</v>
      </c>
      <c r="K18" s="47" t="s">
        <v>68</v>
      </c>
      <c r="L18" s="24" t="s">
        <v>35</v>
      </c>
      <c r="M18" s="29" t="s">
        <v>34</v>
      </c>
      <c r="N18" s="26" t="s">
        <v>666</v>
      </c>
      <c r="O18" s="25" t="s">
        <v>666</v>
      </c>
      <c r="P18" s="25" t="s">
        <v>699</v>
      </c>
      <c r="Q18" s="27" t="s">
        <v>700</v>
      </c>
    </row>
    <row r="19" spans="1:18" ht="27.75" customHeight="1" x14ac:dyDescent="0.3">
      <c r="A19" s="31" t="s">
        <v>701</v>
      </c>
      <c r="B19" s="32" t="s">
        <v>702</v>
      </c>
      <c r="C19" s="32" t="s">
        <v>703</v>
      </c>
      <c r="D19" s="32" t="s">
        <v>693</v>
      </c>
      <c r="E19" s="32" t="s">
        <v>68</v>
      </c>
      <c r="F19" s="46" t="s">
        <v>664</v>
      </c>
      <c r="G19" s="47" t="s">
        <v>68</v>
      </c>
      <c r="H19" s="47" t="s">
        <v>68</v>
      </c>
      <c r="I19" s="47" t="s">
        <v>68</v>
      </c>
      <c r="J19" s="47" t="s">
        <v>68</v>
      </c>
      <c r="K19" s="47" t="s">
        <v>68</v>
      </c>
      <c r="L19" s="31" t="s">
        <v>35</v>
      </c>
      <c r="M19" s="29" t="s">
        <v>34</v>
      </c>
      <c r="N19" s="26" t="s">
        <v>666</v>
      </c>
      <c r="O19" s="32" t="s">
        <v>666</v>
      </c>
      <c r="P19" s="32" t="s">
        <v>704</v>
      </c>
      <c r="Q19" s="27" t="s">
        <v>705</v>
      </c>
    </row>
    <row r="20" spans="1:18" ht="19.5" customHeight="1" x14ac:dyDescent="0.3">
      <c r="A20" s="54" t="str">
        <f>COUNTIF(N5:N19,"✓")&amp;" dari "&amp;COUNTA(N5:N19)&amp;" user memiliki MFA aktif"</f>
        <v>0 dari 15 user memiliki MFA aktif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5" t="str">
        <f>COUNTIF(M5:M19,"✓")&amp;" akun Privileged (Admin)"</f>
        <v>15 akun Privileged (Admin)</v>
      </c>
      <c r="O20" s="55"/>
      <c r="P20" s="55"/>
      <c r="Q20" s="55"/>
      <c r="R20" s="55"/>
    </row>
  </sheetData>
  <mergeCells count="5">
    <mergeCell ref="A1:R1"/>
    <mergeCell ref="A2:R2"/>
    <mergeCell ref="A4:R4"/>
    <mergeCell ref="A20:M20"/>
    <mergeCell ref="N20:R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1-CLASSIFICATION</vt:lpstr>
      <vt:lpstr>2-WHERE</vt:lpstr>
      <vt:lpstr>3-ACCESS</vt:lpstr>
      <vt:lpstr>4-WHY</vt:lpstr>
      <vt:lpstr>5-PERMISSIONS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Endiaz Ludia Arsanto</cp:lastModifiedBy>
  <cp:revision>0</cp:revision>
  <dcterms:created xsi:type="dcterms:W3CDTF">2026-03-05T15:04:23Z</dcterms:created>
  <dcterms:modified xsi:type="dcterms:W3CDTF">2026-03-05T15:06:43Z</dcterms:modified>
  <dc:language>en-US</dc:language>
</cp:coreProperties>
</file>