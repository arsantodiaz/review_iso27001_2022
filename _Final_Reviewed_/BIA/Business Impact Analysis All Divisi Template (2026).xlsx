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equitylife-my.sharepoint.com/personal/endiaz_arsanto_equity_id/Documents/_👀Workspace.Dz💥/[⛈️]BCDRP[⛈️]/"/>
    </mc:Choice>
  </mc:AlternateContent>
  <xr:revisionPtr revIDLastSave="1" documentId="13_ncr:1_{96F2C106-C0E7-460C-8D07-4846E845D8E2}" xr6:coauthVersionLast="47" xr6:coauthVersionMax="47" xr10:uidLastSave="{7BDC3B6D-193B-4AFE-942A-B6DBD32187EB}"/>
  <bookViews>
    <workbookView xWindow="28680" yWindow="-120" windowWidth="29040" windowHeight="15720" tabRatio="822" activeTab="2" xr2:uid="{95D60304-C075-F241-89F4-935C2BE1892D}"/>
  </bookViews>
  <sheets>
    <sheet name="(1) Informasi Unit Kerja" sheetId="1" r:id="rId1"/>
    <sheet name="Rekap" sheetId="9" r:id="rId2"/>
    <sheet name="(2) Bisnis Proses System" sheetId="7" r:id="rId3"/>
    <sheet name="Penilaian" sheetId="4" r:id="rId4"/>
    <sheet name="(3) Keterlibatan Pihak Ketiga" sheetId="3" r:id="rId5"/>
    <sheet name="Panduan" sheetId="5" r:id="rId6"/>
    <sheet name="Formula" sheetId="6" r:id="rId7"/>
  </sheets>
  <definedNames>
    <definedName name="_xlnm._FilterDatabase" localSheetId="2" hidden="1">'(2) Bisnis Proses System'!$A$4:$N$150</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9" i="7" l="1"/>
  <c r="E149" i="7" s="1"/>
  <c r="F148" i="7"/>
  <c r="E148" i="7" s="1"/>
  <c r="F147" i="7"/>
  <c r="E147" i="7" s="1"/>
  <c r="F146" i="7"/>
  <c r="E146" i="7" s="1"/>
  <c r="F145" i="7"/>
  <c r="E145" i="7" s="1"/>
  <c r="F144" i="7"/>
  <c r="E144" i="7" s="1"/>
  <c r="F143" i="7"/>
  <c r="E143" i="7" s="1"/>
  <c r="F142" i="7"/>
  <c r="E142" i="7" s="1"/>
  <c r="F141" i="7"/>
  <c r="E141" i="7" s="1"/>
  <c r="F140" i="7"/>
  <c r="E140" i="7" s="1"/>
  <c r="F139" i="7"/>
  <c r="E139" i="7" s="1"/>
  <c r="F138" i="7"/>
  <c r="E138" i="7" s="1"/>
  <c r="F137" i="7"/>
  <c r="E137" i="7" s="1"/>
  <c r="F136" i="7"/>
  <c r="E136" i="7" s="1"/>
  <c r="F135" i="7"/>
  <c r="E135" i="7" s="1"/>
  <c r="F134" i="7"/>
  <c r="E134" i="7" s="1"/>
  <c r="F133" i="7"/>
  <c r="E133" i="7" s="1"/>
  <c r="F132" i="7"/>
  <c r="E132" i="7" s="1"/>
  <c r="F131" i="7"/>
  <c r="E131" i="7" s="1"/>
  <c r="F130" i="7"/>
  <c r="E130" i="7" s="1"/>
  <c r="F129" i="7"/>
  <c r="E129" i="7" s="1"/>
  <c r="F128" i="7"/>
  <c r="E128" i="7" s="1"/>
  <c r="F127" i="7"/>
  <c r="E127" i="7" s="1"/>
  <c r="F126" i="7"/>
  <c r="E126" i="7" s="1"/>
  <c r="F125" i="7"/>
  <c r="E125" i="7" s="1"/>
  <c r="F124" i="7"/>
  <c r="E124" i="7" s="1"/>
  <c r="F123" i="7"/>
  <c r="E123" i="7" s="1"/>
  <c r="F122" i="7"/>
  <c r="E122" i="7" s="1"/>
  <c r="F121" i="7"/>
  <c r="E121" i="7" s="1"/>
  <c r="F120" i="7"/>
  <c r="E120" i="7" s="1"/>
  <c r="F119" i="7"/>
  <c r="E119" i="7" s="1"/>
  <c r="F118" i="7"/>
  <c r="E118" i="7" s="1"/>
  <c r="F117" i="7"/>
  <c r="E117" i="7" s="1"/>
  <c r="F116" i="7"/>
  <c r="E116" i="7" s="1"/>
  <c r="F115" i="7"/>
  <c r="E115" i="7" s="1"/>
  <c r="F114" i="7"/>
  <c r="E114" i="7" s="1"/>
  <c r="F113" i="7"/>
  <c r="E113" i="7" s="1"/>
  <c r="F112" i="7"/>
  <c r="E112" i="7" s="1"/>
  <c r="F111" i="7"/>
  <c r="E111" i="7" s="1"/>
  <c r="F110" i="7"/>
  <c r="E110" i="7" s="1"/>
  <c r="F109" i="7"/>
  <c r="E109" i="7" s="1"/>
  <c r="F108" i="7"/>
  <c r="E108" i="7" s="1"/>
  <c r="F107" i="7"/>
  <c r="E107" i="7" s="1"/>
  <c r="F106" i="7"/>
  <c r="E106" i="7" s="1"/>
  <c r="F105" i="7"/>
  <c r="E105" i="7" s="1"/>
  <c r="F104" i="7"/>
  <c r="E104" i="7" s="1"/>
  <c r="F103" i="7"/>
  <c r="E103" i="7" s="1"/>
  <c r="F102" i="7"/>
  <c r="E102" i="7" s="1"/>
  <c r="F101" i="7"/>
  <c r="E101" i="7" s="1"/>
  <c r="F100" i="7"/>
  <c r="E100" i="7" s="1"/>
  <c r="F99" i="7"/>
  <c r="E99" i="7" s="1"/>
  <c r="F98" i="7"/>
  <c r="E98" i="7" s="1"/>
  <c r="F97" i="7"/>
  <c r="E97" i="7" s="1"/>
  <c r="F96" i="7"/>
  <c r="E96" i="7" s="1"/>
  <c r="F95" i="7"/>
  <c r="E95" i="7" s="1"/>
  <c r="F94" i="7"/>
  <c r="E94" i="7" s="1"/>
  <c r="F93" i="7"/>
  <c r="E93" i="7" s="1"/>
  <c r="F92" i="7"/>
  <c r="E92" i="7" s="1"/>
  <c r="F91" i="7"/>
  <c r="E91" i="7" s="1"/>
  <c r="F90" i="7"/>
  <c r="E90" i="7" s="1"/>
  <c r="F89" i="7"/>
  <c r="E89" i="7" s="1"/>
  <c r="F88" i="7"/>
  <c r="E88" i="7" s="1"/>
  <c r="F87" i="7"/>
  <c r="E87" i="7" s="1"/>
  <c r="F86" i="7"/>
  <c r="E86" i="7" s="1"/>
  <c r="F85" i="7"/>
  <c r="E85" i="7" s="1"/>
  <c r="F84" i="7"/>
  <c r="E84" i="7" s="1"/>
  <c r="F83" i="7"/>
  <c r="E83" i="7" s="1"/>
  <c r="F82" i="7"/>
  <c r="E82" i="7" s="1"/>
  <c r="F81" i="7"/>
  <c r="E81" i="7" s="1"/>
  <c r="F80" i="7"/>
  <c r="E80" i="7" s="1"/>
  <c r="F79" i="7"/>
  <c r="E79" i="7" s="1"/>
  <c r="F78" i="7"/>
  <c r="E78" i="7" s="1"/>
  <c r="F77" i="7"/>
  <c r="E77" i="7" s="1"/>
  <c r="F76" i="7"/>
  <c r="E76" i="7" s="1"/>
  <c r="F75" i="7"/>
  <c r="E75" i="7" s="1"/>
  <c r="F74" i="7"/>
  <c r="E74" i="7" s="1"/>
  <c r="F73" i="7"/>
  <c r="E73" i="7" s="1"/>
  <c r="F72" i="7"/>
  <c r="E72" i="7" s="1"/>
  <c r="F71" i="7"/>
  <c r="E71" i="7" s="1"/>
  <c r="F70" i="7"/>
  <c r="E70" i="7" s="1"/>
  <c r="F69" i="7"/>
  <c r="E69" i="7" s="1"/>
  <c r="F68" i="7"/>
  <c r="E68" i="7" s="1"/>
  <c r="F67" i="7"/>
  <c r="E67" i="7" s="1"/>
  <c r="F66" i="7"/>
  <c r="E66" i="7" s="1"/>
  <c r="F65" i="7"/>
  <c r="E65" i="7" s="1"/>
  <c r="F64" i="7"/>
  <c r="E64" i="7" s="1"/>
  <c r="F63" i="7"/>
  <c r="E63" i="7" s="1"/>
  <c r="F62" i="7"/>
  <c r="E62" i="7" s="1"/>
  <c r="F61" i="7"/>
  <c r="E61" i="7" s="1"/>
  <c r="F60" i="7"/>
  <c r="E60" i="7" s="1"/>
  <c r="F59" i="7"/>
  <c r="E59" i="7" s="1"/>
  <c r="F58" i="7"/>
  <c r="E58" i="7" s="1"/>
  <c r="F57" i="7"/>
  <c r="E57" i="7" s="1"/>
  <c r="F56" i="7"/>
  <c r="E56" i="7" s="1"/>
  <c r="F55" i="7"/>
  <c r="E55" i="7" s="1"/>
  <c r="F54" i="7"/>
  <c r="E54" i="7" s="1"/>
  <c r="F53" i="7"/>
  <c r="E53" i="7" s="1"/>
  <c r="F52" i="7"/>
  <c r="E52" i="7" s="1"/>
  <c r="F51" i="7"/>
  <c r="E51" i="7" s="1"/>
  <c r="F50" i="7"/>
  <c r="E50" i="7" s="1"/>
  <c r="F49" i="7"/>
  <c r="E49" i="7" s="1"/>
  <c r="F48" i="7"/>
  <c r="E48" i="7" s="1"/>
  <c r="F47" i="7"/>
  <c r="E47" i="7" s="1"/>
  <c r="F46" i="7"/>
  <c r="E46" i="7" s="1"/>
  <c r="F45" i="7"/>
  <c r="E45" i="7" s="1"/>
  <c r="F44" i="7"/>
  <c r="E44" i="7" s="1"/>
  <c r="F43" i="7"/>
  <c r="E43" i="7" s="1"/>
  <c r="F42" i="7"/>
  <c r="E42" i="7" s="1"/>
  <c r="F41" i="7"/>
  <c r="E41" i="7" s="1"/>
  <c r="F40" i="7"/>
  <c r="E40" i="7" s="1"/>
  <c r="F39" i="7"/>
  <c r="E39" i="7" s="1"/>
  <c r="F38" i="7"/>
  <c r="E38" i="7" s="1"/>
  <c r="F37" i="7"/>
  <c r="E37" i="7" s="1"/>
  <c r="F36" i="7"/>
  <c r="E36" i="7" s="1"/>
  <c r="F35" i="7"/>
  <c r="E35" i="7" s="1"/>
  <c r="F34" i="7"/>
  <c r="E34" i="7" s="1"/>
  <c r="F33" i="7"/>
  <c r="E33" i="7" s="1"/>
  <c r="F32" i="7"/>
  <c r="E32" i="7" s="1"/>
  <c r="F31" i="7"/>
  <c r="E31" i="7" s="1"/>
  <c r="F30" i="7"/>
  <c r="E30" i="7" s="1"/>
  <c r="F29" i="7"/>
  <c r="E29" i="7" s="1"/>
  <c r="F28" i="7"/>
  <c r="E28" i="7" s="1"/>
  <c r="F27" i="7"/>
  <c r="E27" i="7" s="1"/>
  <c r="F26" i="7"/>
  <c r="E26" i="7" s="1"/>
  <c r="F25" i="7"/>
  <c r="E25" i="7" s="1"/>
  <c r="F24" i="7"/>
  <c r="E24" i="7" s="1"/>
  <c r="F23" i="7"/>
  <c r="E23" i="7" s="1"/>
  <c r="F22" i="7"/>
  <c r="E22" i="7" s="1"/>
  <c r="F21" i="7"/>
  <c r="E21" i="7" s="1"/>
  <c r="F20" i="7"/>
  <c r="E20" i="7" s="1"/>
  <c r="F19" i="7"/>
  <c r="E19" i="7" s="1"/>
  <c r="F18" i="7"/>
  <c r="E18" i="7" s="1"/>
  <c r="F17" i="7"/>
  <c r="E17" i="7" s="1"/>
  <c r="F16" i="7"/>
  <c r="E16" i="7" s="1"/>
  <c r="F15" i="7"/>
  <c r="E15" i="7" s="1"/>
  <c r="F14" i="7"/>
  <c r="E14" i="7" s="1"/>
  <c r="F13" i="7"/>
  <c r="E13" i="7" s="1"/>
  <c r="F12" i="7"/>
  <c r="E12" i="7" s="1"/>
  <c r="F11" i="7"/>
  <c r="E11" i="7" s="1"/>
  <c r="F10" i="7"/>
  <c r="E10" i="7" s="1"/>
  <c r="F9" i="7"/>
  <c r="E9" i="7" s="1"/>
  <c r="F8" i="7"/>
  <c r="E8" i="7" s="1"/>
  <c r="F7" i="7"/>
  <c r="E7" i="7" s="1"/>
  <c r="F6" i="7"/>
  <c r="E6" i="7" s="1"/>
  <c r="F5" i="7"/>
  <c r="E5" i="7" s="1"/>
  <c r="B43" i="7" l="1"/>
  <c r="B44" i="7" s="1"/>
  <c r="B45" i="7" s="1"/>
  <c r="B36" i="7"/>
  <c r="B37" i="7" s="1"/>
  <c r="J12" i="4" l="1"/>
  <c r="J11" i="4"/>
  <c r="J10" i="4"/>
  <c r="J9" i="4"/>
  <c r="J8" i="4"/>
  <c r="J7" i="4"/>
  <c r="J6" i="4"/>
  <c r="J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delyawati</author>
  </authors>
  <commentList>
    <comment ref="G55" authorId="0" shapeId="0" xr:uid="{BD5B4565-1880-4B4B-9A00-74B0A710EDC6}">
      <text>
        <r>
          <rPr>
            <b/>
            <sz val="9"/>
            <rFont val="Times New Roman"/>
          </rPr>
          <t>delyawati:
Dampak Financial</t>
        </r>
        <r>
          <rPr>
            <sz val="9"/>
            <rFont val="Times New Roman"/>
          </rPr>
          <t xml:space="preserve">
1. Denda Keterlambatan / tidak dapat diskon dari provider 
2. Biaya lembur karyawan untuk melakukan input manual atau bekerja lembur setelah sistem pulih.
3. Kehilangan pendapatan premi jika kendala terjadi saat proses renewal</t>
        </r>
      </text>
    </comment>
    <comment ref="H55" authorId="0" shapeId="0" xr:uid="{F6EC5E32-CE20-481B-939B-8ACF90472B0B}">
      <text>
        <r>
          <rPr>
            <b/>
            <sz val="9"/>
            <rFont val="Times New Roman"/>
          </rPr>
          <t>delyawati:
Dampak Waktu</t>
        </r>
        <r>
          <rPr>
            <sz val="9"/>
            <rFont val="Times New Roman"/>
          </rPr>
          <t xml:space="preserve">
1, Backlog data: Semakin lama data gagal di upload maka tumpukan data klaim akan menggunung, menciptakan bottleneck saat sistem kembali normal.
2. Waktu rata-rata penyelesaian klaim akan membengkak secara signifikan</t>
        </r>
      </text>
    </comment>
    <comment ref="I55" authorId="0" shapeId="0" xr:uid="{717D66A0-380E-4BED-B2A8-B7B5745AC2A8}">
      <text>
        <r>
          <rPr>
            <b/>
            <sz val="9"/>
            <rFont val="Times New Roman"/>
          </rPr>
          <t>delyawati:
Dampak Operasional</t>
        </r>
        <r>
          <rPr>
            <sz val="9"/>
            <rFont val="Times New Roman"/>
          </rPr>
          <t xml:space="preserve">
1. Stagnasi workflow: analis klaim tidak bisa bekerja karena data tidak tersedia di sistem.
2, Ketergantungan pada proses manual yang sangat rentan terhadap human error (salah input, data ganda).
3, Beban kerja CS akan kewalahan menerima telepon pertanyaan / komplain status klaim.</t>
        </r>
      </text>
    </comment>
    <comment ref="J55" authorId="0" shapeId="0" xr:uid="{AB745CEB-0794-4C31-A41C-53CB6A889EEE}">
      <text>
        <r>
          <rPr>
            <b/>
            <sz val="9"/>
            <rFont val="Times New Roman"/>
          </rPr>
          <t>delyawati:
Dampak Reputasi</t>
        </r>
        <r>
          <rPr>
            <sz val="9"/>
            <rFont val="Times New Roman"/>
          </rPr>
          <t xml:space="preserve">
1. Komplain / ketidakpuasan Nasabah karena pemrosesan klaim menjadi lama
2. Citra negatif di Media Sosial 
3, Hubungan dengan provider / RS bisa merenggang karena pembayaran menjadi tertunda.</t>
        </r>
      </text>
    </comment>
    <comment ref="K55" authorId="0" shapeId="0" xr:uid="{CC9A7C4A-F073-4734-A939-D16D819248BA}">
      <text>
        <r>
          <rPr>
            <b/>
            <sz val="9"/>
            <rFont val="Times New Roman"/>
          </rPr>
          <t xml:space="preserve">delyawati:
Dampak Kepatuhan
</t>
        </r>
        <r>
          <rPr>
            <sz val="9"/>
            <rFont val="Times New Roman"/>
          </rPr>
          <t>1.</t>
        </r>
        <r>
          <rPr>
            <b/>
            <sz val="9"/>
            <rFont val="Times New Roman"/>
          </rPr>
          <t xml:space="preserve"> </t>
        </r>
        <r>
          <rPr>
            <sz val="9"/>
            <rFont val="Times New Roman"/>
          </rPr>
          <t>Pelanggaran SLA. Perusahaan dianggap gagal memenuhi janji layanan yang diatur dalam polis.
2. Sanksi Regulator. Keterlambatan pelaporan atau kegagalan sistem yang sistemik dapat memicu audit khusus, teguran tertulis, hingga denda administratif dari regulator.
3. Integritas Data. Data yang gagal terupload berisiko hilang atau tidak sinkron dan dapat dianggap melanggar prinsip tata kelola data yang baik.</t>
        </r>
      </text>
    </comment>
    <comment ref="G56" authorId="0" shapeId="0" xr:uid="{7B89D332-EA73-488D-A37F-572A30CA7551}">
      <text>
        <r>
          <rPr>
            <b/>
            <sz val="9"/>
            <rFont val="Times New Roman"/>
          </rPr>
          <t>delyawati:
Dampak Financial</t>
        </r>
        <r>
          <rPr>
            <sz val="9"/>
            <rFont val="Times New Roman"/>
          </rPr>
          <t xml:space="preserve">
1. Double payment pembayaran klaim
2. Selama sistem error / hingga mati, perusahaan kehilangan waktu produktif staf yang seharusnya bisa menyelesaikan klaim baru.
3. Biaya Investigasi Forensik IT. Jika gangguan parah, perusahaan mungkin perlu menyewa konsultan pihak ketiga untuk memulihkan data.
4. Biaya lembur karyawan untuk melakukan input manual atau bekerja lembur setelah sistem pulih.
5. Kehilangan pendapatan premi jika kendala terjadi saat proses renewal atau upsale kepada nasabah</t>
        </r>
      </text>
    </comment>
    <comment ref="H56" authorId="0" shapeId="0" xr:uid="{5C15D93B-A84E-446F-8EA4-9DA404E019FB}">
      <text>
        <r>
          <rPr>
            <b/>
            <sz val="9"/>
            <rFont val="Times New Roman"/>
          </rPr>
          <t>delyawati:
Dampak Waktu</t>
        </r>
        <r>
          <rPr>
            <sz val="9"/>
            <rFont val="Times New Roman"/>
          </rPr>
          <t xml:space="preserve">
1. SLA penyelesaian klaim menjadi over dari yang dijanjikan kepada nasabah
2. Tim IT harus melakukan pengecekan untuk mencari tahu penyebab dan dampak yang terjadi
3. Jika terjadi kerusakan database, proses restore dari backup terakhir akan memakan waktu jam hingga hari, di mana operasional benar-benar berhenti.
</t>
        </r>
      </text>
    </comment>
    <comment ref="I56" authorId="0" shapeId="0" xr:uid="{6EEB5A2A-E58B-45A8-8119-02D425ED917D}">
      <text>
        <r>
          <rPr>
            <b/>
            <sz val="9"/>
            <rFont val="Times New Roman"/>
          </rPr>
          <t>delyawati:
Dampak Operasional</t>
        </r>
        <r>
          <rPr>
            <sz val="9"/>
            <rFont val="Times New Roman"/>
          </rPr>
          <t xml:space="preserve">
1. Klaim nasabah / peserta tidak dapat dilanjutkan prosesnya karena ada error yang terjadi
2, Stagnasi workflow: Tim IT harus melakukan pengecekan atas kendala tersebut dan tim klaim tidak melanjutkan proses klaimnya di dalam sistem
2, Ketergantungan pada proses manual yang sangat rentan terhadap human error (salah input, data ganda).
3, Beban kerja CS akan kewalahan menerima telepon pertanyaan / komplain status klaim.</t>
        </r>
      </text>
    </comment>
    <comment ref="J56" authorId="0" shapeId="0" xr:uid="{D6773D72-E260-4C72-9D2B-74D3D4DA1DCD}">
      <text>
        <r>
          <rPr>
            <b/>
            <sz val="9"/>
            <rFont val="Times New Roman"/>
          </rPr>
          <t>delyawati:
Dampak Reputasi</t>
        </r>
        <r>
          <rPr>
            <sz val="9"/>
            <rFont val="Times New Roman"/>
          </rPr>
          <t xml:space="preserve">
1. Hilangnya kepercayaan mitra / provider. Mitra mungkin akan menolak memberikan layanan kepada nasabah jika mereka ragu klaim mereka akan terbayar atau tidak
2. Komplain / ketidakpuasan Nasabah karena pemrosesan klaim menjadi lama 
3. Citra negatif di Media Sosial </t>
        </r>
      </text>
    </comment>
    <comment ref="K56" authorId="0" shapeId="0" xr:uid="{70FCF3AC-22D1-4B84-883A-07074E1B8D9C}">
      <text>
        <r>
          <rPr>
            <b/>
            <sz val="9"/>
            <rFont val="Times New Roman"/>
          </rPr>
          <t xml:space="preserve">delyawati:
Dampak Kepatuhan
</t>
        </r>
        <r>
          <rPr>
            <sz val="9"/>
            <rFont val="Times New Roman"/>
          </rPr>
          <t>1. Kegagalan sistem saat pemrosesan bisa dianggap sebagai kelalaian dalam menjaga ketersediaan layanan (availability) sesuai aturan OJK atau regulator terkait.</t>
        </r>
        <r>
          <rPr>
            <b/>
            <sz val="9"/>
            <rFont val="Times New Roman"/>
          </rPr>
          <t xml:space="preserve">
</t>
        </r>
        <r>
          <rPr>
            <sz val="9"/>
            <rFont val="Times New Roman"/>
          </rPr>
          <t>2. Saat diaudit, adanya data yang tidak sinkron antara laporan keuangan dan log sistem akan menjadi temuan mayor.</t>
        </r>
        <r>
          <rPr>
            <b/>
            <sz val="9"/>
            <rFont val="Times New Roman"/>
          </rPr>
          <t xml:space="preserve">
</t>
        </r>
        <r>
          <rPr>
            <sz val="9"/>
            <rFont val="Times New Roman"/>
          </rPr>
          <t>3. Jika gangguan disebabkan serangan dan data bocor saat pemrosesan, perusahaan terancam hukuman UU Perlindungan Data Pribadi (PDP)</t>
        </r>
        <r>
          <rPr>
            <b/>
            <sz val="9"/>
            <rFont val="Times New Roman"/>
          </rPr>
          <t xml:space="preserve">
</t>
        </r>
        <r>
          <rPr>
            <sz val="9"/>
            <rFont val="Times New Roman"/>
          </rPr>
          <t>4. Pelanggaran SLA. Perusahaan dianggap gagal memenuhi janji layanan yang diatur dalam polis.</t>
        </r>
      </text>
    </comment>
    <comment ref="G57" authorId="0" shapeId="0" xr:uid="{44803315-13A6-40CA-A287-18A0112E77BE}">
      <text>
        <r>
          <rPr>
            <b/>
            <sz val="9"/>
            <rFont val="Times New Roman"/>
          </rPr>
          <t>delyawati:
Dampak Financial</t>
        </r>
        <r>
          <rPr>
            <sz val="9"/>
            <rFont val="Times New Roman"/>
          </rPr>
          <t xml:space="preserve">
1. Double payment pembayaran klaim
2. Selama sistem error / hingga mati, perusahaan kehilangan waktu produktif staf yang seharusnya bisa menyelesaikan klaim baru.
3. Biaya Investigasi Forensik IT. Jika gangguan parah, perusahaan mungkin perlu menyewa konsultan pihak ketiga untuk memulihkan data.
4. Biaya lembur karyawan untuk melakukan input manual atau bekerja lembur setelah sistem pulih.
5. Kehilangan pendapatan premi jika kendala terjadi saat proses renewal atau upsale kepada nasabah</t>
        </r>
      </text>
    </comment>
    <comment ref="H57" authorId="0" shapeId="0" xr:uid="{6F0BC70F-7C6F-43B0-B4CD-ADDF198D81ED}">
      <text>
        <r>
          <rPr>
            <b/>
            <sz val="9"/>
            <rFont val="Times New Roman"/>
          </rPr>
          <t>delyawati:
Dampak Waktu</t>
        </r>
        <r>
          <rPr>
            <sz val="9"/>
            <rFont val="Times New Roman"/>
          </rPr>
          <t xml:space="preserve">
1. SLA penyelesaian klaim menjadi over dari yang dijanjikan kepada nasabah
2. Tim IT harus melakukan pengecekan untuk mencari tahu penyebab dan dampak yang terjadi
3. Jika terjadi kerusakan database, proses restore dari backup terakhir akan memakan waktu jam hingga hari, di mana operasional benar-benar berhenti.
</t>
        </r>
      </text>
    </comment>
    <comment ref="I57" authorId="0" shapeId="0" xr:uid="{020640A8-E826-46FC-9D2D-AD57C5C56C02}">
      <text>
        <r>
          <rPr>
            <b/>
            <sz val="9"/>
            <rFont val="Times New Roman"/>
          </rPr>
          <t>delyawati:
Dampak Operasional</t>
        </r>
        <r>
          <rPr>
            <sz val="9"/>
            <rFont val="Times New Roman"/>
          </rPr>
          <t xml:space="preserve">
1. Klaim nasabah / peserta tidak dapat dilanjutkan prosesnya karena ada error yang terjadi
2, Stagnasi workflow: Tim IT harus melakukan pengecekan atas kendala tersebut dan tim klaim tidak melanjutkan proses klaimnya di dalam sistem
2, Ketergantungan pada proses manual yang sangat rentan terhadap human error (salah input, data ganda).
3, Beban kerja CS akan kewalahan menerima telepon pertanyaan / komplain status klaim.</t>
        </r>
      </text>
    </comment>
    <comment ref="J57" authorId="0" shapeId="0" xr:uid="{E20AE231-7DB4-42BC-8969-EC8C0BB7D0C8}">
      <text>
        <r>
          <rPr>
            <b/>
            <sz val="9"/>
            <rFont val="Times New Roman"/>
          </rPr>
          <t>delyawati:
Dampak Reputasi</t>
        </r>
        <r>
          <rPr>
            <sz val="9"/>
            <rFont val="Times New Roman"/>
          </rPr>
          <t xml:space="preserve">
1. Hilangnya kepercayaan mitra / provider. Mitra mungkin akan menolak memberikan layanan kepada nasabah jika mereka ragu klaim mereka akan terbayar atau tidak
2. Komplain / ketidakpuasan Nasabah karena pemrosesan klaim menjadi lama 
3. Citra negatif di Media Sosial </t>
        </r>
      </text>
    </comment>
    <comment ref="K57" authorId="0" shapeId="0" xr:uid="{A3FAE1A2-F0F0-4B55-A180-683DE8F506B5}">
      <text>
        <r>
          <rPr>
            <b/>
            <sz val="9"/>
            <rFont val="Times New Roman"/>
          </rPr>
          <t xml:space="preserve">delyawati:
Dampak Kepatuhan
</t>
        </r>
        <r>
          <rPr>
            <sz val="9"/>
            <rFont val="Times New Roman"/>
          </rPr>
          <t>1. Kegagalan sistem saat pemrosesan bisa dianggap sebagai kelalaian dalam menjaga ketersediaan layanan (availability) sesuai aturan OJK atau regulator terkait.</t>
        </r>
        <r>
          <rPr>
            <b/>
            <sz val="9"/>
            <rFont val="Times New Roman"/>
          </rPr>
          <t xml:space="preserve">
</t>
        </r>
        <r>
          <rPr>
            <sz val="9"/>
            <rFont val="Times New Roman"/>
          </rPr>
          <t>2. Saat diaudit, adanya data yang tidak sinkron antara laporan keuangan dan log sistem akan menjadi temuan mayor.</t>
        </r>
        <r>
          <rPr>
            <b/>
            <sz val="9"/>
            <rFont val="Times New Roman"/>
          </rPr>
          <t xml:space="preserve">
</t>
        </r>
        <r>
          <rPr>
            <sz val="9"/>
            <rFont val="Times New Roman"/>
          </rPr>
          <t>3. Jika gangguan disebabkan serangan dan data bocor saat pemrosesan, perusahaan terancam hukuman UU Perlindungan Data Pribadi (PDP)</t>
        </r>
        <r>
          <rPr>
            <b/>
            <sz val="9"/>
            <rFont val="Times New Roman"/>
          </rPr>
          <t xml:space="preserve">
</t>
        </r>
        <r>
          <rPr>
            <sz val="9"/>
            <rFont val="Times New Roman"/>
          </rPr>
          <t>4. Pelanggaran SLA. Perusahaan dianggap gagal memenuhi janji layanan yang diatur dalam polis.</t>
        </r>
      </text>
    </comment>
    <comment ref="G58" authorId="0" shapeId="0" xr:uid="{574E8C82-0A20-4791-BACC-502B44D57B9F}">
      <text>
        <r>
          <rPr>
            <b/>
            <sz val="9"/>
            <rFont val="Times New Roman"/>
          </rPr>
          <t>delyawati:
Dampak Financial</t>
        </r>
        <r>
          <rPr>
            <sz val="9"/>
            <rFont val="Times New Roman"/>
          </rPr>
          <t xml:space="preserve">
1. Double payment pembayaran klaim
2. Selama sistem error / hingga mati, perusahaan kehilangan waktu produktif staf yang seharusnya bisa menyelesaikan klaim baru.
3. Biaya Investigasi Forensik IT. Jika gangguan parah, perusahaan mungkin perlu menyewa konsultan pihak ketiga untuk memulihkan data.
4. Biaya lembur karyawan untuk melakukan input manual atau bekerja lembur setelah sistem pulih.
5. Kehilangan pendapatan premi jika kendala terjadi saat proses renewal atau upsale kepada nasabah</t>
        </r>
      </text>
    </comment>
    <comment ref="H58" authorId="0" shapeId="0" xr:uid="{4B27CCC0-5F74-4291-8D06-EB021004C900}">
      <text>
        <r>
          <rPr>
            <b/>
            <sz val="9"/>
            <rFont val="Times New Roman"/>
          </rPr>
          <t>delyawati:
Dampak Waktu</t>
        </r>
        <r>
          <rPr>
            <sz val="9"/>
            <rFont val="Times New Roman"/>
          </rPr>
          <t xml:space="preserve">
1. SLA penyelesaian klaim menjadi over dari yang dijanjikan kepada nasabah
2. Tim IT harus melakukan pengecekan untuk mencari tahu penyebab dan dampak yang terjadi
3. Jika terjadi kerusakan database, proses restore dari backup terakhir akan memakan waktu jam hingga hari, di mana operasional benar-benar berhenti.
</t>
        </r>
      </text>
    </comment>
    <comment ref="I58" authorId="0" shapeId="0" xr:uid="{D824C994-1835-4485-94ED-A35F943E9241}">
      <text>
        <r>
          <rPr>
            <b/>
            <sz val="9"/>
            <rFont val="Times New Roman"/>
          </rPr>
          <t>delyawati:
Dampak Operasional</t>
        </r>
        <r>
          <rPr>
            <sz val="9"/>
            <rFont val="Times New Roman"/>
          </rPr>
          <t xml:space="preserve">
1. Klaim nasabah / peserta tidak dapat dilanjutkan prosesnya karena ada error yang terjadi
2, Stagnasi workflow: Tim IT harus melakukan pengecekan atas kendala tersebut dan tim klaim tidak melanjutkan proses klaimnya di dalam sistem
2, Ketergantungan pada proses manual yang sangat rentan terhadap human error (salah input, data ganda).
3, Beban kerja CS akan kewalahan menerima telepon pertanyaan / komplain status klaim.</t>
        </r>
      </text>
    </comment>
    <comment ref="J58" authorId="0" shapeId="0" xr:uid="{CDA90BD5-E736-416F-B0EA-E0B57A3202BE}">
      <text>
        <r>
          <rPr>
            <b/>
            <sz val="9"/>
            <rFont val="Times New Roman"/>
          </rPr>
          <t>delyawati:
Dampak Reputasi</t>
        </r>
        <r>
          <rPr>
            <sz val="9"/>
            <rFont val="Times New Roman"/>
          </rPr>
          <t xml:space="preserve">
1. Hilangnya kepercayaan mitra / provider. Mitra mungkin akan menolak memberikan layanan kepada nasabah jika mereka ragu klaim mereka akan terbayar atau tidak
2. Komplain / ketidakpuasan Nasabah karena pemrosesan klaim menjadi lama 
3. Citra negatif di Media Sosial </t>
        </r>
      </text>
    </comment>
    <comment ref="K58" authorId="0" shapeId="0" xr:uid="{11E88DC5-DD90-4266-BE14-6C115549AF1D}">
      <text>
        <r>
          <rPr>
            <b/>
            <sz val="9"/>
            <rFont val="Times New Roman"/>
          </rPr>
          <t xml:space="preserve">delyawati:
Dampak Kepatuhan
</t>
        </r>
        <r>
          <rPr>
            <sz val="9"/>
            <rFont val="Times New Roman"/>
          </rPr>
          <t>1. Kegagalan sistem saat pemrosesan bisa dianggap sebagai kelalaian dalam menjaga ketersediaan layanan (availability) sesuai aturan OJK atau regulator terkait.</t>
        </r>
        <r>
          <rPr>
            <b/>
            <sz val="9"/>
            <rFont val="Times New Roman"/>
          </rPr>
          <t xml:space="preserve">
</t>
        </r>
        <r>
          <rPr>
            <sz val="9"/>
            <rFont val="Times New Roman"/>
          </rPr>
          <t>2. Saat diaudit, adanya data yang tidak sinkron antara laporan keuangan dan log sistem akan menjadi temuan mayor.</t>
        </r>
        <r>
          <rPr>
            <b/>
            <sz val="9"/>
            <rFont val="Times New Roman"/>
          </rPr>
          <t xml:space="preserve">
</t>
        </r>
        <r>
          <rPr>
            <sz val="9"/>
            <rFont val="Times New Roman"/>
          </rPr>
          <t>3. Jika gangguan disebabkan serangan dan data bocor saat pemrosesan, perusahaan terancam hukuman UU Perlindungan Data Pribadi (PDP)</t>
        </r>
        <r>
          <rPr>
            <b/>
            <sz val="9"/>
            <rFont val="Times New Roman"/>
          </rPr>
          <t xml:space="preserve">
</t>
        </r>
        <r>
          <rPr>
            <sz val="9"/>
            <rFont val="Times New Roman"/>
          </rPr>
          <t>4. Pelanggaran SLA. Perusahaan dianggap gagal memenuhi janji layanan yang diatur dalam polis.</t>
        </r>
      </text>
    </comment>
    <comment ref="G59" authorId="0" shapeId="0" xr:uid="{B38FE95F-BD14-47BF-A302-476F4F42F65D}">
      <text>
        <r>
          <rPr>
            <b/>
            <sz val="9"/>
            <rFont val="Times New Roman"/>
          </rPr>
          <t xml:space="preserve">delyawati:
Dampak Financial
</t>
        </r>
        <r>
          <rPr>
            <sz val="9"/>
            <rFont val="Times New Roman"/>
          </rPr>
          <t xml:space="preserve">
1.Perusahaan harus mengeluarkan biaya pemasaran lebih besar untuk memperbaiki citra yang rusak akibat testimoni negatif.
2. Peningkatan biaya untuk membayar lembur staf Call Center atau biaya pengiriman dokumen fisik.
3. Nasabah kecewa dan tidak memperpanjang polis mereka (renewal)</t>
        </r>
      </text>
    </comment>
    <comment ref="H59" authorId="0" shapeId="0" xr:uid="{E3A6003A-219D-4D32-BF0B-D322DD579A85}">
      <text>
        <r>
          <rPr>
            <b/>
            <sz val="9"/>
            <rFont val="Times New Roman"/>
          </rPr>
          <t>delyawati:
Dampak Waktu</t>
        </r>
        <r>
          <rPr>
            <sz val="9"/>
            <rFont val="Times New Roman"/>
          </rPr>
          <t xml:space="preserve">
1. perpanjangan waktu siklus klaim. Nasabah harus mencari cara alternatif seperti datang ke kantor cabang atau mengirimkan dokumen hardcopy sehingga menambah waktu pemrosesan klaim menjadi beberapa hari
2. Contact Center akan mendapat banyak pertanyaan mengenai platform atau layanan yang tidak dapat digunakan</t>
        </r>
      </text>
    </comment>
    <comment ref="I59" authorId="0" shapeId="0" xr:uid="{485CB027-B148-46ED-A9C9-847A1B89D041}">
      <text>
        <r>
          <rPr>
            <b/>
            <sz val="9"/>
            <rFont val="Times New Roman"/>
          </rPr>
          <t>delyawati:
Dampak Operasional</t>
        </r>
        <r>
          <rPr>
            <sz val="9"/>
            <rFont val="Times New Roman"/>
          </rPr>
          <t xml:space="preserve">
1. Lonjakan traffic call center dan front liner kantor pusat atau cabang dalam menangani pertanyaan dan komplain nasabah
2. Menmperpanjang waktu pemrosesan klaim dari yang datanya bisa langsung ditarik by sistem, user harus menunggu dokumen fisik sampai dahulu atau jika dari email ada keterbatasan size file yang bisa diterima oleh user mengingat dokumen klaim cukup besar
</t>
        </r>
      </text>
    </comment>
    <comment ref="J59" authorId="0" shapeId="0" xr:uid="{3C79FE22-C9CB-4D20-8357-CF7EC7124254}">
      <text>
        <r>
          <rPr>
            <b/>
            <sz val="9"/>
            <rFont val="Times New Roman"/>
          </rPr>
          <t>delyawati:
Dampak Reputasi</t>
        </r>
        <r>
          <rPr>
            <sz val="9"/>
            <rFont val="Times New Roman"/>
          </rPr>
          <t xml:space="preserve">
1. Hilangnya kepercayaan nasabah
2. Komplain / ketidakpuasan Nasabah karena pemrosesan klaim menjadi lama hingga komplain ke  media sosial
3. Perusahaan dianggap tidak kompeten secara teknoilogi dibandingkan dengan kompetitor lainnya</t>
        </r>
      </text>
    </comment>
    <comment ref="K59" authorId="0" shapeId="0" xr:uid="{5EE0AB37-4B3D-4491-9CCB-6663F8745A46}">
      <text>
        <r>
          <rPr>
            <b/>
            <sz val="9"/>
            <rFont val="Times New Roman"/>
          </rPr>
          <t xml:space="preserve">delyawati:
Dampak Kepatuhan
</t>
        </r>
        <r>
          <rPr>
            <sz val="9"/>
            <rFont val="Times New Roman"/>
          </rPr>
          <t>1. Melanggar janji layanan (SLA) yang tercantum dalam polis 
2. Peningkatan jumlah pengaduan resmi ke regulator (seperti OJK di Indonesia), yang dapat memicu pemeriksaan atau audit khusus terhadap keandalan sistem IT perusahaan.
3. Sanksi Administratif: Kegagalan menyediakan layanan yang berkelanjutan yang berujung pada teguran atau denda terkait tata kelola teknologi informasi.</t>
        </r>
      </text>
    </comment>
    <comment ref="G60" authorId="0" shapeId="0" xr:uid="{9D48860E-454F-4B40-9FAE-9190F8EBCDEA}">
      <text>
        <r>
          <rPr>
            <b/>
            <sz val="9"/>
            <rFont val="Times New Roman"/>
          </rPr>
          <t xml:space="preserve">delyawati:
Dampak Financial
</t>
        </r>
        <r>
          <rPr>
            <sz val="9"/>
            <rFont val="Times New Roman"/>
          </rPr>
          <t xml:space="preserve">
1.Perusahaan harus mengeluarkan biaya pemasaran lebih besar untuk memperbaiki citra yang rusak akibat testimoni negatif.
2. Peningkatan biaya untuk membayar lembur staf Call Center atau biaya pengiriman dokumen fisik.
3. Nasabah kecewa dan tidak memperpanjang polis mereka (renewal)</t>
        </r>
      </text>
    </comment>
    <comment ref="H60" authorId="0" shapeId="0" xr:uid="{0C7EF9B9-E919-4804-97D5-2A14F1C7C416}">
      <text>
        <r>
          <rPr>
            <b/>
            <sz val="9"/>
            <rFont val="Times New Roman"/>
          </rPr>
          <t>delyawati:
Dampak Waktu</t>
        </r>
        <r>
          <rPr>
            <sz val="9"/>
            <rFont val="Times New Roman"/>
          </rPr>
          <t xml:space="preserve">
1. perpanjangan waktu siklus klaim. Nasabah harus mencari cara alternatif seperti datang ke kantor cabang atau mengirimkan dokumen hardcopy sehingga menambah waktu pemrosesan klaim menjadi beberapa hari
2. Contact Center akan mendapat banyak pertanyaan mengenai platform atau layanan yang tidak dapat digunakan</t>
        </r>
      </text>
    </comment>
    <comment ref="I60" authorId="0" shapeId="0" xr:uid="{09C97221-D4BE-49AF-A36B-1BD89EA8A1C2}">
      <text>
        <r>
          <rPr>
            <b/>
            <sz val="9"/>
            <rFont val="Times New Roman"/>
          </rPr>
          <t>delyawati:
Dampak Operasional</t>
        </r>
        <r>
          <rPr>
            <sz val="9"/>
            <rFont val="Times New Roman"/>
          </rPr>
          <t xml:space="preserve">
1. Lonjakan traffic call center dan front liner kantor pusat atau cabang dalam menangani pertanyaan dan komplain nasabah
2. Menmperpanjang waktu pemrosesan klaim dari yang datanya bisa langsung ditarik by sistem, user harus menunggu dokumen fisik sampai dahulu atau jika dari email ada keterbatasan size file yang bisa diterima oleh user mengingat dokumen klaim cukup besar
</t>
        </r>
      </text>
    </comment>
    <comment ref="J60" authorId="0" shapeId="0" xr:uid="{9DEA2C66-3F45-400F-99CF-AED3C9B4A3AB}">
      <text>
        <r>
          <rPr>
            <b/>
            <sz val="9"/>
            <rFont val="Times New Roman"/>
          </rPr>
          <t>delyawati:
Dampak Reputasi</t>
        </r>
        <r>
          <rPr>
            <sz val="9"/>
            <rFont val="Times New Roman"/>
          </rPr>
          <t xml:space="preserve">
1. Hilangnya kepercayaan nasabah
2. Komplain / ketidakpuasan Nasabah karena pemrosesan klaim menjadi lama hingga komplain ke  media sosial atau platform seperti di google store dengan memberikan rating yang buruk
3. Perusahaan dianggap tidak kompeten secara teknoilogi dibandingkan dengan kompetitor lainnya</t>
        </r>
      </text>
    </comment>
    <comment ref="K60" authorId="0" shapeId="0" xr:uid="{9B481B16-11FC-4FD7-BCCB-BF17F1407978}">
      <text>
        <r>
          <rPr>
            <b/>
            <sz val="9"/>
            <rFont val="Times New Roman"/>
          </rPr>
          <t xml:space="preserve">delyawati:
Dampak Kepatuhan
</t>
        </r>
        <r>
          <rPr>
            <sz val="9"/>
            <rFont val="Times New Roman"/>
          </rPr>
          <t>1. Melanggar janji layanan (SLA) yang tercantum dalam polis 
2. Peningkatan jumlah pengaduan resmi ke regulator (seperti OJK di Indonesia), yang dapat memicu pemeriksaan atau audit khusus terhadap keandalan sistem IT perusahaan.
3. Sanksi Administratif: Kegagalan menyediakan layanan yang berkelanjutan yang berujung pada teguran atau denda terkait tata kelola teknologi informasi.</t>
        </r>
      </text>
    </comment>
  </commentList>
</comments>
</file>

<file path=xl/sharedStrings.xml><?xml version="1.0" encoding="utf-8"?>
<sst xmlns="http://schemas.openxmlformats.org/spreadsheetml/2006/main" count="1042" uniqueCount="690">
  <si>
    <t>:</t>
  </si>
  <si>
    <t>Jumlah Karyawan</t>
  </si>
  <si>
    <t>Deskripsi Tugas Pokok dan Fungsi</t>
  </si>
  <si>
    <t>Tanggal Terakhir Update</t>
  </si>
  <si>
    <t>Ringkasan Singkat Departemen Terkait Business Continuity</t>
  </si>
  <si>
    <t>No.</t>
  </si>
  <si>
    <t>Bisnis Proses Kritikal</t>
  </si>
  <si>
    <t>Penjelasan Singkat Bisnis Proses Kritikal</t>
  </si>
  <si>
    <t>Manual Proses Saat Sistem Informasi Terganggu</t>
  </si>
  <si>
    <t>Apa yang harus dilakukan jika sampai tenggang waktu tersebut, bisnis proses ini belum bisa tersedia</t>
  </si>
  <si>
    <t>Hari Maksimal menginfokan Pihak Ketiga</t>
  </si>
  <si>
    <t>Nama Pihak Ketiga atan Partner Terkait</t>
  </si>
  <si>
    <t>Kontak Informasi No. Telepon Pihak Ketiga</t>
  </si>
  <si>
    <t>Kontak Informasi Email Pihak Ketiga</t>
  </si>
  <si>
    <t>Keterkaitan Bisnis Proses dengan Sistem Informasi</t>
  </si>
  <si>
    <t>Keterlibatan Pihak Ketiga/Partner</t>
  </si>
  <si>
    <t>Nama Departemen/Divisi</t>
  </si>
  <si>
    <t>Nama Pimpinan Departemen/Divisi</t>
  </si>
  <si>
    <t>Nama Koordinator Business Continuity</t>
  </si>
  <si>
    <t>Kolom</t>
  </si>
  <si>
    <t>Keterangan</t>
  </si>
  <si>
    <t>No</t>
  </si>
  <si>
    <t>Diisi dengan tindakan yang dapat dilakukan oleh Divisi/Departemen terkait pada saat itu dalam mengatasi risiko yang timbul.</t>
  </si>
  <si>
    <t>1)</t>
  </si>
  <si>
    <t>Departemen/Divisi</t>
  </si>
  <si>
    <t>Diisi dengan Tugas Pokok dan Fungsi dari Divisi/Departemen dimaksud.</t>
  </si>
  <si>
    <t>Diisi dengan Departemen/Divisi dimaksud.</t>
  </si>
  <si>
    <t>Diisi dengan jumlah Karyawan dari Divisi/Departemen dimaksud.</t>
  </si>
  <si>
    <t>Diisi dengan nama Pimpinan Divisi/Departemen dimaksud.</t>
  </si>
  <si>
    <t>Diisi dengan nama PIC yang ditunjuk dalam pengelolaan administrasi BCP dari Divisi/Departemen dimaksud.</t>
  </si>
  <si>
    <t>Diisi dengan tanggal dalam melakukan pengisian BIA.</t>
  </si>
  <si>
    <t>2)</t>
  </si>
  <si>
    <t>3)</t>
  </si>
  <si>
    <t>Aspek Dampak</t>
  </si>
  <si>
    <t>Minimum Resource Required</t>
  </si>
  <si>
    <t>Diisi dengan penjelasan singkat atas bisnis proses kritikal yang di identifikasi sesuai kategori bisnis proses kritikal.</t>
  </si>
  <si>
    <t>Prioritas
(1 … 5)</t>
  </si>
  <si>
    <t>Diisi dengan skala prioritas dari bisnis proses kritikal yang telah di identifikasi.
1. Sangat Prioritas (Critical) -&gt; Harus dipulihkan segera
2. Prioritas (High) -&gt; dipulihkan setelah fungsi kritikal
3. Sedang (Medium) -&gt; Bisa ditunda sementara
4. Sedang Rendah (Moderate to Low) -&gt; Tidak memerlukan BCP Khusus
5. Rendah (Low) -&gt; Tidak berdampak secara langsung/tidak langsung</t>
  </si>
  <si>
    <t>Deskripsi</t>
  </si>
  <si>
    <t>Finansial</t>
  </si>
  <si>
    <t>Nilai</t>
  </si>
  <si>
    <t>Sangat Rendah</t>
  </si>
  <si>
    <t>Rendah</t>
  </si>
  <si>
    <t>Sedang</t>
  </si>
  <si>
    <t>Tinggi</t>
  </si>
  <si>
    <t>Sangat Tinggi</t>
  </si>
  <si>
    <t>Tidak terkait kewajiban Regulator</t>
  </si>
  <si>
    <t>Keterlambatan administratif ringan</t>
  </si>
  <si>
    <t>Potensi teguran regulator</t>
  </si>
  <si>
    <t>Pelanggaran ketentuan OJK</t>
  </si>
  <si>
    <t>Sanksi Berat/Pembekuan Kegiatan</t>
  </si>
  <si>
    <t>Reputasi</t>
  </si>
  <si>
    <t>Tidak berdampak ke nasabah</t>
  </si>
  <si>
    <t>Keluhan terbatas</t>
  </si>
  <si>
    <t>Keluhan meluas</t>
  </si>
  <si>
    <t>Pemberitaan Negatif</t>
  </si>
  <si>
    <t>Penurunan kepercayaan signifikan</t>
  </si>
  <si>
    <t xml:space="preserve">*Dampak </t>
  </si>
  <si>
    <t>Aspek Dampak*</t>
  </si>
  <si>
    <t>Operasional</t>
  </si>
  <si>
    <t>Diisi dengan proses yang tetap harus berjalan pada saat terjadinya risiko.
Dengan menyertakan keterangan (proses yang dilakukan):
Harian;
Bulanan;
Tahunan;
Lainnya...</t>
  </si>
  <si>
    <t>&lt;Rp10jt (Lost)</t>
  </si>
  <si>
    <t>&gt;Rp10-100Jt(Lost)</t>
  </si>
  <si>
    <t>&gt;Rp100-500Jt(Lost)</t>
  </si>
  <si>
    <t>&lt;1 Jam</t>
  </si>
  <si>
    <t>Nama Pihak Ketiga atau Partner Terkait</t>
  </si>
  <si>
    <t>Diisi dengan nama Perusahaan (Vendor)</t>
  </si>
  <si>
    <t>Diisi dengan informasi Perusahaan (Vendor); Telpon, PIC, dst</t>
  </si>
  <si>
    <t>Diisi dengan informasi email Perusahaan (Vendor)</t>
  </si>
  <si>
    <t>Apakah proses dapat dilakukan oleh Divisi terkait</t>
  </si>
  <si>
    <t>Apakah proses internal dapat dilakukan oleh Divisi terkait</t>
  </si>
  <si>
    <t>Waktu Gangguan</t>
  </si>
  <si>
    <t>1-3 Jam</t>
  </si>
  <si>
    <t>4-6 Jam</t>
  </si>
  <si>
    <t>&gt;6-8 Jam</t>
  </si>
  <si>
    <t>&gt;8 Jam</t>
  </si>
  <si>
    <t>Tidak berdampak terhadap:pemasaran, dan pelayanan kepada nasabah</t>
  </si>
  <si>
    <t>Sedikit berdampak terhadap:pemasaran, pelayanan dan operasional kepada nasabah</t>
  </si>
  <si>
    <t>Cukup berdampak terhadap:pemasaran, pelayanan dan operasional kepada nasabah</t>
  </si>
  <si>
    <t>Sangat berdampak terhadap:pemasaran, pelayanan dan operasional kepada nasabah</t>
  </si>
  <si>
    <t>Proses pemasaran, pelayanan dan operasional terhenti di hari insiden</t>
  </si>
  <si>
    <t>&gt;Rp500Jt-1Miliar(Lost)</t>
  </si>
  <si>
    <t>&gt;Rp1Miliar(Lost)</t>
  </si>
  <si>
    <t>Kepatuhan</t>
  </si>
  <si>
    <t>Total Impact Score = Finansial + Waktu + Operasional + Reputasi + Kepatuhan</t>
  </si>
  <si>
    <t>Sedang (Medium)</t>
  </si>
  <si>
    <t>Prioritas (High)</t>
  </si>
  <si>
    <t>Sedang Rendah (Moderate to Low)</t>
  </si>
  <si>
    <t>Rendah (Low)</t>
  </si>
  <si>
    <t>Level</t>
  </si>
  <si>
    <t>Score</t>
  </si>
  <si>
    <t xml:space="preserve">Finansial </t>
  </si>
  <si>
    <t xml:space="preserve">Waktu </t>
  </si>
  <si>
    <t>Prioritas (1 …5)
(Diisi oleh Tim BCP)</t>
  </si>
  <si>
    <t>Diisi dengan usulan perubahan bisnis proses sementara saat penangangan insiden</t>
  </si>
  <si>
    <t>Lama waktu dalam penyampaian informasi kepada Perusahaan (Vendor)</t>
  </si>
  <si>
    <t>Diisi dengan proses bisnis apakah dapat dilakukan oleh internal Divisi tanpa melalui Vendor</t>
  </si>
  <si>
    <t>Diisi dengan pengaruh dampak langsung atas peristiwa yang mengganggu proses bisnis Divisi/Departemen, yaitu (sesuai parameter): 
Finansial, 
Waktu,
Operasional, 
Reputasi, 
Kepatuhan</t>
  </si>
  <si>
    <t>Diisi dengan:
Jumlah SDM atas Proses Critical;
Sistem;
Vendor (apabila ada).
Lainnya:…..</t>
  </si>
  <si>
    <t>Diisi dengan proses yang tetap harus berjalan pada saat terjadinya risiko yang dilakukan oleh Vendor.
Dengan menyertakan keterangan (proses yang dilakukan):
Harian;
Bulanan;
Tahunan;
Lainnya:....</t>
  </si>
  <si>
    <t>Product Management and Segmentation</t>
  </si>
  <si>
    <t xml:space="preserve">Product Management and segmentation terdiri dari 2 Department yaitu:
1. Product Development:  bertanggung jawab merancang, mengembangkan, dan mengelola produk asuransi agar sesuai kebutuhan pasar, menguntungkan secara finansial, patuh regulasi, dan berkelanjutan. Fungsi utamanya mencakup product design, pricing bersama aktuaria, pengelolaan siklus hidup produk, koordinasi lintas fungsi, serta monitoring performa produk (profitabilitas, klaim, dan persistency.
2. Product Marketing: berfungsi sebagai penghubung strategis antara produk, brand, dan pasar. Dept ini memastikan setiap produk memiliki USP yang mudah dipahami, dan konsisten dengan positioning perusahaan, sekaligus menjaga reputasi dan citra korporasi. Tanggung jawab utamanya mencakup go-to-market strategy, messaging &amp; storytelling produk, komunikasi internal dan eksternal, serta pengelolaan brand dan reputasi perusahaan. Kinerja fungsi ini berdampak langsung pada efektivitas penjualan, kepercayaan publik, dan kekuatan brand jangka panjang.
</t>
  </si>
  <si>
    <t xml:space="preserve">9 orang </t>
  </si>
  <si>
    <t>Ainsley Santoso</t>
  </si>
  <si>
    <t>Produk Pricing dan Repricing</t>
  </si>
  <si>
    <t>Penetapan dan penyesuaian premi</t>
  </si>
  <si>
    <t>Product Approval &amp; Governance</t>
  </si>
  <si>
    <t>Product Filing ke OJK</t>
  </si>
  <si>
    <t>Persetujuan internal dan perubahannya</t>
  </si>
  <si>
    <t>Produk Launch rediness</t>
  </si>
  <si>
    <t>Product Enhancement</t>
  </si>
  <si>
    <t>Penyesuaian manfaat &amp; Fitur Produk</t>
  </si>
  <si>
    <t>Sales Illustration &amp; Manfaat</t>
  </si>
  <si>
    <t>Ilustrasi manfaat dan simulasi premi</t>
  </si>
  <si>
    <t>Produk Communication internal</t>
  </si>
  <si>
    <t>Sosialisasi internal dan external user</t>
  </si>
  <si>
    <t>Excel Pricing template dan manual approval</t>
  </si>
  <si>
    <t>Hardcopy sign off approval</t>
  </si>
  <si>
    <t xml:space="preserve">Excel manual dokumen tracking </t>
  </si>
  <si>
    <t>Manual checklist dan meeting kordinasi</t>
  </si>
  <si>
    <t>PM, ACT, RM</t>
  </si>
  <si>
    <t>Ganjar Kurniawan, Muhamad Rolas Jayasaputra</t>
  </si>
  <si>
    <t>PM</t>
  </si>
  <si>
    <t>PM, ACT, INV, OPS</t>
  </si>
  <si>
    <t>PM, ACT, INV, L&amp;C, OPS</t>
  </si>
  <si>
    <t>PM, ACT, IT, OPS, INV, FIN, ACC</t>
  </si>
  <si>
    <t>PM, ACT, OPS</t>
  </si>
  <si>
    <t>Proposal Manual + Offline Simulation (Excel)</t>
  </si>
  <si>
    <t>Freeze penjualan produk terkait</t>
  </si>
  <si>
    <t>Eskalasi ke management</t>
  </si>
  <si>
    <t>Mengirimkan dokumen secara offline ke OJK dan konfirmasi ke PIC OJK terkait</t>
  </si>
  <si>
    <t>Tunda enhancement, Freeze penjualan produk terkait/penjualan secara terbatas</t>
  </si>
  <si>
    <t>Email blast/Offline Training/Online training mengunakan 3rd party (Zoom, Gmet, WA Group Etc)</t>
  </si>
  <si>
    <t>Gunakan Excel Illustration, dan print secara manual</t>
  </si>
  <si>
    <t>Lisence Sofware dan Aset Kreatif</t>
  </si>
  <si>
    <t>Subscription account dan annual fee untuk mengunakan layanan ini</t>
  </si>
  <si>
    <t xml:space="preserve">Pelaporan/Persetujuan produk melalui sistem elektronik OJK </t>
  </si>
  <si>
    <t>Kesiapan produk sebelum go live (proses UAT)</t>
  </si>
  <si>
    <t>Eskalasi ke management untuk menunda peluncuran produk</t>
  </si>
  <si>
    <t>Desain secara manual mengunakan Adobe Creative Series</t>
  </si>
  <si>
    <t>Mengunakan Adobe Creative Suites</t>
  </si>
  <si>
    <t>Mengunakan WA Group/Blast</t>
  </si>
  <si>
    <t>PM, Ops</t>
  </si>
  <si>
    <t>Pelaporan produk pada sistem elektronik OJK</t>
  </si>
  <si>
    <t>OJK</t>
  </si>
  <si>
    <t>Helpdesk Sistem Informasi OJK
Telp.  : 021-29600000 ext. 7000
          : 021-29600296 (DID)
VOIP  : 301-7000</t>
  </si>
  <si>
    <t>Dynafront - Lim Shy Huey, Wong Ching Han</t>
  </si>
  <si>
    <t>UAT Product dan/atau Proposal Ilustrasi</t>
  </si>
  <si>
    <t>Bug pada sistem ELI</t>
  </si>
  <si>
    <t xml:space="preserve">helpdesk@ojk.go.id </t>
  </si>
  <si>
    <t>shlim@dynafront.com 
chwong@dynafront.com</t>
  </si>
  <si>
    <r>
      <rPr>
        <i/>
        <sz val="12"/>
        <color theme="1"/>
        <rFont val="Raleway"/>
      </rPr>
      <t>License Software</t>
    </r>
    <r>
      <rPr>
        <sz val="12"/>
        <color theme="1"/>
        <rFont val="Raleway"/>
      </rPr>
      <t xml:space="preserve"> dan </t>
    </r>
    <r>
      <rPr>
        <i/>
        <sz val="12"/>
        <color theme="1"/>
        <rFont val="Raleway"/>
      </rPr>
      <t>Creative Asset</t>
    </r>
  </si>
  <si>
    <r>
      <t>Approval Permintaan Barang (</t>
    </r>
    <r>
      <rPr>
        <i/>
        <sz val="12"/>
        <color theme="1"/>
        <rFont val="Raleway"/>
      </rPr>
      <t>Subscription fee</t>
    </r>
    <r>
      <rPr>
        <sz val="12"/>
        <color theme="1"/>
        <rFont val="Raleway"/>
      </rPr>
      <t>), Adobe Creative Cloud, Canva, Freepik</t>
    </r>
  </si>
  <si>
    <t>customercare-chatsupport@adobe.com, info@email-freepik.com, support@canva.com</t>
  </si>
  <si>
    <t>Menginformasikan via email atau telp terkait error tersebut untuk dapat segera diperbaiki</t>
  </si>
  <si>
    <t>Sangat Prioritas (Very High)</t>
  </si>
  <si>
    <t>Divisi</t>
  </si>
  <si>
    <t>Prodev</t>
  </si>
  <si>
    <t>Permintaan Dana - eBass</t>
  </si>
  <si>
    <t xml:space="preserve">Permintaan Dana (Payment Request, Supplier Invoice, Purchase Request) </t>
  </si>
  <si>
    <t xml:space="preserve">Pembayaran Manual terkait Permintaan Dana (Payment Request, Supplier Invoice, Purchase Request) </t>
  </si>
  <si>
    <t>2 orang</t>
  </si>
  <si>
    <t xml:space="preserve">Koordinasi dengan Intenal Information Technologi, Satelkom terkait Permintaan Dana (Payment Request, Supplier Invoice, Purchase Request) </t>
  </si>
  <si>
    <t>Upload dari Sistem EJC - eBass</t>
  </si>
  <si>
    <t>Upload dari Sistem EJC untuk Transaksi Individu Precential dan Transaksi Group Insurance</t>
  </si>
  <si>
    <t>Koordinasi dengan Intenal Information Technologi, Satelkom terkait Upload dari Sistem EJC untuk Transaksi Individu Precential dan Transaksi Group Insurance</t>
  </si>
  <si>
    <t>Proses Laporan Keuangan - eBass</t>
  </si>
  <si>
    <t>Proses Penjurnalan dan Proses Laporan keuangan</t>
  </si>
  <si>
    <t>Koordinasi dengan Intenal Information Technologi, Satelkom terkait Proses Penjurnalan dan Proses Laporan keuangan</t>
  </si>
  <si>
    <t>Input Kurs Akhir Bulan - eBass</t>
  </si>
  <si>
    <t>Input Kurs Akhir Bulan di eBass untuk Proses Laporan Keuangan</t>
  </si>
  <si>
    <t>Koordinasi dengan Intenal Information Technologi, Satelkom terkait Input Kurs Akhir Bulan di eBass untuk Proses Laporan Keuangan</t>
  </si>
  <si>
    <t>1 orang</t>
  </si>
  <si>
    <t>Upload dari Sistem Precential  - EJC</t>
  </si>
  <si>
    <t>Proses Tarikan Transaksi Harian dari Sistem Precential melalui Sistem EJC untuk pembentukan Jurnal yang akan ditransfer ke Sistem eBass</t>
  </si>
  <si>
    <t>Koordinasi dengan Internal Information Technologi terkait Proses Tarikan Transaksi Harian dari Sistem Precential melalui Sistem EJC untuk pembentukan Jurnal yang akan ditransfer ke Sistem eBass</t>
  </si>
  <si>
    <t>Upload dari Sistem Group Insurance - EJC</t>
  </si>
  <si>
    <t>Proses Tarikan Transaksi Harian dari Sistem Group Insurance melalui Sistem EJC untuk pembentukan Jurnal yang akan ditransfer ke Sistem eBass</t>
  </si>
  <si>
    <t>Koordinasi dengan Internal Information Technologi terkait Proses Tarikan Transaksi Harian dari Sistem Group Insurance melalui Sistem EJC untuk pembentukan Jurnal yang akan ditransfer ke Sistem eBass</t>
  </si>
  <si>
    <t>Proses Penjurnalan - EJC</t>
  </si>
  <si>
    <t>Proses Penjurnalan Manual di Sistem eJC yang akan ditransfer ke Sistem eBass</t>
  </si>
  <si>
    <t>Koordinasi dengan Internal Information Technologi terkait Proses Penjurnalan Manual di Sistem eJC yang akan ditransfer ke Sistem eBass</t>
  </si>
  <si>
    <t>Input Kurs Akhir Bulan - EJC</t>
  </si>
  <si>
    <t>Input Kurs Akhir Bulan di eBass untuk Proses Pembentukan Jurnal</t>
  </si>
  <si>
    <t>Koordinasi dengan Internal Information Technologi terkait Input Kurs Akhir Bulan di eBass untuk Proses Pembentukan Jurnal</t>
  </si>
  <si>
    <t>Input Kurs Mingguan Pajak - Precential</t>
  </si>
  <si>
    <t>Input Kurs Pajak untuk perhitungan Pajak PPh 21 Agen dan akan dibayarkan ke Kantor Pajak</t>
  </si>
  <si>
    <t>Koordinasi dengan Internal Information Technologi, Dynafront terkait Input Kurs Mingguan Pajak - Precential</t>
  </si>
  <si>
    <t>Input Kurs Akhir Bulan - Precential</t>
  </si>
  <si>
    <t>Input Kurs Akhir Bulan di Precentialuntuk Proses Pembentukan Jurnal</t>
  </si>
  <si>
    <t>Koordinasi dengan Internal Information Technologi, Dynafront terkait Input Kurs Akhir Bulan - Precential</t>
  </si>
  <si>
    <t>Input NAV Harian - Precential</t>
  </si>
  <si>
    <t>Koordinasi dengan Internal Information Technologi, Dynafront terkait Input NAV Harian - Precential</t>
  </si>
  <si>
    <t>Pengambilan Data GPWL, Outstanding - Precential</t>
  </si>
  <si>
    <t>Koordinasi dengan Internal Information Technologi, Dynafront terkait Pengambilan Data GPWL, Outstanding - Precential</t>
  </si>
  <si>
    <t>Pengambilan Data Produksi, Cancel, Lunas, Aging Polis Polis Group AJK</t>
  </si>
  <si>
    <t>Jurnal Manual Data Produksi, Cancel, Lunas, Aging Polis Polis Group AJK</t>
  </si>
  <si>
    <t>3 orang</t>
  </si>
  <si>
    <t>Koordinasi dengan Information Technologi terkait Pengambilan Data Produksi, Cancel, Lunas, Aging Polis Polis Group AJK</t>
  </si>
  <si>
    <t>Pengambilan Data Produksi, Cancel, Lunas, Aging Polis Polis Group Insurance</t>
  </si>
  <si>
    <t>Jurnal Manual Data Produksi, Cancel, Lunas, Aging Polis Polis Group Insurance</t>
  </si>
  <si>
    <t>Koordinasi dengan Information Technologi terkait Pengambilan Data Produksi, Cancel, Lunas, Aging Polis Polis Group Insurance</t>
  </si>
  <si>
    <t>Pembayaran Pajak EBilling - CoreTax (Bulanan)</t>
  </si>
  <si>
    <t>Pembayaran Pajak PPh 21, 23, 4 ayat 2, PPN EBilling - CoreTax (Bulanan)</t>
  </si>
  <si>
    <t>Bayar Pajak manual tanpa  EBilling - Coretax</t>
  </si>
  <si>
    <t>Koordinasi dengan Account Representatif Pajak terkait EBilling - Coretax</t>
  </si>
  <si>
    <t>Upload Laporan Keuangan OJK Ereporting (Bulanan)</t>
  </si>
  <si>
    <t xml:space="preserve">Mail Excel Laporan Upload OJK Ereporting ke CEO Officer, OJK </t>
  </si>
  <si>
    <t>Koordinasi dengan CEO Officer, OJK terkait Laporan Keuangan OJK Ereporting</t>
  </si>
  <si>
    <t>Accounting</t>
  </si>
  <si>
    <t>Pembayaran Kompensasi &amp; Fee Based ke Partner</t>
  </si>
  <si>
    <t>Proses perhitungan, verifikasi dan pembayaran kompensasi, komisi serta fee based kepada partner/mitra sesuai PKS dan ketentuan yang berlaku</t>
  </si>
  <si>
    <t>Rekap perhitungan kompensasi dan fee dilakukan secara manual menggunakan data produksi terakhir
Verifikasi perhitungan melalui koordinasi manual dengan Finance dan SBU terkait
Penyampaian informasi status pembayaran kepada partner melalui email</t>
  </si>
  <si>
    <t>Tim Business Services
Tim Finance
Data produksi dan perjanjian kerja sama partner
Template perhitungan kompensasi/fee manual</t>
  </si>
  <si>
    <t>Menunda sementara proses pembayaran dengan pemberitahuan resmi kepada partner
Melakukan escalation ke Manajemen dan Risk Management
Mendokumentasikan keterlambatan dan keputusan sebagai audit trail
Memprioritaskan pemulihan sistem untuk proses pembayaran</t>
  </si>
  <si>
    <t>Pengelolaan Program Marketing &amp; Contest</t>
  </si>
  <si>
    <t>Perencanaan, eksekusi, monitoring, dan evaluasi program insentif &amp; kontes penjualan</t>
  </si>
  <si>
    <t>Monitoring pencapaian dilakukan secara manual melalui rekap Excel
Komunikasi program melalui email dan grup WhatsApp
Validasi pencapaian menggunakan data snapshot terakhir</t>
  </si>
  <si>
    <t>1–2 staff Business Services
Akses email &amp; file offline
Data produksi terakhir sebelum gangguan</t>
  </si>
  <si>
    <t>Menunda evaluasi dan pengumuman program
Menyampaikan pemberitahuan resmi kepada SBU/tenaga pemasar
Melakukan penyesuaian timeline program</t>
  </si>
  <si>
    <t>Dukungan Sistem Penjualan</t>
  </si>
  <si>
    <t>Support operasional aplikasi ELSA, Sales Portal</t>
  </si>
  <si>
    <t>Pencatatan transaksi sementara secara manual
Submission dan follow-up melalui email internal
Koordinasi intensif dengan IT untuk recovery</t>
  </si>
  <si>
    <t>Tim Business Services
Tim IT support
Akses data nasabah &amp; form manual</t>
  </si>
  <si>
    <t>Menghentikan sementara proses submission baru
Escalation ke Manajemen &amp; Risk Management
Prioritas pemulihan sistem (emergency recovery)</t>
  </si>
  <si>
    <t>Monitoring &amp; Pelaporan Produksi</t>
  </si>
  <si>
    <t>Penyediaan data produksi, KPI dan laporan manajemen</t>
  </si>
  <si>
    <t>Rekap manual dari data SBU
Pelaporan sementara menggunakan file Excel
Validasi data secara sampling</t>
  </si>
  <si>
    <t>1–2 staff Business Services
Data produksi dari SBU
Template laporan manual</t>
  </si>
  <si>
    <t>Menyampaikan laporan sementara (preliminary report)
Memberikan disclaimer keterbatasan data
Menunggu sistem pulih untuk finalisasi laporan</t>
  </si>
  <si>
    <t>Koordinasi Approval &amp; Compliance</t>
  </si>
  <si>
    <t>Koordinasi lintas fungsi untuk memastikan kepatuhan regulasi</t>
  </si>
  <si>
    <t>Approval dilakukan via email
Dokumentasi disimpan manual sementara
Konfirmasi lintas fungsi melalui media komunikasi alternatif
Minimum Resource Required</t>
  </si>
  <si>
    <t>Tim Business Services
Akses email &amp; dokumen kebijakan</t>
  </si>
  <si>
    <t>Menunda implementasi program
Melakukan risk acceptance sementara dengan persetujuan manajemen
Mendokumentasikan keputusan sebagai audit trail</t>
  </si>
  <si>
    <t>Vendor &amp; Event Management</t>
  </si>
  <si>
    <t>Pengelolaan vendor program, event dan perjalanann insentif</t>
  </si>
  <si>
    <t>Koordinasi vendor melalui email/telepon
Pengelolaan kontrak dan invoice secara manual
Pencatatan kegiatan event offline</t>
  </si>
  <si>
    <t>Tim Business Services
Dokumen kontrak vendor
Akses komunikasi vendor</t>
  </si>
  <si>
    <t>Menunda atau menjadwalkan ulang event
Negosiasi ulang dengan vendor
Menyampaikan informasi perubahan kepada peserta</t>
  </si>
  <si>
    <t>Business Support</t>
  </si>
  <si>
    <t>POS Partnership</t>
  </si>
  <si>
    <t>Pembayaran uang pensiun, resign, meninggal, tahapan, informasi saldo.</t>
  </si>
  <si>
    <t>Melakukan koordinasi dengan PIC perusahaan pengajuan surat pembayaran uang pensiun, resign, meninggal, tahapan, informasi saldo peserta dengan Finance dan Accounting Unit Link.</t>
  </si>
  <si>
    <t>Email in-out by web  dan 2 (dua) user</t>
  </si>
  <si>
    <t xml:space="preserve">(1) Permintaan data back up dari IT atas informasi tagihan kewajiban perusahaan update terakhir format excell.                                                                                                                                                                                                        (2) Membuat perintah bayar ke Finance secara manual (word) </t>
  </si>
  <si>
    <t xml:space="preserve">Pendaftaran kepesertaan </t>
  </si>
  <si>
    <t>Menerima pengajuan kepesertaan baik polis baru, penambahan, pengurangan peserta dari PIC perusahaan melalui surat/email dan memastikan pengajuan telah lengkap pengisian pada form pendaftaran untuk diproses lebih lanjut ke bagian New Business Administration (NBA)</t>
  </si>
  <si>
    <t>(1) Penarikan data peserta melalui data back up di IT untuk memastikan apakah peserta masih terdaftar atau tidak,            (2) Pendaftaran peserta belum dapat diberikan</t>
  </si>
  <si>
    <t>Penanganan penyelesaian pertanyaan/keluhan melalui email dan telepon baik dari PIC perusahaan, team marketing dan peserta</t>
  </si>
  <si>
    <t>Memberikan penjelasan atas pertanyaan, keluhan baik melalui email dan telepon dari PIC perusahaan, team Marketing, maupun peserta mengenai pengajuan pembayaran pensiun, resign, meninggal, tahapan, informasi saldo.</t>
  </si>
  <si>
    <t>(1) Melakukan pencatatan atas komplain yag diterima dalam format excell dan melakukan penelurusan atas data peserta                                             (2) Penarikan data peserta melalui data back up di IT</t>
  </si>
  <si>
    <t>Penanganan pengajuan klaim AJK &amp; Retail</t>
  </si>
  <si>
    <t>Menerima pengajuan klaim, pengajuan refund dari nasabah baik secara hard copy maupun softcopy untuk meneruskan ke bagian terkait agar diproses lebih lanjut apabila dokumen yang diajukan telah sesuai persyaratan dan melakukan follow up apabila dokumen yang diajukan tidak memenuhi persyaratan</t>
  </si>
  <si>
    <t>(1) Penarikan data peserta melalui data back up di IT,                                     (2) Meverifikasi dokumen yang telah diteriam dan memberikan informasi pengajuan klaim tersebut ke team Klaim melalui email</t>
  </si>
  <si>
    <t xml:space="preserve">Pengiriman notifikasi email dan penyelesaian pertanyaan / keluhan dari nasabah </t>
  </si>
  <si>
    <t xml:space="preserve">1. Pengiriman notifkasi klaim yang diajukan baik notifikasi klaim lengkap maupun notifikasi klaim pending apabila terdapat pengajuan dari nasabah melalui email blast
2. Pengajuan notifikasi refund atas pengajuan refund asuransi jiwa kredit baik notifikasi refund lengkap, refund pending apablla terdapat pengajuan dari nasabah melalui email blast                                                                                                                               3.  Pengiriman notifikasi klaim tolak, bayar atau investigasi apabila klaim telah dilakukan analisa oleh bagian klaim dengan menggunakan melalui email blast                                   4. Pengiriman notifikasi refund bayar, refund dengan nominal dibawah ketentuan dengan menggunakan email blast </t>
  </si>
  <si>
    <t>Melakukan pengiriman notifikasi email secara manual kepada peserta mengacu pada keputusan klaim</t>
  </si>
  <si>
    <t xml:space="preserve">Pembuatan surat tolakan dan informasi klaim terpending karena investigasi </t>
  </si>
  <si>
    <t>Pembuatan surat informasi klaim tidak disantun serta informasi klaim terpending karena investigasi ke nasabah , setelah dokumen klaim dilakukan analisa oleh bagian klaim</t>
  </si>
  <si>
    <t>(1) Melakukan pembuatan surat penolakan dan klaim pending secara manual dengan mengacu pada berkas klaim yang telah diterima dan dasar penolakan yang diinfokan oleh team Klaim                                                (2) Penarikan data back up dariIT untuk update data peserta baik AJK dan Retail</t>
  </si>
  <si>
    <t xml:space="preserve">Perhitungan Tabel penurunan klaim AJK </t>
  </si>
  <si>
    <t>Menghitung tabel penurunan apabila terdapat pengajuan klaim AJK yang akan digunakan oleh bagian klaim sebagai acuan perhitungan pembayaran klaim</t>
  </si>
  <si>
    <t>(1) Membuat tabel penurunan peserta berdasarkan tabel penurunan secara keseluruhan format excell (2)Penarikan data back up dari IT untuk update data peserta baik AJK dan Retail</t>
  </si>
  <si>
    <t>Corporate Collection</t>
  </si>
  <si>
    <t>Informasi tagihan premi atau provider</t>
  </si>
  <si>
    <t>Melakukan active phone call ke Nasabah untuk proses penagihan, mengirimkan softcopy tagihan terbaru via email kepada Nasabah yang menunggak.</t>
  </si>
  <si>
    <t>Mengajukan permintaan data back up dari IT atas informasi tagihan kewajiban perusahaan update terakhir format excell</t>
  </si>
  <si>
    <t>Informasi pembayaran ke Finance</t>
  </si>
  <si>
    <t>Pembayaran dari nasabah yang sudah sesuai dengan perincian Debit/ Credit Note diinformasikan ke Finance Account Receivable Departemen melalui email agar dapat segera dibukukan / diinput pelunasannya</t>
  </si>
  <si>
    <t>Menyampaikan informasi pembayaran ke Finance melalui email Equity dan WA</t>
  </si>
  <si>
    <t>Rekonsiliasi tagihan dengan nasabah</t>
  </si>
  <si>
    <t>Jika terjadi ketidaksesuaian antara pembayaran dan data Tagihan dan Kewajiban, maka Staff Group Collection melakukan rekonsiliasi melalui pertemuan dengan nasabah, telpon atau email. Pertemuan tersebut dapat dilakukan di  PT Equity Life Indonesia atau di tempat nasabah</t>
  </si>
  <si>
    <t>Buka Pending</t>
  </si>
  <si>
    <t>Memberikan rekomendasi atas cara bayar tagihan premi dan provider</t>
  </si>
  <si>
    <t xml:space="preserve">Konfirmasi ke pihak ke-3 (team penjaminan)  untuk dapat melakukan penalangan full cover terlebih dahulu atas setiap penjaminan yang ada </t>
  </si>
  <si>
    <t>Non Banking Partnership</t>
  </si>
  <si>
    <t>Pendaftaran peserta AJK</t>
  </si>
  <si>
    <t>Penerimaan data peserta AJK dari partner untuk diproses registrasi kepesertaan ke sistem ELI</t>
  </si>
  <si>
    <t>Menampung data kepesertaan manual melalui email untuk kemudian diupload setelah sistem sudah bisa diakses kembali</t>
  </si>
  <si>
    <t>UW NBA 1 orang dan SBU NBI 1 orang : Menampung sementara data pendaftaran kepesertaan dari partner melalui Email untuk file nya bisa disimpan lalu kemudian bisa di upload ke sistem AJK ELI.</t>
  </si>
  <si>
    <t>Menginformasikan ke partner untuk bisa mengirimkan ulang file pendaftaran peserta secara manual.</t>
  </si>
  <si>
    <t>Pembelian produk asuransi melalui microsite</t>
  </si>
  <si>
    <t xml:space="preserve">Kesiapan dan ketersediaan akses microsite agar calon nasabah bisa melakukan pembelian asuransi </t>
  </si>
  <si>
    <t>Tidak ada</t>
  </si>
  <si>
    <t>Tidak ada karena proses pembelian asuransi melalui microsite ini customer harus melakukan pengisian data pribadi, ahli waris, dan pembayaran secara mandiri melalui microsite.</t>
  </si>
  <si>
    <t>Menginformasikan ke partner untuk tidak menawarkan produk asuransi Microsite sebelum sistem bisa diakses kembali</t>
  </si>
  <si>
    <t>Proses rekonsiliasi</t>
  </si>
  <si>
    <t>Proses penarikan jumlah data peserta asuransi untuk disesuaikan dengan jumlah yang ada di partner untuk dilakukan rekonsiliasi</t>
  </si>
  <si>
    <t>Tidak ada karena data rekap kepesertaan untuk melalui rekon hanya tersedia di sistem AJK untuk melakukan rekonsiliasi.</t>
  </si>
  <si>
    <t>Menginformasikan ke partner perihal terterlambatan yang terjadi untuk melakukan proses rekonsiliasi</t>
  </si>
  <si>
    <t xml:space="preserve">Proses Pengajuan Claim </t>
  </si>
  <si>
    <t>Menerima dan memproses pengajuan claim dari nasabah Non Banking</t>
  </si>
  <si>
    <t>Menampung data pengajuan klaim manual melalui email untuk kemudian di daftarkan ke sistem setelah sudah bisa diakses</t>
  </si>
  <si>
    <t>CS 1 orang&amp; SBU NBI 1 orang: Menampung sementara data pendaftaran kepesertaan dari partner melalui Email dan melakukan listing manual dengan Excel untuk bisa di tampung dan di tracking hingga sistem portal klaim Retail ELI bisa di proses.</t>
  </si>
  <si>
    <t>Menginformasikan ke partner bahwa terjadi kendala dalam proses registrasi pengajuan claim dan ada potensi keterlambatan SLA Claim</t>
  </si>
  <si>
    <t>Bank Partnership AJK</t>
  </si>
  <si>
    <t>Pendaftaran peserta AJK (Harian)</t>
  </si>
  <si>
    <t>Proses Penanganan Keluhan (Harian)</t>
  </si>
  <si>
    <t>Proses menerima, menanggapi dan mengangani keluhan Partner atas produk dan proses asuransi</t>
  </si>
  <si>
    <t>Proses Pengajuan Claim dan Refund Premi (Harian)</t>
  </si>
  <si>
    <t>Menerima dan memproses pengajuan claim, dan Refund Premi (karena pelunasan dipercepat) dari Bank Partner</t>
  </si>
  <si>
    <t>Proses perhitungan Fee Base Income Partner AJK (bulanan)</t>
  </si>
  <si>
    <t>Perhitungan FBI bulanan Bank Partner</t>
  </si>
  <si>
    <t>Proses rekonsiliasi (Bulanan)</t>
  </si>
  <si>
    <t>Data upload harian klaim dari TPA (Admedika)</t>
  </si>
  <si>
    <t>Data klaim peserta yang telah diproses akan di upload ke core system.
Proses upload data yang tidak berjalan menyebabkan tim klaim tidak dapat memproses / melanjutkan proses perhitungan hingga pembayarannya</t>
  </si>
  <si>
    <t>Saat ini belum bisa dilakukan manual proses untuk sistem group karena dapat menyebabkan perbedaan data dengan yang ada di TPA</t>
  </si>
  <si>
    <t>- 11 tim klaim
- Tim IT</t>
  </si>
  <si>
    <t>Perhitungan klaim dapat dismulasikan dahulu  di UAT environment jika memungkinkan sehingga bisa dihitung secara manual (dengan kondisi kendala sudah terlalu lama belum terselesaikan)</t>
  </si>
  <si>
    <t>Pemrosesan hingga pembayaran klaim harian menggunakan core system PL</t>
  </si>
  <si>
    <t>Klaim diinput atau di upload ke core system selanjutnya akan di proses perhitungan oleh sistem sesuai dengan manfaat atau santunannya lalu di buatkan perintah pembayarannya</t>
  </si>
  <si>
    <t>- Melakukan analisa klaim dahulu hingga bisa diinput di dalam sistem core jika sistem tidak dapat diakses
- Jika sistem bisa diakses namun terdapat error saat melakukan pemrosesan klaimnya maka dilakukan manual proses dahulu dan membuat rekap atas klaim-klaim yang diproses manual agar saat sistem sudah berjalan lancar, tidak terjadi proses double payment</t>
  </si>
  <si>
    <t>- 3 tim klaim
- Tim IT</t>
  </si>
  <si>
    <t>Membagi beban kerja berdasarkan urgensi untuk meminimalkan dampak reputasi. Misal :
1. Klaim dengan jumlah besar dan yang sedang dalam proses sebelum sistem down / error didahulukan 
2. Klaim yang masuk saat sistem down / error dikelompokkan menjadi satu
3. Klaim yang membutuhkan waktu proses investigasi di proses belakangan.</t>
  </si>
  <si>
    <t>Pemrosesan hingga pembayaran klaim harian menggunakan core system AJK</t>
  </si>
  <si>
    <t xml:space="preserve">Klaim diinput atau di upload ke core system selanjutnya akan di proses perhitungan oleh sistem sesuai dengan manfaat atau santunannya lalu di buatkan perintah pembayarannya </t>
  </si>
  <si>
    <t>- Manual proses.
- Membuat rekap atas klaim-klaim yang diproses manual agar saat sistem dapat beroperasi kembali, tidak terjadi proses double payment</t>
  </si>
  <si>
    <t>- 4 tim klaim
- Tim IT</t>
  </si>
  <si>
    <t>Pemrosesan hingga pembayaran klaim harian menggunakan core system Group Insurance</t>
  </si>
  <si>
    <t>Pengajuan klaim harian melalui Web Portal</t>
  </si>
  <si>
    <t>Pengajuan klaim khususnya Polis yang menggunakan Web Portal yang terkoneksi secara API dengan TPA (AAA)</t>
  </si>
  <si>
    <t>Nasabah dapat mengirimkan pengajuan klaim via email atau hardcopy</t>
  </si>
  <si>
    <t>Pengajuan klaim harian melalui Mobile Apps</t>
  </si>
  <si>
    <t>Klaim yang diajukan secara digital (E Claim Submission) akan masuk ke file SFTP dan selanjutnya dikirim ke TPA untuk di proses</t>
  </si>
  <si>
    <t>Claim</t>
  </si>
  <si>
    <t>HCGA</t>
  </si>
  <si>
    <t>Bulanan</t>
  </si>
  <si>
    <t>Proses pembayaran upah bagi Karyawan</t>
  </si>
  <si>
    <t>-</t>
  </si>
  <si>
    <t>Pembayaran BPJS Ketenagakerjaan Karyawan</t>
  </si>
  <si>
    <t>HC input diaplikasi dan download tagihan di sistem kemudian ke finance utk pembayaran</t>
  </si>
  <si>
    <t>Pembayaran BPJS Kesehatan Karyawan</t>
  </si>
  <si>
    <t>HC download billing invoice dari edabu (sistem bpjs) kemudian ke finance utk pembayaran</t>
  </si>
  <si>
    <t>Pembayaran Pajak Penghasilan Karyawan</t>
  </si>
  <si>
    <t>Pelaporan Pajak Penghasilan Karyawan</t>
  </si>
  <si>
    <t>Pembayaran Listrik, Air dan Internet</t>
  </si>
  <si>
    <t>Melakukan pembayaran langsung lewat internet</t>
  </si>
  <si>
    <t>Pembayaran IPL</t>
  </si>
  <si>
    <t>Pembayaran Maintenance Lift - Raden Saleh</t>
  </si>
  <si>
    <t>Pembayaran ekspedisi - tergantung invoice</t>
  </si>
  <si>
    <t>Tergantung Kebutuhan</t>
  </si>
  <si>
    <t>Pemesaran tiket dan akomodasi perjalanan dinas</t>
  </si>
  <si>
    <t>Finance</t>
  </si>
  <si>
    <t>Proses Pembayaran melalui Internet Banking</t>
  </si>
  <si>
    <t>Proses pembayaran kepada Nasabah dan atau pihak ketiga harus tetap dapat dijalankan</t>
  </si>
  <si>
    <t xml:space="preserve"> - Menginformasikan kepada Dept terkait bahwa pembayaran terhambat, 
 - Membuat Cek/BG ke Bank, 
 - Menggunakan tethering internet HP untuk koneksi internet banking</t>
  </si>
  <si>
    <t xml:space="preserve"> - 4 orang
 - Sistem PrecentiaLIfe (PL), E-Bas, EJC, Group Insurance, Internet Banking</t>
  </si>
  <si>
    <t>Proses Auto Debet</t>
  </si>
  <si>
    <t>Proses auto debet premi asuransi individu harus tetap dapat berjalan agar premi dapat tetap tertagih sesuai jadwal pendebetan</t>
  </si>
  <si>
    <t xml:space="preserve"> - Menginformasikan kepada Dept terkait dan Bank Partner bahwa proses auto debet terlambat</t>
  </si>
  <si>
    <t xml:space="preserve"> - 4 orang
 - Sistem PrecentiaLIfe (PL),Internet Banking, Email, Bank Partner</t>
  </si>
  <si>
    <t>Proses CP Batch Peneriman Premi Individu</t>
  </si>
  <si>
    <t>Proses triger cut off penentuan tanggal valuta unit link tidak dapat dilakukan dan proses subscription ke Bank Kustodian terhambat</t>
  </si>
  <si>
    <t xml:space="preserve"> - Melakukan koordinasi dengan Bank Kustodian bahwa proses subscription terlambat</t>
  </si>
  <si>
    <t xml:space="preserve"> - 4 orang
 - Sistem PrecentiaLIfe (PL), Email, Bank Partner</t>
  </si>
  <si>
    <t>Penerimaan Premi Virtual Account (Online/API)</t>
  </si>
  <si>
    <t>Pembukuan penerimaan premi  virtual account terhambat</t>
  </si>
  <si>
    <t xml:space="preserve"> - Melakukan koordinasi dengan  IT terkait data transaksi virtual account</t>
  </si>
  <si>
    <t xml:space="preserve"> - 2 orang
 - Sistem PrecentiaLIfe (PL), PL Satelite, DB Payment, Bank Partner</t>
  </si>
  <si>
    <t>Proses Rekonsiliasi Bank</t>
  </si>
  <si>
    <t xml:space="preserve">Proses Rekonsiliasi Bank (Penerimaan dan Pengeluaran) </t>
  </si>
  <si>
    <t xml:space="preserve"> - Melakukan koordinasi dengan Accounting terkait data rekonsiliasi bank </t>
  </si>
  <si>
    <t xml:space="preserve"> - 4 orang</t>
  </si>
  <si>
    <t xml:space="preserve"> - Melakukan koordinasi dengan  Accounting terkait data rekonsiliasi bank </t>
  </si>
  <si>
    <t>UW &amp; NBA Institusional</t>
  </si>
  <si>
    <t>Pengaktifan Polis EB, AJK &amp; Retail Insurance</t>
  </si>
  <si>
    <t>Proses pengaktifan polis EB, AJK &amp; Retail Insurance pada Sistem</t>
  </si>
  <si>
    <t>Merekap JO Order yang masuk agar pengaktifan apabila sistem sudah berjalan tidak terlewat</t>
  </si>
  <si>
    <t>Jumlah SDM: 1
Jumlah Sistem: 2
Jumlah Vendor: 2</t>
  </si>
  <si>
    <t>Menginformasikan kepada marketing &amp; CS agar disampaikan kepada pihak Perusahaan dan koordinasi dengan CS untuk dilakukan penjaminan manual apabila nasabah masuk Rumah Sakit (nasabah EB)</t>
  </si>
  <si>
    <t>Pembuatan Polis EB, AJK &amp; Retail Insurance</t>
  </si>
  <si>
    <t>Memproses pembuatan dokumen hardcopy Polis EB, AJK &amp; Retail Insurance secara manual
Note : untuk polis EB masih menggunakan sistem group insurance untuk mencetak produk polis yang dilampirkan pada dokumen hardcopy polis</t>
  </si>
  <si>
    <t>Memproses draft polis terlebih dahulu dan lampiran akan disertakan ketika sistem sudah berjalan</t>
  </si>
  <si>
    <t>Jumlah SDM: 1
Jumlah Sistem: 2
Jumlah Vendor: -</t>
  </si>
  <si>
    <t>Menginformasikan kepada marketing &amp; CS agar disampaikan kepada pihak Perusahaan dikarenakan adanya keterlambatan pengiriman hardcopy polis</t>
  </si>
  <si>
    <t>Pendaftaran, penambahan &amp; perubahan peserta EB, AJK &amp; Retail Insurance</t>
  </si>
  <si>
    <t>Memproses pendaftaran, penambahan &amp; perubahan peserta EB, AJK &amp; Retail Insurance</t>
  </si>
  <si>
    <t>Merekap penambahan, perubahan dan pengurangan agar tidak terlewat ketika proses pada sistem apabila sudah berjalan</t>
  </si>
  <si>
    <t>Jumlah SDM: 2
Jumlah Sistem: 2
Jumlah Vendor: 3</t>
  </si>
  <si>
    <t>Penerbitan Debit Note/Credit Note EB, AJK &amp; Retail Insurance</t>
  </si>
  <si>
    <t>Memproses penerbitan Debit Note/Credit Note EB, AJK &amp; Retail Insurance yang kemudian akan di email kepada PIC Perusahaan</t>
  </si>
  <si>
    <t>Merekap penambahan, perubahan dan pengurangan peserta yang belum diterbitkan debit/credit note</t>
  </si>
  <si>
    <t>Apabila sistem tidak berjalan dalam jangka waktu yang lama, maka perhitungan premi akan dilakukan secara manual menggunakan excel kemudian akan dibuatkan debit/credit note secara manual untuk dikirimkan kepada nasabah</t>
  </si>
  <si>
    <t>Pengiriman Plan Import &amp; Enrollment Peserta kepada pihak TPA</t>
  </si>
  <si>
    <t>Memproses import plan &amp; enrollment peserta EB kepada TPA</t>
  </si>
  <si>
    <t>Menginformasikan kepada pihak TPA untuk dapat memproses manual New Business maupun renewal</t>
  </si>
  <si>
    <t>Menginformasikan kepada pihak TPA, agar dapat proses ini dapat dilakukan secara manual agar pelayanan kepada nasabah EB tetap berjalan</t>
  </si>
  <si>
    <t>Pengiriman Plan Import &amp; Enrollment Peserta kepada pihak Telemedicine</t>
  </si>
  <si>
    <t>Memproses import plan &amp; enrollment peserta EB kepada telemedicine</t>
  </si>
  <si>
    <t>Menginformasikan kepada pihak telemedicine untuk dapat memproses manual New Business maupun renewal</t>
  </si>
  <si>
    <t>Provider</t>
  </si>
  <si>
    <t>Input Master Provider di system Group Insurance</t>
  </si>
  <si>
    <t>User PR akan melakukan registrasi master di system Group Insurance</t>
  </si>
  <si>
    <t>2</t>
  </si>
  <si>
    <t>1</t>
  </si>
  <si>
    <t>3</t>
  </si>
  <si>
    <t>Daftar Provider yang di email setiap bulan</t>
  </si>
  <si>
    <t>Akses ke email account</t>
  </si>
  <si>
    <t>Menggunakan daftar provider manual</t>
  </si>
  <si>
    <t>Act Pricing</t>
  </si>
  <si>
    <t>Maintenance Parameter Product (Sewaktu-waktu)</t>
  </si>
  <si>
    <t>Melakukan Input dan Upload parameter produk individu sesuai spesifikasi produk</t>
  </si>
  <si>
    <t>Melanjutkan kembali proses maintenance parameter product</t>
  </si>
  <si>
    <t>Tidak ada manual proses</t>
  </si>
  <si>
    <t>Analisa Rasio Klaim Asuransi Kumpulan (Harian)</t>
  </si>
  <si>
    <t>Melakukan penarikan data premi dan klaim produk asuransi kumpulan</t>
  </si>
  <si>
    <t>Melanjutkan proses penarikan data rasio klaim</t>
  </si>
  <si>
    <t>Perhitungan Rasio Klaim dan Profit Sharing Produk AJK (Sewaktu-waktu)</t>
  </si>
  <si>
    <t>Melakukan penarikan database yang dibutuhkan dari sistem AJK</t>
  </si>
  <si>
    <t>Melanjutkan kembali proses perhitungan rasio klaim dan profit sharing</t>
  </si>
  <si>
    <t>Menginformasikan kepada bagian terkait adanya kendala yang menghambat proses pekerjaan dan melakukan koordinasi dengan bagian terkait</t>
  </si>
  <si>
    <t>Perhitungan Teknis Perubahan Polis (Sewaktu-waktu)</t>
  </si>
  <si>
    <t xml:space="preserve">Melakukan pengecekan data Polis Individu </t>
  </si>
  <si>
    <t>Melanjutkan kembali proses perhitungan perubahan polis</t>
  </si>
  <si>
    <t>Proses Approval Discount Contact Person (DCP) (Sewaktu-waktu)</t>
  </si>
  <si>
    <t>Melakukan approval Discount Contact Person pada sistem yang sudah diinput oleh bagian admin support</t>
  </si>
  <si>
    <t>Melanjutkan kembali proses approval (DCP)</t>
  </si>
  <si>
    <t>Act Valuation</t>
  </si>
  <si>
    <t>Proses data untuk keperluan laporan keuangan regular ke OJK (cadangan, laporan operasional, laporan aktuaris, laporan rencana bisnis, laporan IFRS 17, data polis, laporan VONB, dll)</t>
  </si>
  <si>
    <t>Pembuatan laporan untuk dikirim ke OJK sesuai dengan batas waktu yang telah ditentukan.</t>
  </si>
  <si>
    <t>Tidak ada proses manual</t>
  </si>
  <si>
    <t>Segera menginformasikan kepada bagian terkait atas kendala di pihak ke-3 tersebut yang berdampak pada keterlambatan proses perhitungan laporan ke OJK</t>
  </si>
  <si>
    <t>Proses data untuk keperluan laporan internal (expense loading, VoNB, EV)</t>
  </si>
  <si>
    <t>Pembuatan laporan untuk keperluan internal dan management.</t>
  </si>
  <si>
    <t>Segera menginformasikan kepada bagian terkait atas kendala di pihak ke-3 tersebut yang berdampak pada keterlambatan proses perhitungan laporan internal</t>
  </si>
  <si>
    <t>Proses experience study (tingkat mortalita, tingkat polis lapse, loss ratio, biaya)</t>
  </si>
  <si>
    <t>Untuk menentukan asumsi aktuaria yang digunakan untuk menghitung cadangan dan proyeksi laporan keuangan</t>
  </si>
  <si>
    <t>Segera menginformasikan kepada bagian terkait atas kendala di pihak ke-3 tersebut yang berdampak pada keterlambatan proses perhitungan experience study</t>
  </si>
  <si>
    <t>Melakukan analisis risiko terhadap portofolio asuransi perusahaan dan menentukan kebutuhan reasuransi. Ini melibatkan identifikasi risiko-risiko tertentu, penilaian potensi kerugian, dan menentukan sejauh mana risiko tersebut dapat ditransfer ke reasuransi.</t>
  </si>
  <si>
    <t>melakukan reviu terhadap atas risiko yang akan direasuransikan, nilai retensi, TC , Rate,dll</t>
  </si>
  <si>
    <t>Memang saat ini masih manual , jadi tidak ada impact ke BAU yg sekarang berjalan (Manual)</t>
  </si>
  <si>
    <t>Personel yg mumpuni dalam pengolahan data besar (Spread Sheet minimal)</t>
  </si>
  <si>
    <t>Akan dilakukan secara manual , maka dibutuhkan sistem kecil dibantu IT untuk penyediaan data yg bisa digunakan untuk analisa risiko.</t>
  </si>
  <si>
    <t>Bertanggung jawab untuk bernegosiasi dengan perusahaan reasuransi terkait premi, syarat-syarat kontrak, batas retensi (retention limits), dan ketentuan lainnya dalam kontrak reasuransi. Tujuannya adalah untuk memastikan bahwa perusahaan asuransi mendapatkan perlindungan yang sesuai dengan kebutuhan.</t>
  </si>
  <si>
    <t>Negosiasi dengan perusahaan reasuransi terkait risiko yang akan ditransfer</t>
  </si>
  <si>
    <t>Melakukan manajemen portofolio reasuransi perusahaan, termasuk mengelola kontrak reasuransi yang ada, meninjau dan menilai kinerja reasuransi, serta membuat keputusan terkait perubahan yang diperlukan.</t>
  </si>
  <si>
    <t>Reviu terhadap kontrak/treaty yang sudah berjalan</t>
  </si>
  <si>
    <t>Review berkala berbasis checklist dan KPI.</t>
  </si>
  <si>
    <t>Dokumentasi perjanjian reasuransi di bagian legal.</t>
  </si>
  <si>
    <t>Centralized database kontrak reasuransi.</t>
  </si>
  <si>
    <t>Patuhi regulasi asuransi dan reasuransi yang berlaku di wilayah Indonesia. Ini mencakup pelaporan yang diperlukan kepada regulator.</t>
  </si>
  <si>
    <t>Laporan reasuransi ke regulator (OJK)</t>
  </si>
  <si>
    <t>Centralized compliance checklist &amp; kalender pelaporan.</t>
  </si>
  <si>
    <t>Four-eyes review sebelum pelaporan.</t>
  </si>
  <si>
    <t>Reasuransi</t>
  </si>
  <si>
    <t>CX Institutional</t>
  </si>
  <si>
    <t>Menerima pengajuan kepesertaan baik penambahan, pengurangan, perubahan plan dari PIC perusahaan melalui email dan memastikan pengajuan telah lengkap pengisian pada form pendaftaran untuk diproses lebih lanjut ke bagian New Business Administration (NBA)</t>
  </si>
  <si>
    <t>1. Menerima permintaan penambahan/pengurangan peserta melalui email.
2. Memverifikasi data berdasarkan dokumen yang dikirim PIC.
3. Mengirimkan permintaan penambahan/pengurangan peserta ke Membership Via email atau hard copy.
4. Memberikan konfirmasi penerimaan kepada PIC melalui email.
5. Data akan di-input kembali setelah sistem pulih</t>
  </si>
  <si>
    <t>1. Dua SDM staf administrasi kepesertaan.
2. Akses email aktif
3. Template Excel untuk pendaftaran peserta
4. Master data kepesertaan (backup EOD)
5. Akses Komunikasi via telepon/WA internal</t>
  </si>
  <si>
    <t>1. Menginformasikan ke PIC Perusahaan mengenai keterlambatan proses.
2. Prioritaskan peserta yang butuh urgent penjaminan dan pengajuan klaim.
3. Koordinasi dengan departement terkait dilanjutkan sampai sistem pulih
4. Memberikan estimasi waktu pemulihan dan update berkala</t>
  </si>
  <si>
    <t>Memberikan penjelasan, informasi, report atas pertanyaan, keluhan, permintaan yang diterima melalui email dan telepon dari PIC perusahaan, team Marketing, maupun peserta mengenai pengajuan klaim, benefit asuransi, telemedicine, kepesertaan, dan permintaan report dari Marketing</t>
  </si>
  <si>
    <t>1. Mencatat setiap keluhan/pertanyaan pada Form Komplain Manual (Excel).
2. Memberikan jawaban berdasarkan data offline yang tersedia (master data EOD)
3. Memberikan update status kepada PIC/Marketing secara berkala melalui email/telpon</t>
  </si>
  <si>
    <t>1. Dua SDM Customer Survice
2. File master data kepesertaan offline
3. Pencatatan komplain manual (Excel/Google Sheet)
4. Akses informasi benefit (table manfaat offline)</t>
  </si>
  <si>
    <t>1. Mengirimkan pemberitahuan resmi kepada PIC/Marketing tentang keterlambatan respons
2. Menyampaikan informasi kebutuhan apa saja yang diperlukan secara offline untuk service ke nasabah
3. Menangani keluhan kategori urgent terlebih dahulu
4. Melakukan eskalasi ke atasan apabila ada keluhan yang membutuhkan penyelesain ke atasan.
Memberikan update berkala sampai layanan normal</t>
  </si>
  <si>
    <t>EB</t>
  </si>
  <si>
    <t>Proses penjualan produk dan pengiriman proposal penawaran melalui email dan atau telp</t>
  </si>
  <si>
    <t>Menawarkan asuransi kepada calon nasabah dan nasabah yang akan renewal melalui email dan atau telp kondisi pada saat server down</t>
  </si>
  <si>
    <t xml:space="preserve">Komunikasi via email pribadi atau telepon by handphone </t>
  </si>
  <si>
    <t>Email</t>
  </si>
  <si>
    <t>Konfirmasi dan komunikasi via email pribadi atau telepon by handphone ke PIC perusahaan</t>
  </si>
  <si>
    <t>Persetujuan pemberian referral fee</t>
  </si>
  <si>
    <t>Untuk produksi New Business dan Renewal Business yang ada referral fee kepada PIC Perusahaan (Contact Person) dan Agent ELI mapun Agent Non ELI perlu dilakukan persetujuan pada sistem group insurance</t>
  </si>
  <si>
    <t>Tidak bisa manual proses, sehingga harus menunggu sistem group insurance kembali beroperasi</t>
  </si>
  <si>
    <t>Sistem Group Insurance</t>
  </si>
  <si>
    <t>Konfirmasi kepada penerima referral fee bahwa telah terjadi gangguan pada sistem sehingga adanya pending untuk pembayaran referral fee</t>
  </si>
  <si>
    <t>Customer Engagement</t>
  </si>
  <si>
    <t>Pengiriman campaign</t>
  </si>
  <si>
    <t>Mengirimkan pesan kepada nasabah melalui WA, email atau web portal</t>
  </si>
  <si>
    <t>Menghubungi IT dan vendor untuk koordinasi agar pengiriman dapat dijalankan menggunakan sistem secepatnya.</t>
  </si>
  <si>
    <t>1 Engagement Programming dan 1 IT</t>
  </si>
  <si>
    <t>Membatalkan pengiriman campaign yang udah direncanakan.</t>
  </si>
  <si>
    <t>Penyelenggaraan online event</t>
  </si>
  <si>
    <t>Menyelenggarakan webinar mengenai kesehatan, financial planning untuk nasabah segmen tertentu</t>
  </si>
  <si>
    <t>Menghubungi IT apabila ada kendala jaringan agar media online tetap dapat berjalan.</t>
  </si>
  <si>
    <t>Menggunakan jaringan internet back up dari IT.</t>
  </si>
  <si>
    <t>Pengajuan transaksi melalui web portal nasabah</t>
  </si>
  <si>
    <t>Nasabah dapat mengajukan transaksi tertentu seperti pengkinian data, top up tunggal, ubah ahli waris melalui web portal nasabah (My eLife)</t>
  </si>
  <si>
    <t>Pengajuan dilakukan secara manual.</t>
  </si>
  <si>
    <t>1 Contact Center, 1 CX POS dan 1 IT</t>
  </si>
  <si>
    <t xml:space="preserve">Nasabah diarahkan untuk melakukan pengajuan transaksi secara manual melalui sarana lainnya seperti menghubungi Contact Center atau datang ke kantor pemasaran terdekat. </t>
  </si>
  <si>
    <t>Internal Kontrol</t>
  </si>
  <si>
    <r>
      <t xml:space="preserve">1) Melakukan verifikasi transaksi harian yang diajukan oleh nasabah dan diproses oleh Branch Services pada aplikasi EDITS
2) Melakukan verifikasi kesesuaian informasi pada aplikasi EDITS dengan informasi yang diinput  pada aplikasi E-BASE (PL) oleh Individual Customer Solution
3) Hasil verifikasi audit dokumen diproses pada aplikasi EDITS dengan menambahkan audit proses dan audit status
</t>
    </r>
    <r>
      <rPr>
        <b/>
        <sz val="12"/>
        <color theme="1"/>
        <rFont val="Raleway"/>
      </rPr>
      <t xml:space="preserve">
Frekuensi: Harian</t>
    </r>
  </si>
  <si>
    <t>Verifikasi dapat dilakukan dengan pengecekan dokumen pengajuan transaksi harian (pada Kantor Pemasaran yang menjadi objek pemeriksaan oleh Internal Kontrol) sesuai mekanisme yang diterapkan oleh Branch Services dan Individual Customer Solution</t>
  </si>
  <si>
    <t>SDM: 1 personil
Sistem: E-DITS dan PL
Network: Email dan VPN
Hardware: Laptop</t>
  </si>
  <si>
    <t xml:space="preserve">- Proses verifikasi dilakukan secara manual, dokumen yang dikirimkan oleh Branch Service kepada Individual Customer Solution diteruskan kepada Internal Kontrol
- Request database nasabah kepada Divisi IT Operation untuk verifikasi data nasabah
- Request rekaman telefon konfirmasi oleh Individual Customer Solution kepada nasabah kepada Divisi IT Operation </t>
  </si>
  <si>
    <t>Penyusunan Rencana Audit Tahunan</t>
  </si>
  <si>
    <r>
      <t xml:space="preserve">1) Audit Internal menyusun daftar audit universe setiap tahunan
2) Audit Internal melakukan evaluasi/penilaian risiko dari setiap audit universe dengan menggunakan beberapa faktor 
3) Menentukan penyesuaian prioritas audit Divisi / Departemen / Kantor Pemasaran) berdasarkan risiko 
</t>
    </r>
    <r>
      <rPr>
        <b/>
        <sz val="12"/>
        <color theme="1"/>
        <rFont val="Raleway"/>
      </rPr>
      <t>Frekuensi: Tahunan / Adhoc (jika terdapat kebutuhan untuk penilaian kembali)</t>
    </r>
  </si>
  <si>
    <t>Penyusunan rencana audit dan evaluasi/penilaian risiko dilakukan secara manual berdasarkan informasi yang diterima oleh divisi terkait (Risk Management, Compliance, Legal, Corporate Secretary dan Business Support)</t>
  </si>
  <si>
    <t>SDM: 1 personil
Network: Email / Sharing folder dan VPN
Hardware: Laptop</t>
  </si>
  <si>
    <t>Aktivitas penyusunan rencana audit tahunan masih dapat berjalan karena kertas kerja dilakukan secara manual</t>
  </si>
  <si>
    <t>Audit Rutin Divisi / Departemen dan Kantor Pemasaran</t>
  </si>
  <si>
    <r>
      <t xml:space="preserve">1) Audit Internal melakukan penyusunan detail untuk penugasan yang memuat ruang lingkup tujuan audit, pendekatan audit, jadwal audit dan sumber daya dan kriteria audit secara spesifik.
2) pada saat awal pelaksanaan penugasan pemeriksaan akan diawali dengan pertemuan dengan auditee (audit entrance meeting)
3) Auditor melakukan pengumpulan bukti, wawancara, dan pengujian sesuai dengan Audit Program yang telah disetujui serta mendokumentasikan semua working paper secara rapi dan sistematis
4) pada saat akhir pelaksanaan penugasan pemeriksaan akan diakhiri dengan pertemuan penutupan audit dengan auditee (audit exit meeting). 
5) Audit Internal menyusun Draft Laporan Hasil Pemeriksaan/Audit setelah exit meeting
6) Audit Internal akan melakukan penyusunan final laporan maksimal dan menyampaikan kepada Board of Management, Dewan Komisaris melalui Komite Audit dan Audit Internal holding.
</t>
    </r>
    <r>
      <rPr>
        <b/>
        <sz val="12"/>
        <color theme="1"/>
        <rFont val="Raleway"/>
      </rPr>
      <t>Frekuensi: Harian</t>
    </r>
  </si>
  <si>
    <t>Pengumpulan bukti, wawancara, dan pengujian dilakukan melalui verifikasi dokumen hardcopy
Jika dokumen atau data terdapat pada aplikasi/sistem yang terganggu maka diperlukan generate data dari divisi IT operation atau dokumen pendukung lainnya (email korespondensi)</t>
  </si>
  <si>
    <t>SDM: 2 personil
Network: Email / Sharing folder dan VPN
Aplikasi: Tergantung ruang lingkup audit
Hardware: Laptop</t>
  </si>
  <si>
    <t>- Proses verifikasi dilakukan secara manual, dokumen yang diproses oleh auditee di kantor pemasaran / kantor pusat diteruskan kepada Internal Audit
- Permintaan hardcopy dokumen apabila softcopy tidak dapat diakses
- Request database nasabah kepada Divisi IT Operation untuk verifikasi (jika dibutuhkan, tergantung ruang lingkup audit)
Namun apabila gangguan berdampak pada ruang lingkup pemeriksaan, perlu adanya extend audit prosedur terkait gangguan tersebut</t>
  </si>
  <si>
    <t>Pemantauan Tindak Lanjut Rekomendasi Audit Internal</t>
  </si>
  <si>
    <r>
      <t xml:space="preserve">Audit Internal melakukan pemantauan atas tindak lanjut rekomendasi dari  hasil temuan pemeriksaan/audit termasuk dalam hal terdapat temuan dari hasil pemeriksaaan Auditor Eksternal yang perlu ditindaklanjuti  Perusahaan, melalui: Verifikasi bukti fisik atau dokumen pelaksanaan, 
Permintaan laporan status secara berkala dari auditee dan melakukan tindak lanjut (Follow-up) pemeriksaan/audit jika diperlukan. 
</t>
    </r>
    <r>
      <rPr>
        <b/>
        <sz val="12"/>
        <color theme="1"/>
        <rFont val="Raleway"/>
      </rPr>
      <t>Frekuensi: Bulanan</t>
    </r>
  </si>
  <si>
    <t>Pemantauan tindak lanjut rekomendasi audit dilakukan secara manual melalui email kepada PIC terkait</t>
  </si>
  <si>
    <t>SDM: 1 personil
Network: Email / Sharing folder dan VPN
Aplikasi: Tergantung ruang lingkup audit
Hardware: Laptop</t>
  </si>
  <si>
    <t>Aktivitas pemantauan penyelesaian tindak lanjut audit dapat berjalan karena kertas kerja dilakukan secara manual pada PD</t>
  </si>
  <si>
    <t>Pelaporan Hasil Audit Internal</t>
  </si>
  <si>
    <r>
      <t xml:space="preserve">Audit Internal menyusun laporan kemajuan tindak lanjut secara triwulanan yang mencakup: Daftar rekomendasi, Status implementasi/pelaksanaan, Keterangan kendala atau penyebab keterlambatan, evaluasi efektivitas Tindakan serta Rekomendasi tambahan (jika ada).  
</t>
    </r>
    <r>
      <rPr>
        <b/>
        <sz val="12"/>
        <color theme="1"/>
        <rFont val="Raleway"/>
      </rPr>
      <t xml:space="preserve">Frekuensi: Triwulanan
</t>
    </r>
    <r>
      <rPr>
        <sz val="12"/>
        <color theme="1"/>
        <rFont val="Raleway"/>
      </rPr>
      <t xml:space="preserve">
Audit Internal menyusun laporan Hasil Audit semesteran untuk kebutuhan pelaporan kepada OJK
</t>
    </r>
    <r>
      <rPr>
        <b/>
        <sz val="12"/>
        <color theme="1"/>
        <rFont val="Raleway"/>
      </rPr>
      <t>Frekuensi: Semesteran</t>
    </r>
  </si>
  <si>
    <t xml:space="preserve">Penyusunan laporan hasil audit dan laporan tindak lanjut dilakukan secara manual </t>
  </si>
  <si>
    <t>Aktivitas pemantauan penyelesaian tindak lanjut audit dapat berjalan karena kertas kerja dilakukan secara manual</t>
  </si>
  <si>
    <t>Internal Audit</t>
  </si>
  <si>
    <t>Customer Analytics &amp; Insight</t>
  </si>
  <si>
    <t>Persistency &amp; Churn (Lapse &amp; Surrender) Monitoring</t>
  </si>
  <si>
    <t>Analisis kebijakan yang akan lapse untuk segera dilakukan tindakan retensi</t>
  </si>
  <si>
    <t>Jika akses ke Data Warehouse terputus, langkah manual yang harus diambil adalah:
1. Local spreadsheet database. Menggunakan data backup terakhir disimpan di sharing folder dan diproteksi password
2. Raw data extraction. Koordinasi dengan tim data, apakah bisa dilakukan penarikan data secara manual oleh tim teknis</t>
  </si>
  <si>
    <t>Untuk menjalankan proses prioritas high, dibutuhkan 2 orang, (1 team Customer Analytics &amp; Insight, 1 Data Engineer)
Aplikasi menggunakan Metabase</t>
  </si>
  <si>
    <t>Memberikan data atau insight kepada tim lain menggunakan arsip bulan lalu untuk menjaga aktivitas churn monitoring serta aktivitas penjualan</t>
  </si>
  <si>
    <t>Campaign Lead Generation</t>
  </si>
  <si>
    <t>Kehilangan data calon nasabah yang memberikan respon positif dari campaign engagement yang dilakukan</t>
  </si>
  <si>
    <t xml:space="preserve">Untuk menjalankan proses prioritas high, dibutuhkan 2 orang, (1 team Customer Analytics &amp; Insight, 1 Data Engineer)
Aplikasi menggunakan CRM, SVOC, dan Metabase </t>
  </si>
  <si>
    <t>Customer Segmentation &amp; Profiling</t>
  </si>
  <si>
    <t>Pengelompokan nasabah untuk strategi customer engagement yang relevan</t>
  </si>
  <si>
    <t>Aplikasi menggunakan Metabase</t>
  </si>
  <si>
    <t>Investment</t>
  </si>
  <si>
    <t>Penempatan dan pencairan deposito</t>
  </si>
  <si>
    <t>- Melakukan transaksi penempatan dan pencairan deposito bank melalui surat menyurat yang dikirim baik fisik dan via email serta konfirmasi transaksi melalui telepon</t>
  </si>
  <si>
    <t>- Mempersiapkan dokumentasi terkait deposito.
- Melakukan koordinasi dengan Finance department untuk dapat melakukan transfer dana secara manual atas penempatan.
- Mengirimkan dokumen instruksi atau konfirmasi dokumen via Whatsapp  maupun via kurir kepada pihak bank.</t>
  </si>
  <si>
    <t>Jumlah SDM atas Proses Critical: Seluruh tim investment</t>
  </si>
  <si>
    <t xml:space="preserve"> Proses manual terus dijalankan hingga Sistem berjalan normal kembali</t>
  </si>
  <si>
    <t>Pembelian &amp; penjualan reksa dana dan obligasi (SUN dan obligasi korporasi)</t>
  </si>
  <si>
    <t>- Melakukan transaksi pembelian dan penjualan reksa dana melalui Manajer Investasi (MI) yang dokumennya dikirimkan via email dan dikonfirmasi via telpon
- Melakukan transaksi pembelian dan penjualan obligasi melalui Bank/Sekuritas yang dokumennya dikirimkan via email dan dikonfirmasi via telpon</t>
  </si>
  <si>
    <t xml:space="preserve">- Mempersiapkan dokumentasi terkait reksadana dan obligasi.
- Mengirimkan dokumen instruksi atau konfirmasi dokumen via Whatsapp dan fisik (apabila diperlukan) kepada pihak MI/Bank/Sekuritas.
- Melakukan koordinasi dengan Finance department untuk melakukan transfer dana secara manual atas pembelian reksa dana.
</t>
  </si>
  <si>
    <t>Pembelian dan penjualan reksa dana ETF dan Saham</t>
  </si>
  <si>
    <t>- Melakukan transaksi pembelian dan penjualan reksa dana ETF dan Saham melalui konfirmasi via telpon ke Sekuritas</t>
  </si>
  <si>
    <t>- Memantau pergerakan harga Saham dan ETF melalui aplikasi HP
- Menghubungi pihak Sekuritas via HP untuk tranksasi beli dan jual ETF dan saham
- Mempersiapkan dokumentasi terkait transaksi ETF dan saham
- Melakukan koordinasi dengan Finance department untuk dapat melakukan transfer dana secara manual atas pembelian ETF dan saham</t>
  </si>
  <si>
    <t>Proyeksi cashflow</t>
  </si>
  <si>
    <t>- Mendapatkan informasi arus kas dari Finance department via email</t>
  </si>
  <si>
    <t>- Mempersiapkan dokumentasi terkait cashflow
- Berkoordinasi secara langsung dengan Finance department</t>
  </si>
  <si>
    <t>Konfirmasi dan instruksi unit link</t>
  </si>
  <si>
    <t>- Membuat dan mengirimkan konfirmasi dan instruksi transaksi unit link kepada Bank Kustodian dan Accounting unit link via email, dan dikonfirmasi via telpon</t>
  </si>
  <si>
    <t xml:space="preserve">- Mempersiapkan dokumentasi unit link
- Mengirimkan instruksi dan konfirmasi unit link via Whatsapp dan Email dari HP.
- Mengirimkan dokumen hard copy via kurir.
- Follow up ke pihak Bank Kustodian terkait konfirmasi penerimaan instruksi yang sudah dikirimkan.
</t>
  </si>
  <si>
    <t>L &amp; C</t>
  </si>
  <si>
    <t>Pemenuhan Kewajiban Kepatuhan Regulator</t>
  </si>
  <si>
    <t xml:space="preserve">Pemantauan, pemenuhan, dan pelaporan kewajiban hukum &amp; regulator (OJK/BI/otoritas terkait)
</t>
  </si>
  <si>
    <t>Monitoring manual via regulasi cetak/PDF, komunikasi email/telepon, Pelaporan manual berbasis dokumen fisik &amp; email resmi</t>
  </si>
  <si>
    <t>Legal &amp; Compliance Officer, akses regulasi, laptop, email</t>
  </si>
  <si>
    <t>Eskalasi ke Direksi, lakukan pelaporan manual tertulis, dokumentasikan keterlambatan &amp; justifikasi keterlambatan</t>
  </si>
  <si>
    <t>Penanganan Insiden Hukum &amp; Kepatuhan</t>
  </si>
  <si>
    <t xml:space="preserve">Penanganan pelanggaran hukum, sengketa, dan insiden kepatuhan
</t>
  </si>
  <si>
    <t>Pelaporan insiden via email/telepon, log manual, notulen rapat</t>
  </si>
  <si>
    <t>Tim Legal, Compliance, Manajemen</t>
  </si>
  <si>
    <t>Bentuk crisis team, lakukan keputusan sementara berbasis risk acceptance</t>
  </si>
  <si>
    <t>Review &amp; Persetujuan Kontrak</t>
  </si>
  <si>
    <t xml:space="preserve">Review perjanjian dengan pihak ketiga, vendor, dan mitra
</t>
  </si>
  <si>
    <t>Review dokumen fisik, tanda tangan basah</t>
  </si>
  <si>
    <t>Legal Officer, template kontrak</t>
  </si>
  <si>
    <t>Tunda kontrak non-kritis, gunakan klausul standar darurat</t>
  </si>
  <si>
    <t>Manajemen Dokumen Hukum &amp; Kepatuhan</t>
  </si>
  <si>
    <t xml:space="preserve">Penyimpanan, pengarsipan, dan akses dokumen legal &amp; compliance
</t>
  </si>
  <si>
    <t>Arsip fisik, indeks dokumen manual</t>
  </si>
  <si>
    <t>Legal Officer, lemari arsip</t>
  </si>
  <si>
    <t>Batasi akses dokumen, buat daftar prioritas pemulihan untuk dokumen kritikal</t>
  </si>
  <si>
    <t>Pemantauan Risiko Kepatuhan</t>
  </si>
  <si>
    <t xml:space="preserve">Identifikasi dan mitigasi risiko hukum &amp; kepatuhan
</t>
  </si>
  <si>
    <t>Risk register manual, rapat koordinasi</t>
  </si>
  <si>
    <t>Compliance Officer</t>
  </si>
  <si>
    <t>Lakukan penilaian risiko manual &amp; laporkan ke manajemen</t>
  </si>
  <si>
    <t>Pelaporan Internal &amp; Manajemen</t>
  </si>
  <si>
    <t>Penyusunan laporan kepatuhan ke manajemen</t>
  </si>
  <si>
    <t>Penyusunan laporan manual (Word/Excel offline)</t>
  </si>
  <si>
    <t>Gabungkan laporan, fokus isu high risk</t>
  </si>
  <si>
    <t xml:space="preserve">Sosialisasi &amp; Pelatihan Kepatuhan
</t>
  </si>
  <si>
    <t>Edukasi internal terkait regulasi dan kebijakan</t>
  </si>
  <si>
    <t>Sosialisasi tatap muka &amp; materi cetak</t>
  </si>
  <si>
    <t>Ditunda sementara</t>
  </si>
  <si>
    <t>Monitoring Perubahan Regulasi</t>
  </si>
  <si>
    <t>Pemantauan update regulasi baru</t>
  </si>
  <si>
    <t>Monitoring manual website regulator</t>
  </si>
  <si>
    <t>Fokus regulasi berdampak tinggi saja</t>
  </si>
  <si>
    <t>Scoring</t>
  </si>
  <si>
    <t>Pengelolaan Penyimpanan Kode Sumber (Source Code Management)</t>
  </si>
  <si>
    <t>Mengelola seluruh kode sumber aplikasi dalam penyimpanan digital terpusat, memastikan integritas riwayat versi (versioning), dan menjamin pembaruan terkini selalu tersedia bagi kolaborasi tim pengembang.
⚠️ Tools: GitLab</t>
  </si>
  <si>
    <t>Developer menyimpan kode di laptop masing-masing. Pertukaran kode antar tim dilakukan manual menggunakan media fisik (Flashdisk/Harddisk) yang aman.</t>
  </si>
  <si>
    <t>Laptop Developer, Harddisk Eksternal Terenkripsi.</t>
  </si>
  <si>
    <t>Berlakukan Code Freeze. Hentikan pengembangan fitur baru. Fokus tim dialihkan sepenuhnya untuk pemulihan repositori kode.</t>
  </si>
  <si>
    <t>Penyediaan Infrastruktur Server (Provisioning)</t>
  </si>
  <si>
    <t>Menyediakan server dan kebutuhan komputasi secara otomatis melalui kode perintah, memungkinkan pembuatan lingkungan sistem baru dalam hitungan menit sesuai standar perusahaan.
⚠️ Tools: Terraform, Ansible, VMware vCenter.</t>
  </si>
  <si>
    <t>Setup Manual: Tim infrastruktur masuk ke panel kontrol data center/cloud dan membuat server baru dengan mengklik tombol satu per satu secara manual.</t>
  </si>
  <si>
    <t>Akses Server</t>
  </si>
  <si>
    <t>Hentikan penambahan server baru. Optimalkan server yang sudah ada. Tolak permintaan lingkungan tes baru.</t>
  </si>
  <si>
    <t>Penanganan Pelaporan Insiden Teknis (Incident Management)</t>
  </si>
  <si>
    <t>Mengelola alur pelaporan gangguan teknis secara terpusat, memastikan setiap keluhan dicatat, diberi prioritas, dan ditangani oleh teknisi yang tepat hingga tuntas.
⚠️ Tools: JIRA</t>
  </si>
  <si>
    <t>Pencatatan Manual: Menggunakan papan tulis (Whiteboard) di ruang kontrol atau Spreadsheet Excel bersama untuk mencatat antrian perbaikan masalah.</t>
  </si>
  <si>
    <t>Papan Tulis, Spidol, Excel, Telepon.</t>
  </si>
  <si>
    <t>Prioritaskan hanya insiden Kritis (System Down). Abaikan/tunda pencatatan keluhan minor (bug kecil) hingga sistem tiket pulih.</t>
  </si>
  <si>
    <t>CORE System Production</t>
  </si>
  <si>
    <t>Operational Utama , Transaksi , Customer 
System: PL, Group Core, AJK core</t>
  </si>
  <si>
    <t>Jika Core System tidak dapat diakses, seluruh transaksi bisnis tetap dijalankan menggunakan formulir manual atau file Excel offline dengan mencatat secara lengkap tanggal, waktu, jenis transaksi, nilai, dan pengguna, kemudian setiap transaksi harus mendapat persetujuan Manager, disimpan dengan aman, dan setelah sistem pulih seluruh data tersebut diinput kembali ke sistem untuk dilakukan rekonsiliasi agar tidak terjadi kehilangan atau duplikasi data</t>
  </si>
  <si>
    <t xml:space="preserve">Harus tersedia form transaksi manual, PC offline, printer, dari manager berwenang agar transaksi tetap berjalan saat sistem core down.
</t>
  </si>
  <si>
    <t>Jika Core System belum pulih melewati RTO, maka operasional dialihkan penuh ke prosedur manual dan diputuskan aktivasi Disaster Recovery System oleh manajemen.</t>
  </si>
  <si>
    <t>Database &amp; Storage</t>
  </si>
  <si>
    <t>Menyimpan Data Transaksi dan data bisnis</t>
  </si>
  <si>
    <t>Apabila database atau storage mengalami gangguan, operasional bisnis dijalankan menggunakan data cadangan terakhir yang tersedia, sementara data baru dicatat secara manual atau offline, lalu setelah sistem kembali normal seluruh data hasil pencatatan manual dimasukkan kembali ke sistem dan diverifikasi dengan backup terakhir untuk menjaga integritas data.</t>
  </si>
  <si>
    <t>Tersedia backup data yang dapat diakses dan satu administrator untuk memastikan pemulihan dan integritas data.</t>
  </si>
  <si>
    <t>Jika database belum tersedia melewati RTO, maka dilakukan restore dari backup ke sistem DR agar data dan aplikasi bisa kembali digunakan</t>
  </si>
  <si>
    <t>Network &amp; Internet</t>
  </si>
  <si>
    <t>Konektivitas seluruh system</t>
  </si>
  <si>
    <t>Ketika jaringan atau koneksi internet terputus, operasional dialihkan menggunakan koneksi cadangan seperti mobile hotspot atau jaringan alternatif, dan apabila seluruh koneksi tidak tersedia maka proses bisnis dilakukan secara offline menggunakan formulir manual atau file lokal hingga koneksi kembali normal</t>
  </si>
  <si>
    <t>Tersedia koneksi cadangan dan perangkat failover agar akses sistem tetap tersedia saat jaringan utama gagal / Environment DR yg tersedia.</t>
  </si>
  <si>
    <t>Jika jaringan belum pulih melewati RTO, maka seluruh koneksi dialihkan ke link cadangan atau site DR untuk memulihkan akses bisnis</t>
  </si>
  <si>
    <t>Email &amp; Collaboration Tools</t>
  </si>
  <si>
    <t>Komunikasi Bisnis</t>
  </si>
  <si>
    <t>Jika email dan tools kolaborasi tidak dapat digunakan, komunikasi resmi dilakukan melalui media alternatif seperti WhatsApp, SMS, atau telepon dengan tetap mencatat seluruh keputusan dan instruksi secara manual, lalu setelah sistem email pulih seluruh komunikasi penting dikirim ulang sebagai dokumentasi resmi.</t>
  </si>
  <si>
    <t>Tersedia media komunikasi alternatif dan daftar kontak darurat agar koordinasi tetap berjalan saat email down.</t>
  </si>
  <si>
    <t>Jika email belum pulih melewati RTO, maka komunikasi resmi dialihkan ke platform alternatif yang ditetapkan dalam BCP sampai layanan utama kembali.</t>
  </si>
  <si>
    <t xml:space="preserve">File Server </t>
  </si>
  <si>
    <t>Dokumen Operational</t>
  </si>
  <si>
    <t>Saat file server tidak dapat diakses, pengguna bekerja menggunakan salinan file terakhir yang tersedia atau menyimpan dokumen baru di media lokal atau penyimpanan sementara yang aman, kemudian setelah file server kembali normal seluruh dokumen dipindahkan kembali dan diverifikasi untuk memastikan tidak ada data yang tertinggal atau hilang</t>
  </si>
  <si>
    <t>Tersedia backup dan media penyimpanan sementara agar dokumen tetap aman dan dapat dipulihkan</t>
  </si>
  <si>
    <t>Jika file server belum pulih melewati RTO, maka data dipulihkan dari backup ke storage cadangan atau DR site agar user bisa kembali bekerja</t>
  </si>
  <si>
    <t xml:space="preserve">End User Services (PC , Printer , AD) </t>
  </si>
  <si>
    <t xml:space="preserve">Produktivitas user </t>
  </si>
  <si>
    <t>Apabila terjadi gangguan pada PC, printer, atau Active Directory, pengguna beralih menggunakan perangkat Backup, printer alternatif, atau akun temporary yang telah disiapkan, sehingga pekerjaan tetap berjalan dan setelah sistem kembali normal seluruh aktivitas diselaraskan kembali ke lingkungan Production.</t>
  </si>
  <si>
    <t>Tersedia perangkat cadangan, akun backup, dan IT support agar pengguna tetap dapat bekerja saat layanan user bermasalah.</t>
  </si>
  <si>
    <t>Jika layanan end user belum pulih melewati RTO, maka dilakukan aktivasi environment cadangan atau akun darurat agar operasional tetap berjalan.</t>
  </si>
  <si>
    <t>Application Development &amp; Enhancement</t>
  </si>
  <si>
    <t>Pengembangan fitur baru, change request, dan perbaikan aplikasi bisnis.</t>
  </si>
  <si>
    <t>Pengembangan dihentikan sementara. Dokumentasi requirement dan design dilakukan secara offline menggunakan dokumen manual sampai tools development kembali tersedia.</t>
  </si>
  <si>
    <t>Akses dokumen requirement, source code repository cadangan, minimal 1 developer dan 1 BA. per project</t>
  </si>
  <si>
    <t>Aktivasi environment alternatif (DR / backup repository) untuk melanjutkan development prioritas kritikal.</t>
  </si>
  <si>
    <t>Application Maintenance &amp; Bug Fixing</t>
  </si>
  <si>
    <t>Penanganan defect, bug, dan issue aplikasi produksi</t>
  </si>
  <si>
    <t>Issue dicatat manual melalui email/WA resmi dan ditangani berdasarkan prioritas kritikal.</t>
  </si>
  <si>
    <t>Akses log aplikasi cadangan dan PIC teknis.</t>
  </si>
  <si>
    <t>Eskalasi ke prosedur incident management dan aktivasi sistem DR.</t>
  </si>
  <si>
    <t>Integration Application 3rd party</t>
  </si>
  <si>
    <t>Integrasi dengan 3rd party via API Servicing</t>
  </si>
  <si>
    <t>Minimal 1 person for production issue</t>
  </si>
  <si>
    <t>Customer &amp; Partner application users</t>
  </si>
  <si>
    <t>Aplikasi yang digunakan atau bersinggungan dengan Customer dan Partnership</t>
  </si>
  <si>
    <t>Informasi maintenance pada applikasi yang terdampak</t>
  </si>
  <si>
    <t>Data Ingestion &amp; Integration</t>
  </si>
  <si>
    <t>Pengambilan dan integrasi data dari sistem sumber ke data platform untuk kebutuhan operasional, pelaporan, dan analitik</t>
  </si>
  <si>
    <t>Data kritikal diekstraksi secara manual (export terkontrol) dari sistem sumber dengan format baku dan disimpan di storage sementara untuk diproses setelah sistem pulih</t>
  </si>
  <si>
    <t>Akses sistem sumber, storage sementara terproteksi, data engineer</t>
  </si>
  <si>
    <t>Aktivasi pipeline cadangan atau environment DR untuk data kritikal dengan scope terbatas dan prioritas tinggi</t>
  </si>
  <si>
    <t>Data Transformation &amp; Processing</t>
  </si>
  <si>
    <t>Proses pembersihan, validasi, dan transformasi data agar siap digunakan oleh data warehouse dan reporting</t>
  </si>
  <si>
    <t>Proses transformasi dihentikan sementara, backlog data dicatat dan diklasifikasikan berdasarkan prioritas bisnis</t>
  </si>
  <si>
    <t>Script transformasi terversi, dokumentasi data model, data engineer</t>
  </si>
  <si>
    <t>Menjalankan ulang transformasi data prioritas secara incremental menggunakan environment alternatif</t>
  </si>
  <si>
    <t>Data Quality &amp; Reconciliation</t>
  </si>
  <si>
    <t>Monitoring kualitas data dan rekonsiliasi antara data platform dengan sistem sumber</t>
  </si>
  <si>
    <t>Validasi kualitas data dilakukan secara sampling terbatas menggunakan laporan manual dan data snapshot terakhir yang tersedia</t>
  </si>
  <si>
    <t>Akses laporan sistem sumber, snapshot data warehouse terakhir, data analyst</t>
  </si>
  <si>
    <t>Melakukan rekonsiliasi penuh secara bertahap (high-risk data terlebih dahulu) setelah sistem kembali normal</t>
  </si>
  <si>
    <t>Reporting &amp; Dashboarding</t>
  </si>
  <si>
    <t>Penyediaan laporan manajemen, operasional, dan regulator berbasis data terintegrasi</t>
  </si>
  <si>
    <t>Laporan disusun manual menggunakan data terakhir yang tersedia dengan template baku dan penanda DR mode</t>
  </si>
  <si>
    <t>File data terakhir, template laporan resmi, data analyst</t>
  </si>
  <si>
    <t>Distribusi laporan manual dengan disclaimer resmi dan persetujuan data owner untuk kebutuhan manajemen dan regulator</t>
  </si>
  <si>
    <t>Ad-hoc Data Analysis</t>
  </si>
  <si>
    <t>Analisis data untuk mendukung kebutuhan bisnis dan pengambilan keputusan manajemen</t>
  </si>
  <si>
    <t>Analisis ditunda atau menggunakan data historis terbatas dengan penyesuaian ruang lingkup analisis</t>
  </si>
  <si>
    <t>Dataset historis, analis data</t>
  </si>
  <si>
    <t>Penyesuaian scope analisis dan komunikasi resmi ke stakeholder terkait keterbatasan data</t>
  </si>
  <si>
    <t>IT</t>
  </si>
  <si>
    <t>Row Labels</t>
  </si>
  <si>
    <t>Grand Total</t>
  </si>
  <si>
    <t>Count of Prioritas (1 …5)
(Diisi oleh Tim BCP)</t>
  </si>
  <si>
    <t/>
  </si>
  <si>
    <t>Rekrutmen agen</t>
  </si>
  <si>
    <t>Proses perekrutan agen baru, seleksi administrasi, wawancara</t>
  </si>
  <si>
    <t>Ceklist manual dan cross-check dokumen pendukung</t>
  </si>
  <si>
    <t>Aktivitas Penjualan Polis</t>
  </si>
  <si>
    <t>Proses pemasaran, penawaran produk, pengisian SPAJ dan kelengkapan dokumen calon nasabah</t>
  </si>
  <si>
    <t>SPAJ diserahkan ke Underwriting secara scan dan informasi by email</t>
  </si>
  <si>
    <t>Validasi dan Submission SPAJ</t>
  </si>
  <si>
    <t>Pemeriksaan kelengkapan dan keakuratan SPAJ sebelum dikirim ke Underwriting</t>
  </si>
  <si>
    <t>Penanganan Keluhan Nasabah terkait Agen</t>
  </si>
  <si>
    <t>Proses investigasi dan penyelesaian komplain nasabah</t>
  </si>
  <si>
    <t>Keluhan diterima via email dan dicatat pada register manual</t>
  </si>
  <si>
    <t>Lisensi &amp; Registrasi Agen (AAJI/OJK)</t>
  </si>
  <si>
    <t>Pengurusan lisensi, registrasi dan status keagenan sesuai regulasi</t>
  </si>
  <si>
    <t>Pelatihan &amp; Sertifikasi Agen</t>
  </si>
  <si>
    <t>Pelatihan Produk, etika, kepatuhan dan pengetahuan regulasi</t>
  </si>
  <si>
    <t>Komisi Agen</t>
  </si>
  <si>
    <t>Perhitungan, pencatatan dan pembayaran komisi agen</t>
  </si>
  <si>
    <t>Validasi kinerja Agen dan Kepatuhan</t>
  </si>
  <si>
    <t>Pemantauan target penjualan, persistency, dan kepatuhan agen</t>
  </si>
  <si>
    <t>Terminasi dan Disiplin Agen</t>
  </si>
  <si>
    <t xml:space="preserve">Pemberhentian agen yang melanggar aturan atau non aktif sesuai ketentuan </t>
  </si>
  <si>
    <t>Agency</t>
  </si>
  <si>
    <t>Sysdur</t>
  </si>
  <si>
    <t xml:space="preserve">Set Up Akses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</si>
</sst>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sz val="12"/>
      <color theme="1"/>
      <name val="Raleway"/>
    </font>
    <font>
      <b/>
      <sz val="20"/>
      <color theme="1"/>
      <name val="Raleway"/>
    </font>
    <font>
      <b/>
      <i/>
      <sz val="12"/>
      <color theme="1"/>
      <name val="Raleway"/>
    </font>
    <font>
      <b/>
      <sz val="11"/>
      <color theme="1"/>
      <name val="Calibri"/>
      <family val="2"/>
    </font>
    <font>
      <sz val="11"/>
      <color theme="1"/>
      <name val="Calibri"/>
      <family val="2"/>
    </font>
    <font>
      <sz val="11"/>
      <name val="Calibri"/>
      <family val="2"/>
    </font>
    <font>
      <b/>
      <sz val="11"/>
      <name val="Calibri"/>
      <family val="2"/>
    </font>
    <font>
      <b/>
      <sz val="10"/>
      <name val="Calibri"/>
      <family val="2"/>
      <charset val="1"/>
    </font>
    <font>
      <b/>
      <sz val="10"/>
      <name val="Calibri"/>
      <family val="2"/>
    </font>
    <font>
      <b/>
      <sz val="10"/>
      <color theme="1"/>
      <name val="Calibri"/>
      <family val="2"/>
    </font>
    <font>
      <sz val="10"/>
      <name val="Calibri"/>
      <family val="2"/>
      <charset val="1"/>
    </font>
    <font>
      <sz val="10"/>
      <color theme="1"/>
      <name val="Calibri"/>
      <family val="2"/>
    </font>
    <font>
      <b/>
      <sz val="12"/>
      <color theme="1"/>
      <name val="Calibri"/>
      <family val="2"/>
      <scheme val="minor"/>
    </font>
    <font>
      <u/>
      <sz val="12"/>
      <color theme="10"/>
      <name val="Calibri"/>
      <family val="2"/>
      <scheme val="minor"/>
    </font>
    <font>
      <i/>
      <sz val="12"/>
      <color theme="1"/>
      <name val="Raleway"/>
    </font>
    <font>
      <b/>
      <sz val="12"/>
      <color theme="1"/>
      <name val="Raleway"/>
    </font>
    <font>
      <sz val="12"/>
      <color theme="1"/>
      <name val="Calibri"/>
      <family val="2"/>
    </font>
    <font>
      <sz val="12"/>
      <color theme="1"/>
      <name val="Aptos Narrow"/>
      <family val="2"/>
    </font>
    <font>
      <sz val="12"/>
      <color theme="1"/>
      <name val="Arial"/>
      <family val="2"/>
    </font>
    <font>
      <sz val="14"/>
      <color theme="1"/>
      <name val="Raleway"/>
    </font>
    <font>
      <sz val="14"/>
      <color theme="1"/>
      <name val="Calibri"/>
      <family val="2"/>
    </font>
    <font>
      <sz val="12"/>
      <color theme="1"/>
      <name val="Raleway"/>
      <charset val="134"/>
    </font>
    <font>
      <sz val="12"/>
      <color theme="1"/>
      <name val="Arial"/>
      <charset val="134"/>
    </font>
    <font>
      <b/>
      <sz val="9"/>
      <name val="Times New Roman"/>
    </font>
    <font>
      <sz val="9"/>
      <name val="Times New Roman"/>
    </font>
    <font>
      <sz val="12"/>
      <name val="Raleway"/>
    </font>
    <font>
      <sz val="9"/>
      <color theme="1"/>
      <name val="Tahoma"/>
      <family val="2"/>
    </font>
    <font>
      <sz val="9"/>
      <color theme="1"/>
      <name val="Times New Roman"/>
      <family val="1"/>
    </font>
    <font>
      <sz val="10"/>
      <color theme="1"/>
      <name val="Calibri"/>
      <charset val="134"/>
    </font>
  </fonts>
  <fills count="18">
    <fill>
      <patternFill patternType="none"/>
    </fill>
    <fill>
      <patternFill patternType="gray125"/>
    </fill>
    <fill>
      <patternFill patternType="solid">
        <fgColor theme="9" tint="0.59999389629810485"/>
        <bgColor indexed="64"/>
      </patternFill>
    </fill>
    <fill>
      <patternFill patternType="solid">
        <fgColor theme="0"/>
        <bgColor theme="0"/>
      </patternFill>
    </fill>
    <fill>
      <patternFill patternType="solid">
        <fgColor theme="4" tint="0.79998168889431442"/>
        <bgColor rgb="FFFFC000"/>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79998168889431442"/>
        <bgColor rgb="FF92D050"/>
      </patternFill>
    </fill>
    <fill>
      <patternFill patternType="solid">
        <fgColor theme="7" tint="0.79998168889431442"/>
        <bgColor indexed="64"/>
      </patternFill>
    </fill>
    <fill>
      <patternFill patternType="solid">
        <fgColor indexed="22"/>
        <bgColor indexed="31"/>
      </patternFill>
    </fill>
    <fill>
      <patternFill patternType="solid">
        <fgColor rgb="FFC0C0C0"/>
        <bgColor rgb="FFDEEAF6"/>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FF0000"/>
        <bgColor indexed="64"/>
      </patternFill>
    </fill>
    <fill>
      <patternFill patternType="solid">
        <fgColor rgb="FFC00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medium">
        <color rgb="FF000000"/>
      </right>
      <top style="thin">
        <color rgb="FF000000"/>
      </top>
      <bottom style="thin">
        <color indexed="64"/>
      </bottom>
      <diagonal/>
    </border>
    <border>
      <left style="thin">
        <color rgb="FF000000"/>
      </left>
      <right style="medium">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rgb="FF000000"/>
      </left>
      <right style="thin">
        <color auto="1"/>
      </right>
      <top style="thin">
        <color auto="1"/>
      </top>
      <bottom style="thin">
        <color auto="1"/>
      </bottom>
      <diagonal/>
    </border>
  </borders>
  <cellStyleXfs count="2">
    <xf numFmtId="0" fontId="0" fillId="0" borderId="0"/>
    <xf numFmtId="0" fontId="14" fillId="0" borderId="0" applyNumberFormat="0" applyFill="0" applyBorder="0" applyAlignment="0" applyProtection="0"/>
  </cellStyleXfs>
  <cellXfs count="123">
    <xf numFmtId="0" fontId="0" fillId="0" borderId="0" xfId="0"/>
    <xf numFmtId="0" fontId="1" fillId="0" borderId="0" xfId="0" applyFont="1" applyAlignment="1">
      <alignment vertical="top"/>
    </xf>
    <xf numFmtId="0" fontId="2"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horizontal="center" vertical="top"/>
    </xf>
    <xf numFmtId="0" fontId="3" fillId="2" borderId="1" xfId="0" applyFont="1" applyFill="1" applyBorder="1" applyAlignment="1">
      <alignment vertical="top"/>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3" borderId="4" xfId="0" applyFont="1" applyFill="1" applyBorder="1" applyAlignment="1">
      <alignment horizontal="left" vertical="center" wrapText="1"/>
    </xf>
    <xf numFmtId="0" fontId="12" fillId="0" borderId="2"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1" fillId="0" borderId="1" xfId="0" applyFont="1" applyBorder="1" applyAlignment="1">
      <alignment horizontal="center" vertical="center"/>
    </xf>
    <xf numFmtId="0" fontId="11" fillId="0" borderId="6" xfId="0" applyFont="1" applyBorder="1" applyAlignment="1">
      <alignment horizontal="center" vertical="center"/>
    </xf>
    <xf numFmtId="0" fontId="12" fillId="0" borderId="4" xfId="0" applyFont="1" applyBorder="1" applyAlignment="1">
      <alignment horizontal="center" vertical="center" wrapText="1"/>
    </xf>
    <xf numFmtId="0" fontId="12" fillId="0" borderId="10" xfId="0" applyFont="1" applyBorder="1" applyAlignment="1">
      <alignment horizontal="center" vertical="center" wrapText="1"/>
    </xf>
    <xf numFmtId="0" fontId="9" fillId="9" borderId="1" xfId="0" applyFont="1" applyFill="1" applyBorder="1" applyAlignment="1">
      <alignment horizontal="center" vertical="center"/>
    </xf>
    <xf numFmtId="0" fontId="10" fillId="10" borderId="1" xfId="0" applyFont="1" applyFill="1" applyBorder="1" applyAlignment="1">
      <alignment horizontal="center" vertical="center" wrapText="1"/>
    </xf>
    <xf numFmtId="0" fontId="0" fillId="0" borderId="1" xfId="0" applyBorder="1" applyAlignment="1">
      <alignment horizontal="center"/>
    </xf>
    <xf numFmtId="0" fontId="0" fillId="0" borderId="1" xfId="0" quotePrefix="1" applyBorder="1" applyAlignment="1">
      <alignment horizontal="center"/>
    </xf>
    <xf numFmtId="0" fontId="13" fillId="0" borderId="1" xfId="0" applyFont="1" applyBorder="1" applyAlignment="1">
      <alignment horizontal="center"/>
    </xf>
    <xf numFmtId="0" fontId="5" fillId="3" borderId="1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4" fillId="3" borderId="3" xfId="0" applyFont="1" applyFill="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left" vertical="top"/>
    </xf>
    <xf numFmtId="14" fontId="1" fillId="0" borderId="1" xfId="0" applyNumberFormat="1" applyFont="1" applyBorder="1" applyAlignment="1">
      <alignment horizontal="left" vertical="top"/>
    </xf>
    <xf numFmtId="0" fontId="1" fillId="0" borderId="0" xfId="0" applyFont="1" applyAlignment="1">
      <alignment vertical="top" wrapText="1"/>
    </xf>
    <xf numFmtId="0" fontId="14" fillId="0" borderId="1" xfId="1" applyBorder="1" applyAlignment="1">
      <alignment vertical="top" wrapText="1"/>
    </xf>
    <xf numFmtId="0" fontId="3" fillId="2" borderId="6" xfId="0" applyFont="1" applyFill="1" applyBorder="1" applyAlignment="1">
      <alignment horizontal="center" vertical="top" wrapText="1"/>
    </xf>
    <xf numFmtId="0" fontId="16" fillId="0" borderId="0" xfId="0" applyFont="1" applyAlignment="1">
      <alignment vertical="top"/>
    </xf>
    <xf numFmtId="0" fontId="3" fillId="2" borderId="16" xfId="0" applyFont="1" applyFill="1" applyBorder="1" applyAlignment="1">
      <alignment horizontal="center" vertical="top" wrapText="1"/>
    </xf>
    <xf numFmtId="0" fontId="3" fillId="2" borderId="13" xfId="0" applyFont="1" applyFill="1" applyBorder="1" applyAlignment="1">
      <alignment horizontal="center"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8" fillId="0" borderId="1" xfId="0" applyFont="1" applyBorder="1" applyAlignment="1">
      <alignment horizontal="center" vertical="top"/>
    </xf>
    <xf numFmtId="0" fontId="18" fillId="0" borderId="1" xfId="0" applyFont="1" applyBorder="1" applyAlignment="1">
      <alignment vertical="top" wrapText="1"/>
    </xf>
    <xf numFmtId="0" fontId="19" fillId="0" borderId="1" xfId="0" applyFont="1" applyBorder="1" applyAlignment="1">
      <alignment horizontal="center" vertical="center"/>
    </xf>
    <xf numFmtId="0" fontId="19" fillId="0" borderId="1" xfId="0" applyFont="1" applyBorder="1" applyAlignment="1">
      <alignment vertical="center" wrapText="1"/>
    </xf>
    <xf numFmtId="0" fontId="19" fillId="0" borderId="2"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1" xfId="0" applyFont="1" applyBorder="1" applyAlignment="1">
      <alignment horizontal="left" vertical="center" wrapText="1"/>
    </xf>
    <xf numFmtId="0" fontId="19" fillId="11" borderId="1" xfId="0" applyFont="1" applyFill="1" applyBorder="1" applyAlignment="1">
      <alignment horizontal="center" vertical="center"/>
    </xf>
    <xf numFmtId="0" fontId="19" fillId="11" borderId="1" xfId="0" applyFont="1" applyFill="1" applyBorder="1" applyAlignment="1">
      <alignment vertical="center" wrapText="1"/>
    </xf>
    <xf numFmtId="0" fontId="19" fillId="12" borderId="1" xfId="0" applyFont="1" applyFill="1" applyBorder="1" applyAlignment="1">
      <alignment vertical="center" wrapText="1"/>
    </xf>
    <xf numFmtId="0" fontId="19" fillId="11" borderId="1" xfId="0" applyFont="1" applyFill="1" applyBorder="1" applyAlignment="1">
      <alignment horizontal="left" vertical="center" wrapText="1"/>
    </xf>
    <xf numFmtId="0" fontId="19" fillId="12" borderId="1" xfId="0" applyFont="1" applyFill="1" applyBorder="1" applyAlignment="1">
      <alignment horizontal="left" vertical="center" wrapText="1"/>
    </xf>
    <xf numFmtId="0" fontId="20" fillId="0" borderId="1" xfId="0" applyFont="1" applyBorder="1" applyAlignment="1">
      <alignment horizontal="center" vertical="top"/>
    </xf>
    <xf numFmtId="0" fontId="20" fillId="0" borderId="1" xfId="0" applyFont="1" applyBorder="1" applyAlignment="1">
      <alignment vertical="top"/>
    </xf>
    <xf numFmtId="0" fontId="20" fillId="0" borderId="1" xfId="0" applyFont="1" applyBorder="1" applyAlignment="1">
      <alignment vertical="top" wrapText="1"/>
    </xf>
    <xf numFmtId="0" fontId="21" fillId="0" borderId="2"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7" xfId="0" applyFont="1" applyBorder="1" applyAlignment="1">
      <alignment horizontal="center" vertical="center" wrapText="1"/>
    </xf>
    <xf numFmtId="0" fontId="22" fillId="0" borderId="1" xfId="0" applyFont="1" applyBorder="1" applyAlignment="1">
      <alignment horizontal="center" vertical="center"/>
    </xf>
    <xf numFmtId="0" fontId="22" fillId="0" borderId="1" xfId="0" applyFont="1" applyBorder="1" applyAlignment="1">
      <alignment vertical="center" wrapText="1"/>
    </xf>
    <xf numFmtId="0" fontId="23" fillId="0" borderId="1" xfId="0" applyFont="1" applyBorder="1" applyAlignment="1">
      <alignment horizontal="center" vertical="center"/>
    </xf>
    <xf numFmtId="49" fontId="22" fillId="0" borderId="1" xfId="0" applyNumberFormat="1" applyFont="1" applyBorder="1" applyAlignment="1">
      <alignment vertical="center" wrapText="1"/>
    </xf>
    <xf numFmtId="0" fontId="22" fillId="0" borderId="13" xfId="0" applyFont="1" applyBorder="1" applyAlignment="1">
      <alignment vertical="center"/>
    </xf>
    <xf numFmtId="0" fontId="22" fillId="0" borderId="17" xfId="0" applyFont="1" applyBorder="1" applyAlignment="1">
      <alignment vertical="center"/>
    </xf>
    <xf numFmtId="0" fontId="22" fillId="0" borderId="6" xfId="0" applyFont="1" applyBorder="1" applyAlignment="1">
      <alignment vertical="center"/>
    </xf>
    <xf numFmtId="0" fontId="22" fillId="0" borderId="1" xfId="0" applyFont="1" applyBorder="1" applyAlignment="1">
      <alignment vertical="center"/>
    </xf>
    <xf numFmtId="0" fontId="1" fillId="0" borderId="1" xfId="0" quotePrefix="1" applyFont="1" applyBorder="1" applyAlignment="1">
      <alignment vertical="top"/>
    </xf>
    <xf numFmtId="0" fontId="1" fillId="0" borderId="12" xfId="0" applyFont="1" applyBorder="1" applyAlignment="1">
      <alignment vertical="top" wrapText="1"/>
    </xf>
    <xf numFmtId="0" fontId="17" fillId="0" borderId="1" xfId="0" applyFont="1" applyBorder="1" applyAlignment="1">
      <alignment horizontal="center" vertical="top"/>
    </xf>
    <xf numFmtId="0" fontId="1" fillId="0" borderId="1" xfId="0" applyFont="1" applyBorder="1" applyAlignment="1">
      <alignment horizontal="center" vertical="top" wrapText="1"/>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top" wrapText="1"/>
    </xf>
    <xf numFmtId="0" fontId="26" fillId="0" borderId="1" xfId="0" applyFont="1" applyBorder="1" applyAlignment="1">
      <alignment vertical="top" wrapText="1"/>
    </xf>
    <xf numFmtId="0" fontId="22" fillId="0" borderId="1" xfId="0" applyFont="1" applyBorder="1" applyAlignment="1">
      <alignment vertical="top" wrapText="1"/>
    </xf>
    <xf numFmtId="0" fontId="1" fillId="0" borderId="1" xfId="0" applyFont="1" applyBorder="1" applyAlignment="1">
      <alignment horizontal="center" vertical="center" wrapText="1"/>
    </xf>
    <xf numFmtId="0" fontId="22" fillId="11" borderId="1" xfId="0" applyFont="1" applyFill="1" applyBorder="1" applyAlignment="1">
      <alignment vertical="center" wrapText="1"/>
    </xf>
    <xf numFmtId="0" fontId="1" fillId="0" borderId="1" xfId="0" applyFont="1" applyBorder="1" applyAlignment="1">
      <alignment horizontal="justify" vertical="top"/>
    </xf>
    <xf numFmtId="0" fontId="1" fillId="0" borderId="1" xfId="0" applyFont="1" applyBorder="1" applyAlignment="1">
      <alignment horizontal="justify" vertical="top" wrapText="1"/>
    </xf>
    <xf numFmtId="0" fontId="1" fillId="0" borderId="1" xfId="0" quotePrefix="1" applyFont="1" applyBorder="1" applyAlignment="1">
      <alignment vertical="top" wrapText="1"/>
    </xf>
    <xf numFmtId="0" fontId="1" fillId="0" borderId="1" xfId="0" quotePrefix="1" applyFont="1" applyBorder="1" applyAlignment="1">
      <alignment horizontal="justify" vertical="top"/>
    </xf>
    <xf numFmtId="0" fontId="27" fillId="0" borderId="1" xfId="0" applyFont="1" applyBorder="1" applyAlignment="1">
      <alignment vertical="center"/>
    </xf>
    <xf numFmtId="0" fontId="27" fillId="0" borderId="1" xfId="0" applyFont="1" applyBorder="1" applyAlignment="1">
      <alignment horizontal="left" vertical="top" wrapText="1"/>
    </xf>
    <xf numFmtId="0" fontId="27" fillId="0" borderId="1" xfId="0" applyFont="1" applyBorder="1" applyAlignment="1">
      <alignment horizontal="center" vertical="center" wrapText="1"/>
    </xf>
    <xf numFmtId="0" fontId="27" fillId="0" borderId="1" xfId="0" applyFont="1" applyBorder="1" applyAlignment="1">
      <alignment vertical="center" wrapText="1"/>
    </xf>
    <xf numFmtId="0" fontId="27" fillId="0" borderId="1" xfId="0" applyFont="1" applyBorder="1" applyAlignment="1">
      <alignment horizontal="left" vertical="top"/>
    </xf>
    <xf numFmtId="0" fontId="27" fillId="0" borderId="1" xfId="0" applyFont="1" applyBorder="1" applyAlignment="1">
      <alignment vertical="top" wrapText="1"/>
    </xf>
    <xf numFmtId="0" fontId="27" fillId="0" borderId="1" xfId="0" applyFont="1" applyBorder="1" applyAlignment="1">
      <alignment vertical="top"/>
    </xf>
    <xf numFmtId="0" fontId="3" fillId="2" borderId="13" xfId="0" applyFont="1" applyFill="1" applyBorder="1" applyAlignment="1">
      <alignment horizontal="center" vertical="top"/>
    </xf>
    <xf numFmtId="0" fontId="28" fillId="0" borderId="1" xfId="0" applyFont="1" applyBorder="1" applyAlignment="1">
      <alignment horizontal="center" vertical="center" wrapText="1"/>
    </xf>
    <xf numFmtId="0" fontId="0" fillId="14" borderId="1" xfId="0" applyFill="1" applyBorder="1" applyAlignment="1">
      <alignment horizontal="left"/>
    </xf>
    <xf numFmtId="0" fontId="0" fillId="15" borderId="1" xfId="0" applyFill="1" applyBorder="1" applyAlignment="1">
      <alignment horizontal="left"/>
    </xf>
    <xf numFmtId="0" fontId="0" fillId="16" borderId="1" xfId="0" applyFill="1" applyBorder="1" applyAlignment="1">
      <alignment horizontal="left"/>
    </xf>
    <xf numFmtId="0" fontId="0" fillId="13" borderId="1" xfId="0" applyFill="1" applyBorder="1" applyAlignment="1">
      <alignment horizontal="left"/>
    </xf>
    <xf numFmtId="0" fontId="0" fillId="17" borderId="1" xfId="0" applyFill="1" applyBorder="1" applyAlignment="1">
      <alignment horizontal="left"/>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3" fillId="2" borderId="13" xfId="0" applyFont="1" applyFill="1" applyBorder="1" applyAlignment="1">
      <alignment vertical="top"/>
    </xf>
    <xf numFmtId="0" fontId="3" fillId="2" borderId="13" xfId="0" applyFont="1" applyFill="1" applyBorder="1" applyAlignment="1">
      <alignment vertical="top" wrapText="1"/>
    </xf>
    <xf numFmtId="0" fontId="0" fillId="0" borderId="0" xfId="0" pivotButton="1"/>
    <xf numFmtId="0" fontId="0" fillId="0" borderId="0" xfId="0" applyAlignment="1">
      <alignment horizontal="left"/>
    </xf>
    <xf numFmtId="0" fontId="29" fillId="0" borderId="4" xfId="0" applyFont="1" applyBorder="1" applyAlignment="1">
      <alignment horizontal="center" vertical="center" wrapText="1"/>
    </xf>
    <xf numFmtId="0" fontId="22" fillId="0" borderId="19" xfId="0" applyFont="1" applyBorder="1" applyAlignment="1">
      <alignment vertical="center" wrapText="1"/>
    </xf>
    <xf numFmtId="0" fontId="29" fillId="0" borderId="2"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10" xfId="0" applyFont="1" applyBorder="1" applyAlignment="1">
      <alignment horizontal="center" vertical="center" wrapText="1"/>
    </xf>
    <xf numFmtId="0" fontId="3" fillId="2" borderId="5"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2" xfId="0" applyFont="1" applyFill="1" applyBorder="1" applyAlignment="1">
      <alignment horizontal="center" vertical="top" wrapText="1"/>
    </xf>
    <xf numFmtId="0" fontId="3" fillId="2" borderId="13"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13" xfId="0" applyFont="1" applyFill="1" applyBorder="1" applyAlignment="1">
      <alignment horizontal="center" vertical="top"/>
    </xf>
    <xf numFmtId="0" fontId="3" fillId="2" borderId="6" xfId="0" applyFont="1" applyFill="1" applyBorder="1" applyAlignment="1">
      <alignment horizontal="center" vertical="top"/>
    </xf>
    <xf numFmtId="0" fontId="4" fillId="4" borderId="1" xfId="0" applyFont="1" applyFill="1" applyBorder="1" applyAlignment="1">
      <alignment horizontal="center" vertical="center"/>
    </xf>
    <xf numFmtId="0" fontId="6" fillId="5" borderId="1" xfId="0" applyFont="1" applyFill="1" applyBorder="1"/>
    <xf numFmtId="0" fontId="7" fillId="6"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6" fillId="8" borderId="1" xfId="0" applyFont="1" applyFill="1" applyBorder="1"/>
    <xf numFmtId="0" fontId="8" fillId="9" borderId="1" xfId="0" applyFont="1" applyFill="1" applyBorder="1" applyAlignment="1">
      <alignment horizontal="center" vertical="center"/>
    </xf>
    <xf numFmtId="0" fontId="0" fillId="0" borderId="13" xfId="0" applyBorder="1" applyAlignment="1">
      <alignment horizontal="center"/>
    </xf>
    <xf numFmtId="0" fontId="0" fillId="0" borderId="17" xfId="0" applyBorder="1" applyAlignment="1">
      <alignment horizontal="center"/>
    </xf>
    <xf numFmtId="0" fontId="0" fillId="0" borderId="6" xfId="0" applyBorder="1" applyAlignment="1">
      <alignment horizontal="center"/>
    </xf>
  </cellXfs>
  <cellStyles count="2">
    <cellStyle name="Hyperlink" xfId="1" builtinId="8"/>
    <cellStyle name="Normal" xfId="0" builtinId="0"/>
  </cellStyles>
  <dxfs count="5">
    <dxf>
      <fill>
        <patternFill patternType="solid">
          <bgColor rgb="FF339966"/>
        </patternFill>
      </fill>
    </dxf>
    <dxf>
      <fill>
        <patternFill patternType="solid">
          <bgColor rgb="FFFF0000"/>
        </patternFill>
      </fill>
    </dxf>
    <dxf>
      <fill>
        <patternFill patternType="solid">
          <bgColor rgb="FFFFFF00"/>
        </patternFill>
      </fill>
    </dxf>
    <dxf>
      <fill>
        <patternFill patternType="solid">
          <bgColor rgb="FFFFCC00"/>
        </patternFill>
      </fill>
    </dxf>
    <dxf>
      <fill>
        <patternFill patternType="solid">
          <bgColor rgb="FF99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ut Gemantri" refreshedDate="46076.437831481482" createdVersion="8" refreshedVersion="8" minRefreshableVersion="3" recordCount="136" xr:uid="{6C20BE61-CEDE-4527-9702-68BA80B84D5F}">
  <cacheSource type="worksheet">
    <worksheetSource ref="A4:N140" sheet="(2) Bisnis Proses System"/>
  </cacheSource>
  <cacheFields count="14">
    <cacheField name="Divisi" numFmtId="0">
      <sharedItems count="23">
        <s v="Prodev"/>
        <s v="Accounting"/>
        <s v="Business Support"/>
        <s v="POS Partnership"/>
        <s v="Corporate Collection"/>
        <s v="Non Banking Partnership"/>
        <s v="Bank Partnership AJK"/>
        <s v="Claim"/>
        <s v="HCGA"/>
        <s v="Finance"/>
        <s v="UW &amp; NBA Institusional"/>
        <s v="Provider"/>
        <s v="Act Pricing"/>
        <s v="Act Valuation"/>
        <s v="Reasuransi"/>
        <s v="CX Institutional"/>
        <s v="EB"/>
        <s v="Customer Engagement"/>
        <s v="Internal Audit"/>
        <s v="Customer Analytics &amp; Insight"/>
        <s v="Investment"/>
        <s v="L &amp; C"/>
        <s v="IT"/>
      </sharedItems>
    </cacheField>
    <cacheField name="No." numFmtId="0">
      <sharedItems containsSemiMixedTypes="0" containsString="0" containsNumber="1" containsInteger="1" minValue="1" maxValue="18"/>
    </cacheField>
    <cacheField name="Bisnis Proses Kritikal" numFmtId="0">
      <sharedItems longText="1"/>
    </cacheField>
    <cacheField name="Penjelasan Singkat Bisnis Proses Kritikal" numFmtId="0">
      <sharedItems longText="1"/>
    </cacheField>
    <cacheField name="Prioritas (1 …5)_x000a_(Diisi oleh Tim BCP)" numFmtId="0">
      <sharedItems count="5">
        <s v="Sedang Rendah (Moderate to Low)"/>
        <s v="Sedang (Medium)"/>
        <s v="Prioritas (High)"/>
        <s v="Sangat Prioritas (Very High)"/>
        <s v="Rendah (Low)"/>
      </sharedItems>
    </cacheField>
    <cacheField name="Scoring" numFmtId="0">
      <sharedItems containsSemiMixedTypes="0" containsString="0" containsNumber="1" containsInteger="1" minValue="5" maxValue="24"/>
    </cacheField>
    <cacheField name="Finansial " numFmtId="0">
      <sharedItems containsMixedTypes="1" containsNumber="1" containsInteger="1" minValue="1" maxValue="5"/>
    </cacheField>
    <cacheField name="Waktu " numFmtId="0">
      <sharedItems containsMixedTypes="1" containsNumber="1" containsInteger="1" minValue="1" maxValue="5"/>
    </cacheField>
    <cacheField name="Operasional" numFmtId="0">
      <sharedItems containsMixedTypes="1" containsNumber="1" containsInteger="1" minValue="1" maxValue="5"/>
    </cacheField>
    <cacheField name="Reputasi" numFmtId="0">
      <sharedItems containsMixedTypes="1" containsNumber="1" containsInteger="1" minValue="1" maxValue="5"/>
    </cacheField>
    <cacheField name="Kepatuhan" numFmtId="0">
      <sharedItems containsMixedTypes="1" containsNumber="1" containsInteger="1" minValue="1" maxValue="5"/>
    </cacheField>
    <cacheField name="Manual Proses Saat Sistem Informasi Terganggu" numFmtId="0">
      <sharedItems containsBlank="1" longText="1"/>
    </cacheField>
    <cacheField name="Minimum Resource Required" numFmtId="0">
      <sharedItems containsBlank="1" containsMixedTypes="1" containsNumber="1" containsInteger="1" minValue="1" maxValue="5"/>
    </cacheField>
    <cacheField name="Apa yang harus dilakukan jika sampai tenggang waktu tersebut, bisnis proses ini belum bisa tersedia"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n v="1"/>
    <s v="Produk Pricing dan Repricing"/>
    <s v="Penetapan dan penyesuaian premi"/>
    <x v="0"/>
    <n v="10"/>
    <n v="2"/>
    <n v="2"/>
    <n v="2"/>
    <n v="2"/>
    <n v="2"/>
    <s v="Excel Pricing template dan manual approval"/>
    <s v="PM, ACT, RM"/>
    <s v="Freeze penjualan produk terkait"/>
  </r>
  <r>
    <x v="0"/>
    <n v="2"/>
    <s v="Product Approval &amp; Governance"/>
    <s v="Persetujuan internal dan perubahannya"/>
    <x v="1"/>
    <n v="11"/>
    <n v="2"/>
    <n v="3"/>
    <n v="2"/>
    <n v="2"/>
    <n v="2"/>
    <s v="Hardcopy sign off approval"/>
    <s v="PM, ACT, INV, L&amp;C, OPS"/>
    <s v="Eskalasi ke management"/>
  </r>
  <r>
    <x v="0"/>
    <n v="3"/>
    <s v="Product Filing ke OJK"/>
    <s v="Pelaporan/Persetujuan produk melalui sistem elektronik OJK "/>
    <x v="0"/>
    <n v="10"/>
    <n v="2"/>
    <n v="2"/>
    <n v="3"/>
    <n v="2"/>
    <n v="1"/>
    <s v="Excel manual dokumen tracking "/>
    <s v="PM, ACT, INV, OPS"/>
    <s v="Mengirimkan dokumen secara offline ke OJK dan konfirmasi ke PIC OJK terkait"/>
  </r>
  <r>
    <x v="0"/>
    <n v="4"/>
    <s v="Produk Launch rediness"/>
    <s v="Kesiapan produk sebelum go live (proses UAT)"/>
    <x v="0"/>
    <n v="10"/>
    <n v="2"/>
    <n v="2"/>
    <n v="2"/>
    <n v="2"/>
    <n v="2"/>
    <s v="Manual checklist dan meeting kordinasi"/>
    <s v="PM, ACT, IT, OPS, INV, FIN, ACC"/>
    <s v="Eskalasi ke management untuk menunda peluncuran produk"/>
  </r>
  <r>
    <x v="0"/>
    <n v="5"/>
    <s v="Product Enhancement"/>
    <s v="Penyesuaian manfaat &amp; Fitur Produk"/>
    <x v="1"/>
    <n v="15"/>
    <n v="3"/>
    <n v="3"/>
    <n v="3"/>
    <n v="3"/>
    <n v="3"/>
    <s v="Proposal Manual + Offline Simulation (Excel)"/>
    <s v="PM, ACT, OPS"/>
    <s v="Tunda enhancement, Freeze penjualan produk terkait/penjualan secara terbatas"/>
  </r>
  <r>
    <x v="0"/>
    <n v="6"/>
    <s v="Sales Illustration &amp; Manfaat"/>
    <s v="Ilustrasi manfaat dan simulasi premi"/>
    <x v="0"/>
    <n v="10"/>
    <n v="2"/>
    <n v="2"/>
    <n v="2"/>
    <n v="2"/>
    <n v="2"/>
    <s v="Proposal Manual + Offline Simulation (Excel)"/>
    <s v="PM, ACT, OPS"/>
    <s v="Gunakan Excel Illustration, dan print secara manual"/>
  </r>
  <r>
    <x v="0"/>
    <n v="7"/>
    <s v="Produk Communication internal"/>
    <s v="Sosialisasi internal dan external user"/>
    <x v="2"/>
    <n v="17"/>
    <n v="3"/>
    <n v="3"/>
    <n v="3"/>
    <n v="3"/>
    <n v="5"/>
    <s v="Mengunakan WA Group/Blast"/>
    <s v="PM, Ops"/>
    <s v="Email blast/Offline Training/Online training mengunakan 3rd party (Zoom, Gmet, WA Group Etc)"/>
  </r>
  <r>
    <x v="0"/>
    <n v="8"/>
    <s v="Lisence Sofware dan Aset Kreatif"/>
    <s v="Subscription account dan annual fee untuk mengunakan layanan ini"/>
    <x v="2"/>
    <n v="17"/>
    <n v="3"/>
    <n v="2"/>
    <n v="3"/>
    <n v="4"/>
    <n v="5"/>
    <s v="Mengunakan Adobe Creative Suites"/>
    <s v="PM"/>
    <s v="Desain secara manual mengunakan Adobe Creative Series"/>
  </r>
  <r>
    <x v="1"/>
    <n v="1"/>
    <s v="Permintaan Dana - eBass"/>
    <s v="Permintaan Dana (Payment Request, Supplier Invoice, Purchase Request) "/>
    <x v="1"/>
    <n v="12"/>
    <n v="1"/>
    <n v="3"/>
    <n v="4"/>
    <n v="3"/>
    <n v="1"/>
    <s v="Pembayaran Manual terkait Permintaan Dana (Payment Request, Supplier Invoice, Purchase Request) "/>
    <s v="2 orang"/>
    <s v="Koordinasi dengan Intenal Information Technologi, Satelkom terkait Permintaan Dana (Payment Request, Supplier Invoice, Purchase Request) "/>
  </r>
  <r>
    <x v="1"/>
    <n v="2"/>
    <s v="Upload dari Sistem EJC - eBass"/>
    <s v="Upload dari Sistem EJC untuk Transaksi Individu Precential dan Transaksi Group Insurance"/>
    <x v="0"/>
    <n v="9"/>
    <n v="1"/>
    <n v="2"/>
    <n v="2"/>
    <n v="3"/>
    <n v="1"/>
    <s v="Koordinasi dengan Intenal Information Technologi, Satelkom terkait Upload dari Sistem EJC untuk Transaksi Individu Precential dan Transaksi Group Insurance"/>
    <s v="2 orang"/>
    <s v="Koordinasi dengan Intenal Information Technologi, Satelkom terkait Upload dari Sistem EJC untuk Transaksi Individu Precential dan Transaksi Group Insurance"/>
  </r>
  <r>
    <x v="1"/>
    <n v="3"/>
    <s v="Proses Laporan Keuangan - eBass"/>
    <s v="Proses Penjurnalan dan Proses Laporan keuangan"/>
    <x v="0"/>
    <n v="9"/>
    <n v="1"/>
    <n v="2"/>
    <n v="2"/>
    <n v="3"/>
    <n v="1"/>
    <s v="Koordinasi dengan Intenal Information Technologi, Satelkom terkait Proses Penjurnalan dan Proses Laporan keuangan"/>
    <s v="2 orang"/>
    <s v="Koordinasi dengan Intenal Information Technologi, Satelkom terkait Proses Penjurnalan dan Proses Laporan keuangan"/>
  </r>
  <r>
    <x v="1"/>
    <n v="4"/>
    <s v="Input Kurs Akhir Bulan - eBass"/>
    <s v="Input Kurs Akhir Bulan di eBass untuk Proses Laporan Keuangan"/>
    <x v="0"/>
    <n v="9"/>
    <n v="1"/>
    <n v="2"/>
    <n v="2"/>
    <n v="3"/>
    <n v="1"/>
    <s v="Koordinasi dengan Intenal Information Technologi, Satelkom terkait Input Kurs Akhir Bulan di eBass untuk Proses Laporan Keuangan"/>
    <s v="1 orang"/>
    <s v="Koordinasi dengan Intenal Information Technologi, Satelkom terkait Input Kurs Akhir Bulan di eBass untuk Proses Laporan Keuangan"/>
  </r>
  <r>
    <x v="1"/>
    <n v="5"/>
    <s v="Upload dari Sistem Precential  - EJC"/>
    <s v="Proses Tarikan Transaksi Harian dari Sistem Precential melalui Sistem EJC untuk pembentukan Jurnal yang akan ditransfer ke Sistem eBass"/>
    <x v="0"/>
    <n v="9"/>
    <n v="1"/>
    <n v="2"/>
    <n v="2"/>
    <n v="3"/>
    <n v="1"/>
    <s v="Koordinasi dengan Internal Information Technologi terkait Proses Tarikan Transaksi Harian dari Sistem Precential melalui Sistem EJC untuk pembentukan Jurnal yang akan ditransfer ke Sistem eBass"/>
    <s v="2 orang"/>
    <s v="Koordinasi dengan Internal Information Technologi terkait Proses Tarikan Transaksi Harian dari Sistem Precential melalui Sistem EJC untuk pembentukan Jurnal yang akan ditransfer ke Sistem eBass"/>
  </r>
  <r>
    <x v="1"/>
    <n v="5"/>
    <s v="Upload dari Sistem Group Insurance - EJC"/>
    <s v="Proses Tarikan Transaksi Harian dari Sistem Group Insurance melalui Sistem EJC untuk pembentukan Jurnal yang akan ditransfer ke Sistem eBass"/>
    <x v="0"/>
    <n v="9"/>
    <n v="1"/>
    <n v="2"/>
    <n v="2"/>
    <n v="3"/>
    <n v="1"/>
    <s v="Koordinasi dengan Internal Information Technologi terkait Proses Tarikan Transaksi Harian dari Sistem Group Insurance melalui Sistem EJC untuk pembentukan Jurnal yang akan ditransfer ke Sistem eBass"/>
    <s v="2 orang"/>
    <s v="Koordinasi dengan Internal Information Technologi terkait Proses Tarikan Transaksi Harian dari Sistem Group Insurance melalui Sistem EJC untuk pembentukan Jurnal yang akan ditransfer ke Sistem eBass"/>
  </r>
  <r>
    <x v="1"/>
    <n v="7"/>
    <s v="Proses Penjurnalan - EJC"/>
    <s v="Proses Penjurnalan Manual di Sistem eJC yang akan ditransfer ke Sistem eBass"/>
    <x v="0"/>
    <n v="9"/>
    <n v="1"/>
    <n v="2"/>
    <n v="2"/>
    <n v="3"/>
    <n v="1"/>
    <s v="Koordinasi dengan Internal Information Technologi terkait Proses Penjurnalan Manual di Sistem eJC yang akan ditransfer ke Sistem eBass"/>
    <s v="2 orang"/>
    <s v="Koordinasi dengan Internal Information Technologi terkait Proses Penjurnalan Manual di Sistem eJC yang akan ditransfer ke Sistem eBass"/>
  </r>
  <r>
    <x v="1"/>
    <n v="8"/>
    <s v="Input Kurs Akhir Bulan - EJC"/>
    <s v="Input Kurs Akhir Bulan di eBass untuk Proses Pembentukan Jurnal"/>
    <x v="0"/>
    <n v="9"/>
    <n v="1"/>
    <n v="2"/>
    <n v="2"/>
    <n v="3"/>
    <n v="1"/>
    <s v="Koordinasi dengan Internal Information Technologi terkait Input Kurs Akhir Bulan di eBass untuk Proses Pembentukan Jurnal"/>
    <s v="1 orang"/>
    <s v="Koordinasi dengan Internal Information Technologi terkait Input Kurs Akhir Bulan di eBass untuk Proses Pembentukan Jurnal"/>
  </r>
  <r>
    <x v="1"/>
    <n v="9"/>
    <s v="Input Kurs Mingguan Pajak - Precential"/>
    <s v="Input Kurs Pajak untuk perhitungan Pajak PPh 21 Agen dan akan dibayarkan ke Kantor Pajak"/>
    <x v="0"/>
    <n v="9"/>
    <n v="1"/>
    <n v="2"/>
    <n v="2"/>
    <n v="3"/>
    <n v="1"/>
    <s v="Koordinasi dengan Internal Information Technologi, Dynafront terkait Input Kurs Mingguan Pajak - Precential"/>
    <s v="1 orang"/>
    <s v="Koordinasi dengan Internal Information Technologi, Dynafront terkait Input Kurs Mingguan Pajak - Precential"/>
  </r>
  <r>
    <x v="1"/>
    <n v="10"/>
    <s v="Input Kurs Akhir Bulan - Precential"/>
    <s v="Input Kurs Akhir Bulan di Precentialuntuk Proses Pembentukan Jurnal"/>
    <x v="0"/>
    <n v="9"/>
    <n v="1"/>
    <n v="2"/>
    <n v="2"/>
    <n v="3"/>
    <n v="1"/>
    <s v="Koordinasi dengan Internal Information Technologi, Dynafront terkait Input Kurs Akhir Bulan - Precential"/>
    <s v="1 orang"/>
    <s v="Koordinasi dengan Internal Information Technologi, Dynafront terkait Input Kurs Akhir Bulan - Precential"/>
  </r>
  <r>
    <x v="1"/>
    <n v="11"/>
    <s v="Input NAV Harian - Precential"/>
    <s v="Input NAV Harian - Precential"/>
    <x v="0"/>
    <n v="9"/>
    <n v="1"/>
    <n v="2"/>
    <n v="2"/>
    <n v="3"/>
    <n v="1"/>
    <s v="Koordinasi dengan Internal Information Technologi, Dynafront terkait Input NAV Harian - Precential"/>
    <s v="1 orang"/>
    <s v="Koordinasi dengan Internal Information Technologi, Dynafront terkait Input NAV Harian - Precential"/>
  </r>
  <r>
    <x v="1"/>
    <n v="12"/>
    <s v="Pengambilan Data GPWL, Outstanding - Precential"/>
    <s v="Pengambilan Data GPWL, Outstanding - Precential"/>
    <x v="0"/>
    <n v="9"/>
    <n v="1"/>
    <n v="2"/>
    <n v="2"/>
    <n v="3"/>
    <n v="1"/>
    <s v="Koordinasi dengan Internal Information Technologi, Dynafront terkait Pengambilan Data GPWL, Outstanding - Precential"/>
    <s v="2 orang"/>
    <s v="Koordinasi dengan Internal Information Technologi, Dynafront terkait Pengambilan Data GPWL, Outstanding - Precential"/>
  </r>
  <r>
    <x v="1"/>
    <n v="13"/>
    <s v="Pengambilan Data Produksi, Cancel, Lunas, Aging Polis Polis Group AJK"/>
    <s v="Pengambilan Data Produksi, Cancel, Lunas, Aging Polis Polis Group AJK"/>
    <x v="0"/>
    <n v="9"/>
    <n v="1"/>
    <n v="2"/>
    <n v="2"/>
    <n v="3"/>
    <n v="1"/>
    <s v="Jurnal Manual Data Produksi, Cancel, Lunas, Aging Polis Polis Group AJK"/>
    <s v="3 orang"/>
    <s v="Koordinasi dengan Information Technologi terkait Pengambilan Data Produksi, Cancel, Lunas, Aging Polis Polis Group AJK"/>
  </r>
  <r>
    <x v="1"/>
    <n v="14"/>
    <s v="Pengambilan Data Produksi, Cancel, Lunas, Aging Polis Polis Group Insurance"/>
    <s v="Pengambilan Data Produksi, Cancel, Lunas, Aging Polis Polis Group Insurance"/>
    <x v="0"/>
    <n v="9"/>
    <n v="1"/>
    <n v="2"/>
    <n v="2"/>
    <n v="3"/>
    <n v="1"/>
    <s v="Jurnal Manual Data Produksi, Cancel, Lunas, Aging Polis Polis Group Insurance"/>
    <s v="3 orang"/>
    <s v="Koordinasi dengan Information Technologi terkait Pengambilan Data Produksi, Cancel, Lunas, Aging Polis Polis Group Insurance"/>
  </r>
  <r>
    <x v="1"/>
    <n v="15"/>
    <s v="Pembayaran Pajak EBilling - CoreTax (Bulanan)"/>
    <s v="Pembayaran Pajak PPh 21, 23, 4 ayat 2, PPN EBilling - CoreTax (Bulanan)"/>
    <x v="1"/>
    <n v="15"/>
    <n v="1"/>
    <n v="4"/>
    <n v="3"/>
    <n v="4"/>
    <n v="3"/>
    <s v="Bayar Pajak manual tanpa  EBilling - Coretax"/>
    <s v="2 orang"/>
    <s v="Koordinasi dengan Account Representatif Pajak terkait EBilling - Coretax"/>
  </r>
  <r>
    <x v="1"/>
    <n v="16"/>
    <s v="Upload Laporan Keuangan OJK Ereporting (Bulanan)"/>
    <s v="Upload Laporan Keuangan OJK Ereporting (Bulanan)"/>
    <x v="2"/>
    <n v="16"/>
    <n v="1"/>
    <n v="4"/>
    <n v="3"/>
    <n v="4"/>
    <n v="4"/>
    <s v="Mail Excel Laporan Upload OJK Ereporting ke CEO Officer, OJK "/>
    <s v="1 orang"/>
    <s v="Koordinasi dengan CEO Officer, OJK terkait Laporan Keuangan OJK Ereporting"/>
  </r>
  <r>
    <x v="2"/>
    <n v="1"/>
    <s v="Pembayaran Kompensasi &amp; Fee Based ke Partner"/>
    <s v="Proses perhitungan, verifikasi dan pembayaran kompensasi, komisi serta fee based kepada partner/mitra sesuai PKS dan ketentuan yang berlaku"/>
    <x v="3"/>
    <n v="21"/>
    <n v="4"/>
    <n v="4"/>
    <n v="4"/>
    <n v="4"/>
    <n v="5"/>
    <s v="Rekap perhitungan kompensasi dan fee dilakukan secara manual menggunakan data produksi terakhir_x000a_Verifikasi perhitungan melalui koordinasi manual dengan Finance dan SBU terkait_x000a_Penyampaian informasi status pembayaran kepada partner melalui email"/>
    <s v="Tim Business Services_x000a_Tim Finance_x000a_Data produksi dan perjanjian kerja sama partner_x000a_Template perhitungan kompensasi/fee manual"/>
    <s v="Menunda sementara proses pembayaran dengan pemberitahuan resmi kepada partner_x000a_Melakukan escalation ke Manajemen dan Risk Management_x000a_Mendokumentasikan keterlambatan dan keputusan sebagai audit trail_x000a_Memprioritaskan pemulihan sistem untuk proses pembayaran"/>
  </r>
  <r>
    <x v="2"/>
    <n v="2"/>
    <s v="Pengelolaan Program Marketing &amp; Contest"/>
    <s v="Perencanaan, eksekusi, monitoring, dan evaluasi program insentif &amp; kontes penjualan"/>
    <x v="1"/>
    <n v="13"/>
    <n v="3"/>
    <n v="3"/>
    <n v="3"/>
    <n v="3"/>
    <n v="1"/>
    <s v="Monitoring pencapaian dilakukan secara manual melalui rekap Excel_x000a_Komunikasi program melalui email dan grup WhatsApp_x000a_Validasi pencapaian menggunakan data snapshot terakhir"/>
    <s v="1–2 staff Business Services_x000a_Akses email &amp; file offline_x000a_Data produksi terakhir sebelum gangguan"/>
    <s v="Menunda evaluasi dan pengumuman program_x000a_Menyampaikan pemberitahuan resmi kepada SBU/tenaga pemasar_x000a_Melakukan penyesuaian timeline program"/>
  </r>
  <r>
    <x v="2"/>
    <n v="3"/>
    <s v="Dukungan Sistem Penjualan"/>
    <s v="Support operasional aplikasi ELSA, Sales Portal"/>
    <x v="3"/>
    <n v="23"/>
    <n v="5"/>
    <n v="5"/>
    <n v="5"/>
    <n v="4"/>
    <n v="4"/>
    <s v="Pencatatan transaksi sementara secara manual_x000a_Submission dan follow-up melalui email internal_x000a_Koordinasi intensif dengan IT untuk recovery"/>
    <s v="Tim Business Services_x000a_Tim IT support_x000a_Akses data nasabah &amp; form manual"/>
    <s v="Menghentikan sementara proses submission baru_x000a_Escalation ke Manajemen &amp; Risk Management_x000a_Prioritas pemulihan sistem (emergency recovery)"/>
  </r>
  <r>
    <x v="2"/>
    <n v="4"/>
    <s v="Monitoring &amp; Pelaporan Produksi"/>
    <s v="Penyediaan data produksi, KPI dan laporan manajemen"/>
    <x v="1"/>
    <n v="14"/>
    <n v="2"/>
    <n v="3"/>
    <n v="3"/>
    <n v="3"/>
    <n v="3"/>
    <s v="Rekap manual dari data SBU_x000a_Pelaporan sementara menggunakan file Excel_x000a_Validasi data secara sampling"/>
    <s v="1–2 staff Business Services_x000a_Data produksi dari SBU_x000a_Template laporan manual"/>
    <s v="Menyampaikan laporan sementara (preliminary report)_x000a_Memberikan disclaimer keterbatasan data_x000a_Menunggu sistem pulih untuk finalisasi laporan"/>
  </r>
  <r>
    <x v="2"/>
    <n v="5"/>
    <s v="Koordinasi Approval &amp; Compliance"/>
    <s v="Koordinasi lintas fungsi untuk memastikan kepatuhan regulasi"/>
    <x v="1"/>
    <n v="15"/>
    <n v="2"/>
    <n v="3"/>
    <n v="3"/>
    <n v="3"/>
    <n v="4"/>
    <s v="Approval dilakukan via email_x000a_Dokumentasi disimpan manual sementara_x000a_Konfirmasi lintas fungsi melalui media komunikasi alternatif_x000a_Minimum Resource Required"/>
    <s v="Tim Business Services_x000a_Akses email &amp; dokumen kebijakan"/>
    <s v="Menunda implementasi program_x000a_Melakukan risk acceptance sementara dengan persetujuan manajemen_x000a_Mendokumentasikan keputusan sebagai audit trail"/>
  </r>
  <r>
    <x v="2"/>
    <n v="6"/>
    <s v="Vendor &amp; Event Management"/>
    <s v="Pengelolaan vendor program, event dan perjalanann insentif"/>
    <x v="1"/>
    <n v="15"/>
    <n v="3"/>
    <n v="4"/>
    <n v="3"/>
    <n v="4"/>
    <n v="1"/>
    <s v="Koordinasi vendor melalui email/telepon_x000a_Pengelolaan kontrak dan invoice secara manual_x000a_Pencatatan kegiatan event offline"/>
    <s v="Tim Business Services_x000a_Dokumen kontrak vendor_x000a_Akses komunikasi vendor"/>
    <s v="Menunda atau menjadwalkan ulang event_x000a_Negosiasi ulang dengan vendor_x000a_Menyampaikan informasi perubahan kepada peserta"/>
  </r>
  <r>
    <x v="3"/>
    <n v="1"/>
    <s v="Pembayaran uang pensiun, resign, meninggal, tahapan, informasi saldo."/>
    <s v="Melakukan koordinasi dengan PIC perusahaan pengajuan surat pembayaran uang pensiun, resign, meninggal, tahapan, informasi saldo peserta dengan Finance dan Accounting Unit Link."/>
    <x v="2"/>
    <n v="20"/>
    <n v="4"/>
    <n v="4"/>
    <n v="4"/>
    <n v="4"/>
    <n v="4"/>
    <m/>
    <s v="Email in-out by web  dan 2 (dua) user"/>
    <s v="(1) Permintaan data back up dari IT atas informasi tagihan kewajiban perusahaan update terakhir format excell.                                                                                                                                                                                                        (2) Membuat perintah bayar ke Finance secara manual (word) "/>
  </r>
  <r>
    <x v="3"/>
    <n v="2"/>
    <s v="Pendaftaran kepesertaan "/>
    <s v="Menerima pengajuan kepesertaan baik polis baru, penambahan, pengurangan peserta dari PIC perusahaan melalui surat/email dan memastikan pengajuan telah lengkap pengisian pada form pendaftaran untuk diproses lebih lanjut ke bagian New Business Administration (NBA)"/>
    <x v="2"/>
    <n v="20"/>
    <n v="4"/>
    <n v="4"/>
    <n v="4"/>
    <n v="4"/>
    <n v="4"/>
    <m/>
    <s v="Email in-out by web  dan 2 (dua) user"/>
    <s v="(1) Penarikan data peserta melalui data back up di IT untuk memastikan apakah peserta masih terdaftar atau tidak,            (2) Pendaftaran peserta belum dapat diberikan"/>
  </r>
  <r>
    <x v="3"/>
    <n v="3"/>
    <s v="Penanganan penyelesaian pertanyaan/keluhan melalui email dan telepon baik dari PIC perusahaan, team marketing dan peserta"/>
    <s v="Memberikan penjelasan atas pertanyaan, keluhan baik melalui email dan telepon dari PIC perusahaan, team Marketing, maupun peserta mengenai pengajuan pembayaran pensiun, resign, meninggal, tahapan, informasi saldo."/>
    <x v="2"/>
    <n v="20"/>
    <n v="4"/>
    <n v="4"/>
    <n v="4"/>
    <n v="4"/>
    <n v="4"/>
    <m/>
    <s v="Email in-out by web  dan 2 (dua) user"/>
    <s v="(1) Melakukan pencatatan atas komplain yag diterima dalam format excell dan melakukan penelurusan atas data peserta                                             (2) Penarikan data peserta melalui data back up di IT"/>
  </r>
  <r>
    <x v="3"/>
    <n v="4"/>
    <s v="Penanganan pengajuan klaim AJK &amp; Retail"/>
    <s v="Menerima pengajuan klaim, pengajuan refund dari nasabah baik secara hard copy maupun softcopy untuk meneruskan ke bagian terkait agar diproses lebih lanjut apabila dokumen yang diajukan telah sesuai persyaratan dan melakukan follow up apabila dokumen yang diajukan tidak memenuhi persyaratan"/>
    <x v="2"/>
    <n v="20"/>
    <n v="4"/>
    <n v="4"/>
    <n v="4"/>
    <n v="4"/>
    <n v="4"/>
    <m/>
    <s v="Email in-out by web  dan 2 (dua) user"/>
    <s v="(1) Penarikan data peserta melalui data back up di IT,                                     (2) Meverifikasi dokumen yang telah diteriam dan memberikan informasi pengajuan klaim tersebut ke team Klaim melalui email"/>
  </r>
  <r>
    <x v="3"/>
    <n v="5"/>
    <s v="Pengiriman notifikasi email dan penyelesaian pertanyaan / keluhan dari nasabah "/>
    <s v="1. Pengiriman notifkasi klaim yang diajukan baik notifikasi klaim lengkap maupun notifikasi klaim pending apabila terdapat pengajuan dari nasabah melalui email blast_x000a_2. Pengajuan notifikasi refund atas pengajuan refund asuransi jiwa kredit baik notifikasi refund lengkap, refund pending apablla terdapat pengajuan dari nasabah melalui email blast                                                                                                                               3.  Pengiriman notifikasi klaim tolak, bayar atau investigasi apabila klaim telah dilakukan analisa oleh bagian klaim dengan menggunakan melalui email blast                                   4. Pengiriman notifikasi refund bayar, refund dengan nominal dibawah ketentuan dengan menggunakan email blast "/>
    <x v="2"/>
    <n v="20"/>
    <n v="4"/>
    <n v="4"/>
    <n v="4"/>
    <n v="4"/>
    <n v="4"/>
    <m/>
    <s v="Email in-out by web  dan 2 (dua) user"/>
    <s v="Melakukan pengiriman notifikasi email secara manual kepada peserta mengacu pada keputusan klaim"/>
  </r>
  <r>
    <x v="3"/>
    <n v="6"/>
    <s v="Pembuatan surat tolakan dan informasi klaim terpending karena investigasi "/>
    <s v="Pembuatan surat informasi klaim tidak disantun serta informasi klaim terpending karena investigasi ke nasabah , setelah dokumen klaim dilakukan analisa oleh bagian klaim"/>
    <x v="2"/>
    <n v="20"/>
    <n v="4"/>
    <n v="4"/>
    <n v="4"/>
    <n v="4"/>
    <n v="4"/>
    <m/>
    <s v="Email in-out by web  dan 2 (dua) user"/>
    <s v="(1) Melakukan pembuatan surat penolakan dan klaim pending secara manual dengan mengacu pada berkas klaim yang telah diterima dan dasar penolakan yang diinfokan oleh team Klaim                                                (2) Penarikan data back up dariIT untuk update data peserta baik AJK dan Retail"/>
  </r>
  <r>
    <x v="3"/>
    <n v="7"/>
    <s v="Perhitungan Tabel penurunan klaim AJK "/>
    <s v="Menghitung tabel penurunan apabila terdapat pengajuan klaim AJK yang akan digunakan oleh bagian klaim sebagai acuan perhitungan pembayaran klaim"/>
    <x v="2"/>
    <n v="20"/>
    <n v="4"/>
    <n v="4"/>
    <n v="4"/>
    <n v="4"/>
    <n v="4"/>
    <m/>
    <s v="Email in-out by web  dan 2 (dua) user"/>
    <s v="(1) Membuat tabel penurunan peserta berdasarkan tabel penurunan secara keseluruhan format excell (2)Penarikan data back up dari IT untuk update data peserta baik AJK dan Retail"/>
  </r>
  <r>
    <x v="4"/>
    <n v="1"/>
    <s v="Informasi tagihan premi atau provider"/>
    <s v="Melakukan active phone call ke Nasabah untuk proses penagihan, mengirimkan softcopy tagihan terbaru via email kepada Nasabah yang menunggak."/>
    <x v="2"/>
    <n v="20"/>
    <n v="4"/>
    <n v="4"/>
    <n v="4"/>
    <n v="4"/>
    <n v="4"/>
    <m/>
    <s v="Email in-out by web  dan 2 (dua) user"/>
    <s v="Mengajukan permintaan data back up dari IT atas informasi tagihan kewajiban perusahaan update terakhir format excell"/>
  </r>
  <r>
    <x v="4"/>
    <n v="2"/>
    <s v="Informasi pembayaran ke Finance"/>
    <s v="Pembayaran dari nasabah yang sudah sesuai dengan perincian Debit/ Credit Note diinformasikan ke Finance Account Receivable Departemen melalui email agar dapat segera dibukukan / diinput pelunasannya"/>
    <x v="2"/>
    <n v="20"/>
    <n v="4"/>
    <n v="4"/>
    <n v="4"/>
    <n v="4"/>
    <n v="4"/>
    <m/>
    <s v="Email in-out by web  dan 2 (dua) user"/>
    <s v="Menyampaikan informasi pembayaran ke Finance melalui email Equity dan WA"/>
  </r>
  <r>
    <x v="4"/>
    <n v="3"/>
    <s v="Rekonsiliasi tagihan dengan nasabah"/>
    <s v="Jika terjadi ketidaksesuaian antara pembayaran dan data Tagihan dan Kewajiban, maka Staff Group Collection melakukan rekonsiliasi melalui pertemuan dengan nasabah, telpon atau email. Pertemuan tersebut dapat dilakukan di  PT Equity Life Indonesia atau di tempat nasabah"/>
    <x v="2"/>
    <n v="20"/>
    <n v="4"/>
    <n v="4"/>
    <n v="4"/>
    <n v="4"/>
    <n v="4"/>
    <m/>
    <s v="Email in-out by web  dan 2 (dua) user"/>
    <s v="Mengajukan permintaan data back up dari IT atas informasi tagihan kewajiban perusahaan update terakhir format excell"/>
  </r>
  <r>
    <x v="4"/>
    <n v="4"/>
    <s v="Buka Pending"/>
    <s v="Memberikan rekomendasi atas cara bayar tagihan premi dan provider"/>
    <x v="2"/>
    <n v="20"/>
    <n v="4"/>
    <n v="4"/>
    <n v="4"/>
    <n v="4"/>
    <n v="4"/>
    <m/>
    <s v="Email in-out by web  dan 2 (dua) user"/>
    <s v="Konfirmasi ke pihak ke-3 (team penjaminan)  untuk dapat melakukan penalangan full cover terlebih dahulu atas setiap penjaminan yang ada "/>
  </r>
  <r>
    <x v="5"/>
    <n v="1"/>
    <s v="Pendaftaran peserta AJK"/>
    <s v="Penerimaan data peserta AJK dari partner untuk diproses registrasi kepesertaan ke sistem ELI"/>
    <x v="2"/>
    <n v="17"/>
    <n v="5"/>
    <n v="4"/>
    <n v="4"/>
    <n v="2"/>
    <n v="2"/>
    <s v="Menampung data kepesertaan manual melalui email untuk kemudian diupload setelah sistem sudah bisa diakses kembali"/>
    <s v="UW NBA 1 orang dan SBU NBI 1 orang : Menampung sementara data pendaftaran kepesertaan dari partner melalui Email untuk file nya bisa disimpan lalu kemudian bisa di upload ke sistem AJK ELI."/>
    <s v="Menginformasikan ke partner untuk bisa mengirimkan ulang file pendaftaran peserta secara manual."/>
  </r>
  <r>
    <x v="5"/>
    <n v="2"/>
    <s v="Pembelian produk asuransi melalui microsite"/>
    <s v="Kesiapan dan ketersediaan akses microsite agar calon nasabah bisa melakukan pembelian asuransi "/>
    <x v="2"/>
    <n v="20"/>
    <n v="5"/>
    <n v="4"/>
    <n v="5"/>
    <n v="5"/>
    <n v="1"/>
    <s v="Tidak ada"/>
    <s v="Tidak ada karena proses pembelian asuransi melalui microsite ini customer harus melakukan pengisian data pribadi, ahli waris, dan pembayaran secara mandiri melalui microsite."/>
    <s v="Menginformasikan ke partner untuk tidak menawarkan produk asuransi Microsite sebelum sistem bisa diakses kembali"/>
  </r>
  <r>
    <x v="5"/>
    <n v="3"/>
    <s v="Proses rekonsiliasi"/>
    <s v="Proses penarikan jumlah data peserta asuransi untuk disesuaikan dengan jumlah yang ada di partner untuk dilakukan rekonsiliasi"/>
    <x v="1"/>
    <n v="15"/>
    <n v="5"/>
    <n v="4"/>
    <n v="2"/>
    <n v="2"/>
    <n v="2"/>
    <s v="Tidak ada"/>
    <s v="Tidak ada karena data rekap kepesertaan untuk melalui rekon hanya tersedia di sistem AJK untuk melakukan rekonsiliasi."/>
    <s v="Menginformasikan ke partner perihal terterlambatan yang terjadi untuk melakukan proses rekonsiliasi"/>
  </r>
  <r>
    <x v="5"/>
    <n v="4"/>
    <s v="Proses Pengajuan Claim "/>
    <s v="Menerima dan memproses pengajuan claim dari nasabah Non Banking"/>
    <x v="2"/>
    <n v="18"/>
    <n v="1"/>
    <n v="4"/>
    <n v="5"/>
    <n v="5"/>
    <n v="3"/>
    <s v="Menampung data pengajuan klaim manual melalui email untuk kemudian di daftarkan ke sistem setelah sudah bisa diakses"/>
    <s v="CS 1 orang&amp; SBU NBI 1 orang: Menampung sementara data pendaftaran kepesertaan dari partner melalui Email dan melakukan listing manual dengan Excel untuk bisa di tampung dan di tracking hingga sistem portal klaim Retail ELI bisa di proses."/>
    <s v="Menginformasikan ke partner bahwa terjadi kendala dalam proses registrasi pengajuan claim dan ada potensi keterlambatan SLA Claim"/>
  </r>
  <r>
    <x v="6"/>
    <n v="1"/>
    <s v="Pendaftaran peserta AJK (Harian)"/>
    <s v="Penerimaan data peserta AJK dari partner untuk diproses registrasi kepesertaan ke sistem ELI"/>
    <x v="3"/>
    <n v="23"/>
    <n v="5"/>
    <n v="5"/>
    <n v="5"/>
    <n v="5"/>
    <n v="3"/>
    <m/>
    <m/>
    <m/>
  </r>
  <r>
    <x v="6"/>
    <n v="2"/>
    <s v="Proses Penanganan Keluhan (Harian)"/>
    <s v="Proses menerima, menanggapi dan mengangani keluhan Partner atas produk dan proses asuransi"/>
    <x v="1"/>
    <n v="15"/>
    <n v="3"/>
    <n v="3"/>
    <n v="3"/>
    <n v="3"/>
    <n v="3"/>
    <m/>
    <m/>
    <m/>
  </r>
  <r>
    <x v="6"/>
    <n v="3"/>
    <s v="Proses Pengajuan Claim dan Refund Premi (Harian)"/>
    <s v="Menerima dan memproses pengajuan claim, dan Refund Premi (karena pelunasan dipercepat) dari Bank Partner"/>
    <x v="3"/>
    <n v="23"/>
    <n v="5"/>
    <n v="5"/>
    <n v="5"/>
    <n v="5"/>
    <n v="3"/>
    <m/>
    <m/>
    <m/>
  </r>
  <r>
    <x v="6"/>
    <n v="4"/>
    <s v="Proses perhitungan Fee Base Income Partner AJK (bulanan)"/>
    <s v="Perhitungan FBI bulanan Bank Partner"/>
    <x v="1"/>
    <n v="15"/>
    <n v="3"/>
    <n v="3"/>
    <n v="3"/>
    <n v="3"/>
    <n v="3"/>
    <m/>
    <m/>
    <m/>
  </r>
  <r>
    <x v="6"/>
    <n v="5"/>
    <s v="Proses rekonsiliasi (Bulanan)"/>
    <s v="Proses penarikan jumlah data peserta asuransi untuk disesuaikan dengan jumlah yang ada di partner untuk dilakukan rekonsiliasi"/>
    <x v="1"/>
    <n v="15"/>
    <n v="3"/>
    <n v="3"/>
    <n v="3"/>
    <n v="3"/>
    <n v="3"/>
    <m/>
    <m/>
    <m/>
  </r>
  <r>
    <x v="7"/>
    <n v="1"/>
    <s v="Data upload harian klaim dari TPA (Admedika)"/>
    <s v="Data klaim peserta yang telah diproses akan di upload ke core system._x000a_Proses upload data yang tidak berjalan menyebabkan tim klaim tidak dapat memproses / melanjutkan proses perhitungan hingga pembayarannya"/>
    <x v="2"/>
    <n v="17"/>
    <n v="4"/>
    <n v="3"/>
    <n v="5"/>
    <n v="3"/>
    <n v="2"/>
    <s v="Saat ini belum bisa dilakukan manual proses untuk sistem group karena dapat menyebabkan perbedaan data dengan yang ada di TPA"/>
    <s v="- 11 tim klaim_x000a_- Tim IT"/>
    <s v="Perhitungan klaim dapat dismulasikan dahulu  di UAT environment jika memungkinkan sehingga bisa dihitung secara manual (dengan kondisi kendala sudah terlalu lama belum terselesaikan)"/>
  </r>
  <r>
    <x v="7"/>
    <n v="2"/>
    <s v="Pemrosesan hingga pembayaran klaim harian menggunakan core system PL"/>
    <s v="Klaim diinput atau di upload ke core system selanjutnya akan di proses perhitungan oleh sistem sesuai dengan manfaat atau santunannya lalu di buatkan perintah pembayarannya"/>
    <x v="1"/>
    <n v="14"/>
    <n v="4"/>
    <n v="3"/>
    <n v="3"/>
    <n v="2"/>
    <n v="2"/>
    <s v="- Melakukan analisa klaim dahulu hingga bisa diinput di dalam sistem core jika sistem tidak dapat diakses_x000a__x000a_- Jika sistem bisa diakses namun terdapat error saat melakukan pemrosesan klaimnya maka dilakukan manual proses dahulu dan membuat rekap atas klaim-klaim yang diproses manual agar saat sistem sudah berjalan lancar, tidak terjadi proses double payment"/>
    <s v="- 3 tim klaim_x000a_- Tim IT"/>
    <s v="Membagi beban kerja berdasarkan urgensi untuk meminimalkan dampak reputasi. Misal :_x000a_1. Klaim dengan jumlah besar dan yang sedang dalam proses sebelum sistem down / error didahulukan _x000a_2. Klaim yang masuk saat sistem down / error dikelompokkan menjadi satu_x000a_3. Klaim yang membutuhkan waktu proses investigasi di proses belakangan."/>
  </r>
  <r>
    <x v="7"/>
    <n v="3"/>
    <s v="Pemrosesan hingga pembayaran klaim harian menggunakan core system AJK"/>
    <s v="Klaim diinput atau di upload ke core system selanjutnya akan di proses perhitungan oleh sistem sesuai dengan manfaat atau santunannya lalu di buatkan perintah pembayarannya "/>
    <x v="1"/>
    <n v="14"/>
    <n v="3"/>
    <n v="3"/>
    <n v="3"/>
    <n v="3"/>
    <n v="2"/>
    <s v="- Manual proses._x000a_- Membuat rekap atas klaim-klaim yang diproses manual agar saat sistem dapat beroperasi kembali, tidak terjadi proses double payment"/>
    <s v="- 4 tim klaim_x000a_- Tim IT"/>
    <s v="Membagi beban kerja berdasarkan urgensi untuk meminimalkan dampak reputasi. Misal :_x000a_1. Klaim dengan jumlah besar dan yang sedang dalam proses sebelum sistem down / error didahulukan _x000a_2. Klaim yang masuk saat sistem down / error dikelompokkan menjadi satu_x000a_3. Klaim yang membutuhkan waktu proses investigasi di proses belakangan."/>
  </r>
  <r>
    <x v="7"/>
    <n v="4"/>
    <s v="Pemrosesan hingga pembayaran klaim harian menggunakan core system Group Insurance"/>
    <s v="Klaim diinput atau di upload ke core system selanjutnya akan di proses perhitungan oleh sistem sesuai dengan manfaat atau santunannya lalu di buatkan perintah pembayarannya "/>
    <x v="2"/>
    <n v="17"/>
    <n v="4"/>
    <n v="3"/>
    <n v="5"/>
    <n v="3"/>
    <n v="2"/>
    <s v="Saat ini belum bisa dilakukan manual proses untuk sistem group karena dapat menyebabkan perbedaan data dengan yang ada di TPA"/>
    <s v="- 11 tim klaim_x000a_- Tim IT"/>
    <s v="Perhitungan klaim dapat dismulasikan dahulu  di UAT environment jika memungkinkan sehingga bisa dihitung secara manual (dengan kondisi kendala sudah terlalu lama belum terselesaikan)"/>
  </r>
  <r>
    <x v="7"/>
    <n v="5"/>
    <s v="Pengajuan klaim harian melalui Web Portal"/>
    <s v="Pengajuan klaim khususnya Polis yang menggunakan Web Portal yang terkoneksi secara API dengan TPA (AAA)"/>
    <x v="1"/>
    <n v="12"/>
    <n v="3"/>
    <n v="3"/>
    <n v="3"/>
    <n v="2"/>
    <n v="1"/>
    <s v="Nasabah dapat mengirimkan pengajuan klaim via email atau hardcopy"/>
    <m/>
    <s v="Nasabah dapat mengirimkan pengajuan klaim via email atau hardcopy"/>
  </r>
  <r>
    <x v="7"/>
    <n v="6"/>
    <s v="Pengajuan klaim harian melalui Mobile Apps"/>
    <s v="Klaim yang diajukan secara digital (E Claim Submission) akan masuk ke file SFTP dan selanjutnya dikirim ke TPA untuk di proses"/>
    <x v="1"/>
    <n v="11"/>
    <n v="2"/>
    <n v="3"/>
    <n v="3"/>
    <n v="2"/>
    <n v="1"/>
    <s v="Nasabah dapat mengirimkan pengajuan klaim via email atau hardcopy"/>
    <m/>
    <s v="Nasabah dapat mengirimkan pengajuan klaim via email atau hardcopy"/>
  </r>
  <r>
    <x v="8"/>
    <n v="1"/>
    <s v="Bulanan"/>
    <s v="Proses pembayaran upah bagi Karyawan"/>
    <x v="3"/>
    <n v="23"/>
    <n v="5"/>
    <n v="5"/>
    <n v="5"/>
    <n v="5"/>
    <n v="3"/>
    <s v="-"/>
    <n v="2"/>
    <m/>
  </r>
  <r>
    <x v="8"/>
    <n v="2"/>
    <s v="Bulanan"/>
    <s v="Pembayaran BPJS Ketenagakerjaan Karyawan"/>
    <x v="3"/>
    <n v="23"/>
    <n v="5"/>
    <n v="5"/>
    <n v="5"/>
    <n v="5"/>
    <n v="3"/>
    <s v="HC input diaplikasi dan download tagihan di sistem kemudian ke finance utk pembayaran"/>
    <n v="2"/>
    <m/>
  </r>
  <r>
    <x v="8"/>
    <n v="3"/>
    <s v="Bulanan"/>
    <s v="Pembayaran BPJS Kesehatan Karyawan"/>
    <x v="3"/>
    <n v="23"/>
    <n v="5"/>
    <n v="5"/>
    <n v="5"/>
    <n v="5"/>
    <n v="3"/>
    <s v="HC download billing invoice dari edabu (sistem bpjs) kemudian ke finance utk pembayaran"/>
    <n v="2"/>
    <m/>
  </r>
  <r>
    <x v="8"/>
    <n v="4"/>
    <s v="Bulanan"/>
    <s v="Pembayaran Pajak Penghasilan Karyawan"/>
    <x v="3"/>
    <n v="23"/>
    <n v="5"/>
    <n v="5"/>
    <n v="5"/>
    <n v="5"/>
    <n v="3"/>
    <m/>
    <n v="2"/>
    <m/>
  </r>
  <r>
    <x v="8"/>
    <n v="5"/>
    <s v="Bulanan"/>
    <s v="Pelaporan Pajak Penghasilan Karyawan"/>
    <x v="3"/>
    <n v="23"/>
    <n v="5"/>
    <n v="5"/>
    <n v="5"/>
    <n v="5"/>
    <n v="3"/>
    <m/>
    <n v="2"/>
    <m/>
  </r>
  <r>
    <x v="8"/>
    <n v="6"/>
    <s v="Bulanan"/>
    <s v="Pembayaran Listrik, Air dan Internet"/>
    <x v="1"/>
    <n v="11"/>
    <n v="2"/>
    <n v="2"/>
    <n v="3"/>
    <n v="2"/>
    <n v="2"/>
    <m/>
    <n v="1"/>
    <s v="Melakukan pembayaran langsung lewat internet"/>
  </r>
  <r>
    <x v="8"/>
    <n v="7"/>
    <s v="Bulanan"/>
    <s v="Pembayaran IPL"/>
    <x v="1"/>
    <n v="11"/>
    <n v="2"/>
    <n v="2"/>
    <n v="3"/>
    <n v="2"/>
    <n v="2"/>
    <m/>
    <n v="1"/>
    <s v="Melakukan pembayaran langsung lewat internet"/>
  </r>
  <r>
    <x v="8"/>
    <n v="8"/>
    <s v="Bulanan"/>
    <s v="Pembayaran Maintenance Lift - Raden Saleh"/>
    <x v="0"/>
    <n v="10"/>
    <n v="2"/>
    <n v="2"/>
    <n v="2"/>
    <n v="2"/>
    <n v="2"/>
    <m/>
    <n v="1"/>
    <m/>
  </r>
  <r>
    <x v="8"/>
    <n v="9"/>
    <s v="Bulanan"/>
    <s v="Pembayaran ekspedisi - tergantung invoice"/>
    <x v="1"/>
    <n v="12"/>
    <n v="2"/>
    <n v="2"/>
    <n v="3"/>
    <n v="3"/>
    <n v="2"/>
    <m/>
    <n v="1"/>
    <m/>
  </r>
  <r>
    <x v="8"/>
    <n v="10"/>
    <s v="Tergantung Kebutuhan"/>
    <s v="Pemesaran tiket dan akomodasi perjalanan dinas"/>
    <x v="0"/>
    <n v="10"/>
    <n v="2"/>
    <n v="2"/>
    <n v="2"/>
    <n v="2"/>
    <n v="2"/>
    <m/>
    <n v="1"/>
    <m/>
  </r>
  <r>
    <x v="9"/>
    <n v="1"/>
    <s v="Proses Pembayaran melalui Internet Banking"/>
    <s v="Proses pembayaran kepada Nasabah dan atau pihak ketiga harus tetap dapat dijalankan"/>
    <x v="3"/>
    <n v="21"/>
    <n v="4"/>
    <n v="5"/>
    <n v="4"/>
    <n v="5"/>
    <n v="3"/>
    <s v=" - Menginformasikan kepada Dept terkait bahwa pembayaran terhambat, _x000a_ - Membuat Cek/BG ke Bank, _x000a_ - Menggunakan tethering internet HP untuk koneksi internet banking"/>
    <s v=" - 4 orang_x000a_ - Sistem PrecentiaLIfe (PL), E-Bas, EJC, Group Insurance, Internet Banking"/>
    <s v=" - Menginformasikan kepada Dept terkait bahwa pembayaran terhambat, _x000a_ - Membuat Cek/BG ke Bank, _x000a_ - Menggunakan tethering internet HP untuk koneksi internet banking"/>
  </r>
  <r>
    <x v="9"/>
    <n v="2"/>
    <s v="Proses Auto Debet"/>
    <s v="Proses auto debet premi asuransi individu harus tetap dapat berjalan agar premi dapat tetap tertagih sesuai jadwal pendebetan"/>
    <x v="3"/>
    <n v="21"/>
    <n v="5"/>
    <n v="4"/>
    <n v="4"/>
    <n v="5"/>
    <n v="3"/>
    <s v=" - Menginformasikan kepada Dept terkait dan Bank Partner bahwa proses auto debet terlambat"/>
    <s v=" - 4 orang_x000a_ - Sistem PrecentiaLIfe (PL),Internet Banking, Email, Bank Partner"/>
    <s v=" - Menginformasikan kepada Dept terkait dan Bank Partner bahwa proses auto debet terlambat"/>
  </r>
  <r>
    <x v="9"/>
    <n v="3"/>
    <s v="Proses CP Batch Peneriman Premi Individu"/>
    <s v="Proses triger cut off penentuan tanggal valuta unit link tidak dapat dilakukan dan proses subscription ke Bank Kustodian terhambat"/>
    <x v="0"/>
    <n v="10"/>
    <n v="2"/>
    <n v="2"/>
    <n v="2"/>
    <n v="1"/>
    <n v="3"/>
    <s v=" - Melakukan koordinasi dengan Bank Kustodian bahwa proses subscription terlambat"/>
    <s v=" - 4 orang_x000a_ - Sistem PrecentiaLIfe (PL), Email, Bank Partner"/>
    <s v=" - Melakukan koordinasi dengan Bank Kustodian bahwa proses subscription terlambat"/>
  </r>
  <r>
    <x v="9"/>
    <n v="4"/>
    <s v="Penerimaan Premi Virtual Account (Online/API)"/>
    <s v="Pembukuan penerimaan premi  virtual account terhambat"/>
    <x v="1"/>
    <n v="11"/>
    <n v="2"/>
    <n v="2"/>
    <n v="2"/>
    <n v="2"/>
    <n v="3"/>
    <s v=" - Melakukan koordinasi dengan  IT terkait data transaksi virtual account"/>
    <s v=" - 2 orang_x000a_ - Sistem PrecentiaLIfe (PL), PL Satelite, DB Payment, Bank Partner"/>
    <s v=" - Melakukan koordinasi dengan  IT terkait data transaksi virtual account"/>
  </r>
  <r>
    <x v="9"/>
    <n v="5"/>
    <s v="Proses Rekonsiliasi Bank"/>
    <s v="Proses Rekonsiliasi Bank (Penerimaan dan Pengeluaran) "/>
    <x v="4"/>
    <n v="5"/>
    <n v="1"/>
    <n v="1"/>
    <n v="1"/>
    <n v="1"/>
    <n v="1"/>
    <s v=" - Melakukan koordinasi dengan Accounting terkait data rekonsiliasi bank "/>
    <s v=" - 4 orang"/>
    <s v=" - Melakukan koordinasi dengan  Accounting terkait data rekonsiliasi bank "/>
  </r>
  <r>
    <x v="10"/>
    <n v="1"/>
    <s v="Pengaktifan Polis EB, AJK &amp; Retail Insurance"/>
    <s v="Proses pengaktifan polis EB, AJK &amp; Retail Insurance pada Sistem"/>
    <x v="2"/>
    <n v="16"/>
    <n v="4"/>
    <n v="1"/>
    <n v="4"/>
    <n v="5"/>
    <n v="2"/>
    <s v="Merekap JO Order yang masuk agar pengaktifan apabila sistem sudah berjalan tidak terlewat"/>
    <s v="Jumlah SDM: 1_x000a_Jumlah Sistem: 2_x000a_Jumlah Vendor: 2"/>
    <s v="Menginformasikan kepada marketing &amp; CS agar disampaikan kepada pihak Perusahaan dan koordinasi dengan CS untuk dilakukan penjaminan manual apabila nasabah masuk Rumah Sakit (nasabah EB)"/>
  </r>
  <r>
    <x v="10"/>
    <n v="2"/>
    <s v="Pembuatan Polis EB, AJK &amp; Retail Insurance"/>
    <s v="Memproses pembuatan dokumen hardcopy Polis EB, AJK &amp; Retail Insurance secara manual_x000a__x000a_Note : untuk polis EB masih menggunakan sistem group insurance untuk mencetak produk polis yang dilampirkan pada dokumen hardcopy polis"/>
    <x v="2"/>
    <n v="16"/>
    <n v="4"/>
    <n v="1"/>
    <n v="4"/>
    <n v="5"/>
    <n v="2"/>
    <s v="Memproses draft polis terlebih dahulu dan lampiran akan disertakan ketika sistem sudah berjalan"/>
    <s v="Jumlah SDM: 1_x000a_Jumlah Sistem: 2_x000a_Jumlah Vendor: -"/>
    <s v="Menginformasikan kepada marketing &amp; CS agar disampaikan kepada pihak Perusahaan dikarenakan adanya keterlambatan pengiriman hardcopy polis"/>
  </r>
  <r>
    <x v="10"/>
    <n v="3"/>
    <s v="Pendaftaran, penambahan &amp; perubahan peserta EB, AJK &amp; Retail Insurance"/>
    <s v="Memproses pendaftaran, penambahan &amp; perubahan peserta EB, AJK &amp; Retail Insurance"/>
    <x v="2"/>
    <n v="16"/>
    <n v="4"/>
    <n v="1"/>
    <n v="4"/>
    <n v="5"/>
    <n v="2"/>
    <s v="Merekap penambahan, perubahan dan pengurangan agar tidak terlewat ketika proses pada sistem apabila sudah berjalan"/>
    <s v="Jumlah SDM: 2_x000a_Jumlah Sistem: 2_x000a_Jumlah Vendor: 3"/>
    <s v="Menginformasikan kepada marketing &amp; CS agar disampaikan kepada pihak Perusahaan dan koordinasi dengan CS untuk dilakukan penjaminan manual apabila nasabah masuk Rumah Sakit (nasabah EB)"/>
  </r>
  <r>
    <x v="10"/>
    <n v="4"/>
    <s v="Penerbitan Debit Note/Credit Note EB, AJK &amp; Retail Insurance"/>
    <s v="Memproses penerbitan Debit Note/Credit Note EB, AJK &amp; Retail Insurance yang kemudian akan di email kepada PIC Perusahaan"/>
    <x v="2"/>
    <n v="16"/>
    <n v="4"/>
    <n v="1"/>
    <n v="4"/>
    <n v="5"/>
    <n v="2"/>
    <s v="Merekap penambahan, perubahan dan pengurangan peserta yang belum diterbitkan debit/credit note"/>
    <s v="Jumlah SDM: 2_x000a_Jumlah Sistem: 2_x000a_Jumlah Vendor: 3"/>
    <s v="Apabila sistem tidak berjalan dalam jangka waktu yang lama, maka perhitungan premi akan dilakukan secara manual menggunakan excel kemudian akan dibuatkan debit/credit note secara manual untuk dikirimkan kepada nasabah"/>
  </r>
  <r>
    <x v="10"/>
    <n v="5"/>
    <s v="Pengiriman Plan Import &amp; Enrollment Peserta kepada pihak TPA"/>
    <s v="Memproses import plan &amp; enrollment peserta EB kepada TPA"/>
    <x v="2"/>
    <n v="16"/>
    <n v="4"/>
    <n v="1"/>
    <n v="4"/>
    <n v="5"/>
    <n v="2"/>
    <s v="Menginformasikan kepada pihak TPA untuk dapat memproses manual New Business maupun renewal"/>
    <s v="Jumlah SDM: 2_x000a_Jumlah Sistem: 2_x000a_Jumlah Vendor: 3"/>
    <s v="Menginformasikan kepada pihak TPA, agar dapat proses ini dapat dilakukan secara manual agar pelayanan kepada nasabah EB tetap berjalan"/>
  </r>
  <r>
    <x v="10"/>
    <n v="6"/>
    <s v="Pengiriman Plan Import &amp; Enrollment Peserta kepada pihak Telemedicine"/>
    <s v="Memproses import plan &amp; enrollment peserta EB kepada telemedicine"/>
    <x v="2"/>
    <n v="16"/>
    <n v="4"/>
    <n v="1"/>
    <n v="4"/>
    <n v="5"/>
    <n v="2"/>
    <s v="Menginformasikan kepada pihak telemedicine untuk dapat memproses manual New Business maupun renewal"/>
    <s v="Jumlah SDM: 2_x000a_Jumlah Sistem: 2_x000a_Jumlah Vendor: 3"/>
    <s v="Menginformasikan kepada pihak TPA, agar dapat proses ini dapat dilakukan secara manual agar pelayanan kepada nasabah EB tetap berjalan"/>
  </r>
  <r>
    <x v="11"/>
    <n v="1"/>
    <s v="Input Master Provider di system Group Insurance"/>
    <s v="User PR akan melakukan registrasi master di system Group Insurance"/>
    <x v="1"/>
    <n v="12"/>
    <s v="2"/>
    <s v="1"/>
    <s v="3"/>
    <s v="3"/>
    <s v="3"/>
    <s v="Daftar Provider yang di email setiap bulan"/>
    <s v="Akses ke email account"/>
    <s v="Menggunakan daftar provider manual"/>
  </r>
  <r>
    <x v="12"/>
    <n v="1"/>
    <s v="Maintenance Parameter Product (Sewaktu-waktu)"/>
    <s v="Melakukan Input dan Upload parameter produk individu sesuai spesifikasi produk"/>
    <x v="2"/>
    <n v="17"/>
    <n v="2"/>
    <n v="2"/>
    <n v="5"/>
    <n v="5"/>
    <n v="3"/>
    <s v="Melanjutkan kembali proses maintenance parameter product"/>
    <n v="1"/>
    <s v="Tidak ada manual proses"/>
  </r>
  <r>
    <x v="12"/>
    <n v="2"/>
    <s v="Analisa Rasio Klaim Asuransi Kumpulan (Harian)"/>
    <s v="Melakukan penarikan data premi dan klaim produk asuransi kumpulan"/>
    <x v="1"/>
    <n v="13"/>
    <n v="2"/>
    <n v="1"/>
    <n v="3"/>
    <n v="5"/>
    <n v="2"/>
    <s v="Melanjutkan proses penarikan data rasio klaim"/>
    <n v="1"/>
    <s v="Tidak ada manual proses"/>
  </r>
  <r>
    <x v="12"/>
    <n v="3"/>
    <s v="Perhitungan Rasio Klaim dan Profit Sharing Produk AJK (Sewaktu-waktu)"/>
    <s v="Melakukan penarikan database yang dibutuhkan dari sistem AJK"/>
    <x v="1"/>
    <n v="13"/>
    <n v="2"/>
    <n v="2"/>
    <n v="3"/>
    <n v="4"/>
    <n v="2"/>
    <s v="Melanjutkan kembali proses perhitungan rasio klaim dan profit sharing"/>
    <n v="1"/>
    <s v="Menginformasikan kepada bagian terkait adanya kendala yang menghambat proses pekerjaan dan melakukan koordinasi dengan bagian terkait"/>
  </r>
  <r>
    <x v="12"/>
    <n v="4"/>
    <s v="Perhitungan Teknis Perubahan Polis (Sewaktu-waktu)"/>
    <s v="Melakukan pengecekan data Polis Individu "/>
    <x v="0"/>
    <n v="10"/>
    <n v="1"/>
    <n v="2"/>
    <n v="2"/>
    <n v="3"/>
    <n v="2"/>
    <s v="Melanjutkan kembali proses perhitungan perubahan polis"/>
    <n v="1"/>
    <s v="Menginformasikan kepada bagian terkait adanya kendala yang menghambat proses pekerjaan dan melakukan koordinasi dengan bagian terkait"/>
  </r>
  <r>
    <x v="12"/>
    <n v="5"/>
    <s v="Proses Approval Discount Contact Person (DCP) (Sewaktu-waktu)"/>
    <s v="Melakukan approval Discount Contact Person pada sistem yang sudah diinput oleh bagian admin support"/>
    <x v="0"/>
    <n v="8"/>
    <n v="1"/>
    <n v="1"/>
    <n v="2"/>
    <n v="2"/>
    <n v="2"/>
    <s v="Melanjutkan kembali proses approval (DCP)"/>
    <n v="1"/>
    <s v="Menginformasikan kepada bagian terkait adanya kendala yang menghambat proses pekerjaan dan melakukan koordinasi dengan bagian terkait"/>
  </r>
  <r>
    <x v="13"/>
    <n v="1"/>
    <s v="Proses data untuk keperluan laporan keuangan regular ke OJK (cadangan, laporan operasional, laporan aktuaris, laporan rencana bisnis, laporan IFRS 17, data polis, laporan VONB, dll)"/>
    <s v="Pembuatan laporan untuk dikirim ke OJK sesuai dengan batas waktu yang telah ditentukan."/>
    <x v="1"/>
    <n v="13"/>
    <n v="3"/>
    <n v="3"/>
    <n v="2"/>
    <n v="2"/>
    <n v="3"/>
    <s v="Tidak ada proses manual"/>
    <n v="5"/>
    <s v="Segera menginformasikan kepada bagian terkait atas kendala di pihak ke-3 tersebut yang berdampak pada keterlambatan proses perhitungan laporan ke OJK"/>
  </r>
  <r>
    <x v="13"/>
    <n v="2"/>
    <s v="Proses data untuk keperluan laporan internal (expense loading, VoNB, EV)"/>
    <s v="Pembuatan laporan untuk keperluan internal dan management."/>
    <x v="0"/>
    <n v="9"/>
    <n v="3"/>
    <n v="3"/>
    <n v="1"/>
    <n v="1"/>
    <n v="1"/>
    <s v="Tidak ada proses manual"/>
    <n v="5"/>
    <s v="Segera menginformasikan kepada bagian terkait atas kendala di pihak ke-3 tersebut yang berdampak pada keterlambatan proses perhitungan laporan internal"/>
  </r>
  <r>
    <x v="13"/>
    <n v="3"/>
    <s v="Proses experience study (tingkat mortalita, tingkat polis lapse, loss ratio, biaya)"/>
    <s v="Untuk menentukan asumsi aktuaria yang digunakan untuk menghitung cadangan dan proyeksi laporan keuangan"/>
    <x v="0"/>
    <n v="9"/>
    <n v="3"/>
    <n v="3"/>
    <n v="1"/>
    <n v="1"/>
    <n v="1"/>
    <s v="Tidak ada proses manual"/>
    <n v="3"/>
    <s v="Segera menginformasikan kepada bagian terkait atas kendala di pihak ke-3 tersebut yang berdampak pada keterlambatan proses perhitungan experience study"/>
  </r>
  <r>
    <x v="14"/>
    <n v="1"/>
    <s v="Melakukan analisis risiko terhadap portofolio asuransi perusahaan dan menentukan kebutuhan reasuransi. Ini melibatkan identifikasi risiko-risiko tertentu, penilaian potensi kerugian, dan menentukan sejauh mana risiko tersebut dapat ditransfer ke reasuransi."/>
    <s v="melakukan reviu terhadap atas risiko yang akan direasuransikan, nilai retensi, TC , Rate,dll"/>
    <x v="4"/>
    <n v="5"/>
    <n v="1"/>
    <n v="1"/>
    <n v="1"/>
    <n v="1"/>
    <n v="1"/>
    <s v="Memang saat ini masih manual , jadi tidak ada impact ke BAU yg sekarang berjalan (Manual)"/>
    <s v="Personel yg mumpuni dalam pengolahan data besar (Spread Sheet minimal)"/>
    <s v="Akan dilakukan secara manual , maka dibutuhkan sistem kecil dibantu IT untuk penyediaan data yg bisa digunakan untuk analisa risiko."/>
  </r>
  <r>
    <x v="14"/>
    <n v="2"/>
    <s v="Bertanggung jawab untuk bernegosiasi dengan perusahaan reasuransi terkait premi, syarat-syarat kontrak, batas retensi (retention limits), dan ketentuan lainnya dalam kontrak reasuransi. Tujuannya adalah untuk memastikan bahwa perusahaan asuransi mendapatkan perlindungan yang sesuai dengan kebutuhan."/>
    <s v="Negosiasi dengan perusahaan reasuransi terkait risiko yang akan ditransfer"/>
    <x v="4"/>
    <n v="5"/>
    <n v="1"/>
    <n v="1"/>
    <n v="1"/>
    <n v="1"/>
    <n v="1"/>
    <s v="Memang saat ini masih manual , jadi tidak ada impact ke BAU yg sekarang berjalan (Manual)"/>
    <s v="Personel yg mumpuni dalam pengolahan data besar (Spread Sheet minimal)"/>
    <s v="Akan dilakukan secara manual , maka dibutuhkan sistem kecil dibantu IT untuk penyediaan data yg bisa digunakan untuk analisa risiko."/>
  </r>
  <r>
    <x v="14"/>
    <n v="3"/>
    <s v="Melakukan manajemen portofolio reasuransi perusahaan, termasuk mengelola kontrak reasuransi yang ada, meninjau dan menilai kinerja reasuransi, serta membuat keputusan terkait perubahan yang diperlukan."/>
    <s v="Reviu terhadap kontrak/treaty yang sudah berjalan"/>
    <x v="4"/>
    <n v="5"/>
    <n v="1"/>
    <n v="1"/>
    <n v="1"/>
    <n v="1"/>
    <n v="1"/>
    <s v="Review berkala berbasis checklist dan KPI."/>
    <s v="Dokumentasi perjanjian reasuransi di bagian legal."/>
    <s v="Centralized database kontrak reasuransi."/>
  </r>
  <r>
    <x v="14"/>
    <n v="4"/>
    <s v="Patuhi regulasi asuransi dan reasuransi yang berlaku di wilayah Indonesia. Ini mencakup pelaporan yang diperlukan kepada regulator."/>
    <s v="Laporan reasuransi ke regulator (OJK)"/>
    <x v="0"/>
    <n v="10"/>
    <n v="2"/>
    <n v="2"/>
    <n v="2"/>
    <n v="2"/>
    <n v="2"/>
    <s v="Review berkala berbasis checklist dan KPI."/>
    <s v="Centralized compliance checklist &amp; kalender pelaporan."/>
    <s v="Four-eyes review sebelum pelaporan."/>
  </r>
  <r>
    <x v="15"/>
    <n v="1"/>
    <s v="Pendaftaran kepesertaan "/>
    <s v="Menerima pengajuan kepesertaan baik penambahan, pengurangan, perubahan plan dari PIC perusahaan melalui email dan memastikan pengajuan telah lengkap pengisian pada form pendaftaran untuk diproses lebih lanjut ke bagian New Business Administration (NBA)"/>
    <x v="1"/>
    <n v="13"/>
    <n v="2"/>
    <n v="3"/>
    <n v="3"/>
    <n v="3"/>
    <n v="2"/>
    <s v="1. Menerima permintaan penambahan/pengurangan peserta melalui email._x000a_2. Memverifikasi data berdasarkan dokumen yang dikirim PIC._x000a_3. Mengirimkan permintaan penambahan/pengurangan peserta ke Membership Via email atau hard copy._x000a_4. Memberikan konfirmasi penerimaan kepada PIC melalui email._x000a_5. Data akan di-input kembali setelah sistem pulih"/>
    <s v="1. Dua SDM staf administrasi kepesertaan._x000a_2. Akses email aktif_x000a_3. Template Excel untuk pendaftaran peserta_x000a_4. Master data kepesertaan (backup EOD)_x000a_5. Akses Komunikasi via telepon/WA internal"/>
    <s v="1. Menginformasikan ke PIC Perusahaan mengenai keterlambatan proses._x000a_2. Prioritaskan peserta yang butuh urgent penjaminan dan pengajuan klaim._x000a_3. Koordinasi dengan departement terkait dilanjutkan sampai sistem pulih_x000a_4. Memberikan estimasi waktu pemulihan dan update berkala"/>
  </r>
  <r>
    <x v="15"/>
    <n v="2"/>
    <s v="Penanganan penyelesaian pertanyaan/keluhan melalui email dan telepon baik dari PIC perusahaan, team marketing dan peserta"/>
    <s v="Memberikan penjelasan, informasi, report atas pertanyaan, keluhan, permintaan yang diterima melalui email dan telepon dari PIC perusahaan, team Marketing, maupun peserta mengenai pengajuan klaim, benefit asuransi, telemedicine, kepesertaan, dan permintaan report dari Marketing"/>
    <x v="2"/>
    <n v="17"/>
    <n v="2"/>
    <n v="4"/>
    <n v="3"/>
    <n v="4"/>
    <n v="4"/>
    <s v="1. Mencatat setiap keluhan/pertanyaan pada Form Komplain Manual (Excel)._x000a_2. Memberikan jawaban berdasarkan data offline yang tersedia (master data EOD)_x000a_3. Memberikan update status kepada PIC/Marketing secara berkala melalui email/telpon"/>
    <s v="1. Dua SDM Customer Survice_x000a_2. File master data kepesertaan offline_x000a_3. Pencatatan komplain manual (Excel/Google Sheet)_x000a_4. Akses informasi benefit (table manfaat offline)"/>
    <s v="1. Mengirimkan pemberitahuan resmi kepada PIC/Marketing tentang keterlambatan respons_x000a_2. Menyampaikan informasi kebutuhan apa saja yang diperlukan secara offline untuk service ke nasabah_x000a_3. Menangani keluhan kategori urgent terlebih dahulu_x000a_4. Melakukan eskalasi ke atasan apabila ada keluhan yang membutuhkan penyelesain ke atasan._x000a_Memberikan update berkala sampai layanan normal"/>
  </r>
  <r>
    <x v="16"/>
    <n v="1"/>
    <s v="Proses penjualan produk dan pengiriman proposal penawaran melalui email dan atau telp"/>
    <s v="Menawarkan asuransi kepada calon nasabah dan nasabah yang akan renewal melalui email dan atau telp kondisi pada saat server down"/>
    <x v="2"/>
    <n v="18"/>
    <n v="5"/>
    <n v="5"/>
    <n v="3"/>
    <n v="3"/>
    <n v="2"/>
    <s v="Komunikasi via email pribadi atau telepon by handphone "/>
    <s v="Email"/>
    <s v="Konfirmasi dan komunikasi via email pribadi atau telepon by handphone ke PIC perusahaan"/>
  </r>
  <r>
    <x v="16"/>
    <n v="2"/>
    <s v="Persetujuan pemberian referral fee"/>
    <s v="Untuk produksi New Business dan Renewal Business yang ada referral fee kepada PIC Perusahaan (Contact Person) dan Agent ELI mapun Agent Non ELI perlu dilakukan persetujuan pada sistem group insurance"/>
    <x v="1"/>
    <n v="13"/>
    <n v="2"/>
    <n v="5"/>
    <n v="2"/>
    <n v="2"/>
    <n v="2"/>
    <s v="Tidak bisa manual proses, sehingga harus menunggu sistem group insurance kembali beroperasi"/>
    <s v="Sistem Group Insurance"/>
    <s v="Konfirmasi kepada penerima referral fee bahwa telah terjadi gangguan pada sistem sehingga adanya pending untuk pembayaran referral fee"/>
  </r>
  <r>
    <x v="17"/>
    <n v="1"/>
    <s v="Pengiriman campaign"/>
    <s v="Mengirimkan pesan kepada nasabah melalui WA, email atau web portal"/>
    <x v="0"/>
    <n v="6"/>
    <n v="1"/>
    <n v="1"/>
    <n v="1"/>
    <n v="2"/>
    <n v="1"/>
    <s v="Menghubungi IT dan vendor untuk koordinasi agar pengiriman dapat dijalankan menggunakan sistem secepatnya."/>
    <s v="1 Engagement Programming dan 1 IT"/>
    <s v="Membatalkan pengiriman campaign yang udah direncanakan."/>
  </r>
  <r>
    <x v="17"/>
    <n v="2"/>
    <s v="Penyelenggaraan online event"/>
    <s v="Menyelenggarakan webinar mengenai kesehatan, financial planning untuk nasabah segmen tertentu"/>
    <x v="0"/>
    <n v="6"/>
    <n v="1"/>
    <n v="1"/>
    <n v="1"/>
    <n v="2"/>
    <n v="1"/>
    <s v="Menghubungi IT apabila ada kendala jaringan agar media online tetap dapat berjalan."/>
    <s v="1 Engagement Programming dan 1 IT"/>
    <s v="Menggunakan jaringan internet back up dari IT."/>
  </r>
  <r>
    <x v="17"/>
    <n v="3"/>
    <s v="Pengajuan transaksi melalui web portal nasabah"/>
    <s v="Nasabah dapat mengajukan transaksi tertentu seperti pengkinian data, top up tunggal, ubah ahli waris melalui web portal nasabah (My eLife)"/>
    <x v="0"/>
    <n v="7"/>
    <n v="1"/>
    <n v="1"/>
    <n v="2"/>
    <n v="2"/>
    <n v="1"/>
    <s v="Pengajuan dilakukan secara manual."/>
    <s v="1 Contact Center, 1 CX POS dan 1 IT"/>
    <s v="Nasabah diarahkan untuk melakukan pengajuan transaksi secara manual melalui sarana lainnya seperti menghubungi Contact Center atau datang ke kantor pemasaran terdekat. "/>
  </r>
  <r>
    <x v="18"/>
    <n v="1"/>
    <s v="Internal Kontrol"/>
    <s v="1) Melakukan verifikasi transaksi harian yang diajukan oleh nasabah dan diproses oleh Branch Services pada aplikasi EDITS_x000a_2) Melakukan verifikasi kesesuaian informasi pada aplikasi EDITS dengan informasi yang diinput  pada aplikasi E-BASE (PL) oleh Individual Customer Solution_x000a_3) Hasil verifikasi audit dokumen diproses pada aplikasi EDITS dengan menambahkan audit proses dan audit status_x000a__x000a_Frekuensi: Harian"/>
    <x v="1"/>
    <n v="11"/>
    <n v="1"/>
    <n v="2"/>
    <n v="3"/>
    <n v="2"/>
    <n v="3"/>
    <s v="Verifikasi dapat dilakukan dengan pengecekan dokumen pengajuan transaksi harian (pada Kantor Pemasaran yang menjadi objek pemeriksaan oleh Internal Kontrol) sesuai mekanisme yang diterapkan oleh Branch Services dan Individual Customer Solution"/>
    <s v="SDM: 1 personil_x000a_Sistem: E-DITS dan PL_x000a_Network: Email dan VPN_x000a_Hardware: Laptop"/>
    <s v="- Proses verifikasi dilakukan secara manual, dokumen yang dikirimkan oleh Branch Service kepada Individual Customer Solution diteruskan kepada Internal Kontrol_x000a_- Request database nasabah kepada Divisi IT Operation untuk verifikasi data nasabah_x000a_- Request rekaman telefon konfirmasi oleh Individual Customer Solution kepada nasabah kepada Divisi IT Operation "/>
  </r>
  <r>
    <x v="18"/>
    <n v="2"/>
    <s v="Penyusunan Rencana Audit Tahunan"/>
    <s v="1) Audit Internal menyusun daftar audit universe setiap tahunan_x000a_2) Audit Internal melakukan evaluasi/penilaian risiko dari setiap audit universe dengan menggunakan beberapa faktor _x000a_3) Menentukan penyesuaian prioritas audit Divisi / Departemen / Kantor Pemasaran) berdasarkan risiko _x000a__x000a_Frekuensi: Tahunan / Adhoc (jika terdapat kebutuhan untuk penilaian kembali)"/>
    <x v="0"/>
    <n v="6"/>
    <n v="1"/>
    <n v="1"/>
    <n v="1"/>
    <n v="1"/>
    <n v="2"/>
    <s v="Penyusunan rencana audit dan evaluasi/penilaian risiko dilakukan secara manual berdasarkan informasi yang diterima oleh divisi terkait (Risk Management, Compliance, Legal, Corporate Secretary dan Business Support)"/>
    <s v="SDM: 1 personil_x000a_Network: Email / Sharing folder dan VPN_x000a_Hardware: Laptop"/>
    <s v="Aktivitas penyusunan rencana audit tahunan masih dapat berjalan karena kertas kerja dilakukan secara manual"/>
  </r>
  <r>
    <x v="18"/>
    <n v="3"/>
    <s v="Audit Rutin Divisi / Departemen dan Kantor Pemasaran"/>
    <s v="1) Audit Internal melakukan penyusunan detail untuk penugasan yang memuat ruang lingkup tujuan audit, pendekatan audit, jadwal audit dan sumber daya dan kriteria audit secara spesifik._x000a_2) pada saat awal pelaksanaan penugasan pemeriksaan akan diawali dengan pertemuan dengan auditee (audit entrance meeting)_x000a_3) Auditor melakukan pengumpulan bukti, wawancara, dan pengujian sesuai dengan Audit Program yang telah disetujui serta mendokumentasikan semua working paper secara rapi dan sistematis_x000a_4) pada saat akhir pelaksanaan penugasan pemeriksaan akan diakhiri dengan pertemuan penutupan audit dengan auditee (audit exit meeting). _x000a_5) Audit Internal menyusun Draft Laporan Hasil Pemeriksaan/Audit setelah exit meeting_x000a_6) Audit Internal akan melakukan penyusunan final laporan maksimal dan menyampaikan kepada Board of Management, Dewan Komisaris melalui Komite Audit dan Audit Internal holding._x000a__x000a_Frekuensi: Harian"/>
    <x v="4"/>
    <n v="5"/>
    <n v="1"/>
    <n v="1"/>
    <n v="1"/>
    <n v="1"/>
    <n v="1"/>
    <s v="Pengumpulan bukti, wawancara, dan pengujian dilakukan melalui verifikasi dokumen hardcopy_x000a_Jika dokumen atau data terdapat pada aplikasi/sistem yang terganggu maka diperlukan generate data dari divisi IT operation atau dokumen pendukung lainnya (email korespondensi)"/>
    <s v="SDM: 2 personil_x000a_Network: Email / Sharing folder dan VPN_x000a_Aplikasi: Tergantung ruang lingkup audit_x000a_Hardware: Laptop"/>
    <s v="- Proses verifikasi dilakukan secara manual, dokumen yang diproses oleh auditee di kantor pemasaran / kantor pusat diteruskan kepada Internal Audit_x000a_- Permintaan hardcopy dokumen apabila softcopy tidak dapat diakses_x000a_- Request database nasabah kepada Divisi IT Operation untuk verifikasi (jika dibutuhkan, tergantung ruang lingkup audit)_x000a__x000a_Namun apabila gangguan berdampak pada ruang lingkup pemeriksaan, perlu adanya extend audit prosedur terkait gangguan tersebut"/>
  </r>
  <r>
    <x v="18"/>
    <n v="4"/>
    <s v="Pemantauan Tindak Lanjut Rekomendasi Audit Internal"/>
    <s v="Audit Internal melakukan pemantauan atas tindak lanjut rekomendasi dari  hasil temuan pemeriksaan/audit termasuk dalam hal terdapat temuan dari hasil pemeriksaaan Auditor Eksternal yang perlu ditindaklanjuti  Perusahaan, melalui: Verifikasi bukti fisik atau dokumen pelaksanaan, _x000a_Permintaan laporan status secara berkala dari auditee dan melakukan tindak lanjut (Follow-up) pemeriksaan/audit jika diperlukan. _x000a__x000a_Frekuensi: Bulanan"/>
    <x v="4"/>
    <n v="5"/>
    <n v="1"/>
    <n v="1"/>
    <n v="1"/>
    <n v="1"/>
    <n v="1"/>
    <s v="Pemantauan tindak lanjut rekomendasi audit dilakukan secara manual melalui email kepada PIC terkait"/>
    <s v="SDM: 1 personil_x000a_Network: Email / Sharing folder dan VPN_x000a_Aplikasi: Tergantung ruang lingkup audit_x000a_Hardware: Laptop"/>
    <s v="Aktivitas pemantauan penyelesaian tindak lanjut audit dapat berjalan karena kertas kerja dilakukan secara manual pada PD"/>
  </r>
  <r>
    <x v="18"/>
    <n v="5"/>
    <s v="Pelaporan Hasil Audit Internal"/>
    <s v="Audit Internal menyusun laporan kemajuan tindak lanjut secara triwulanan yang mencakup: Daftar rekomendasi, Status implementasi/pelaksanaan, Keterangan kendala atau penyebab keterlambatan, evaluasi efektivitas Tindakan serta Rekomendasi tambahan (jika ada).  _x000a_Frekuensi: Triwulanan_x000a__x000a_Audit Internal menyusun laporan Hasil Audit semesteran untuk kebutuhan pelaporan kepada OJK_x000a_Frekuensi: Semesteran"/>
    <x v="0"/>
    <n v="6"/>
    <n v="1"/>
    <n v="1"/>
    <n v="1"/>
    <n v="1"/>
    <n v="2"/>
    <s v="Penyusunan laporan hasil audit dan laporan tindak lanjut dilakukan secara manual "/>
    <s v="SDM: 1 personil_x000a_Network: Email / Sharing folder dan VPN_x000a_Aplikasi: Tergantung ruang lingkup audit_x000a_Hardware: Laptop"/>
    <s v="Aktivitas pemantauan penyelesaian tindak lanjut audit dapat berjalan karena kertas kerja dilakukan secara manual"/>
  </r>
  <r>
    <x v="19"/>
    <n v="1"/>
    <s v="Persistency &amp; Churn (Lapse &amp; Surrender) Monitoring"/>
    <s v="Analisis kebijakan yang akan lapse untuk segera dilakukan tindakan retensi"/>
    <x v="0"/>
    <n v="9"/>
    <n v="3"/>
    <n v="1"/>
    <n v="1"/>
    <n v="3"/>
    <n v="1"/>
    <s v="Jika akses ke Data Warehouse terputus, langkah manual yang harus diambil adalah:_x000a_1. Local spreadsheet database. Menggunakan data backup terakhir disimpan di sharing folder dan diproteksi password_x000a_2. Raw data extraction. Koordinasi dengan tim data, apakah bisa dilakukan penarikan data secara manual oleh tim teknis"/>
    <s v="Untuk menjalankan proses prioritas high, dibutuhkan 2 orang, (1 team Customer Analytics &amp; Insight, 1 Data Engineer)_x000a__x000a_Aplikasi menggunakan Metabase"/>
    <s v="Memberikan data atau insight kepada tim lain menggunakan arsip bulan lalu untuk menjaga aktivitas churn monitoring serta aktivitas penjualan"/>
  </r>
  <r>
    <x v="19"/>
    <n v="2"/>
    <s v="Campaign Lead Generation"/>
    <s v="Kehilangan data calon nasabah yang memberikan respon positif dari campaign engagement yang dilakukan"/>
    <x v="0"/>
    <n v="7"/>
    <n v="1"/>
    <n v="1"/>
    <n v="3"/>
    <n v="1"/>
    <n v="1"/>
    <s v="Jika akses ke Data Warehouse terputus, langkah manual yang harus diambil adalah:_x000a_1. Local spreadsheet database. Menggunakan data backup terakhir disimpan di sharing folder dan diproteksi password_x000a_2. Raw data extraction. Koordinasi dengan tim data, apakah bisa dilakukan penarikan data secara manual oleh tim teknis"/>
    <s v="Untuk menjalankan proses prioritas high, dibutuhkan 2 orang, (1 team Customer Analytics &amp; Insight, 1 Data Engineer)_x000a__x000a_Aplikasi menggunakan CRM, SVOC, dan Metabase "/>
    <s v="Memberikan data atau insight kepada tim lain menggunakan arsip bulan lalu untuk menjaga aktivitas churn monitoring serta aktivitas penjualan"/>
  </r>
  <r>
    <x v="19"/>
    <n v="3"/>
    <s v="Customer Segmentation &amp; Profiling"/>
    <s v="Pengelompokan nasabah untuk strategi customer engagement yang relevan"/>
    <x v="0"/>
    <n v="7"/>
    <n v="1"/>
    <n v="1"/>
    <n v="3"/>
    <n v="1"/>
    <n v="1"/>
    <s v="Jika akses ke Data Warehouse terputus, langkah manual yang harus diambil adalah:_x000a_1. Local spreadsheet database. Menggunakan data backup terakhir disimpan di sharing folder dan diproteksi password_x000a_2. Raw data extraction. Koordinasi dengan tim data, apakah bisa dilakukan penarikan data secara manual oleh tim teknis"/>
    <s v="Aplikasi menggunakan Metabase"/>
    <s v="Memberikan data atau insight kepada tim lain menggunakan arsip bulan lalu untuk menjaga aktivitas churn monitoring serta aktivitas penjualan"/>
  </r>
  <r>
    <x v="20"/>
    <n v="1"/>
    <s v="Penempatan dan pencairan deposito"/>
    <s v="- Melakukan transaksi penempatan dan pencairan deposito bank melalui surat menyurat yang dikirim baik fisik dan via email serta konfirmasi transaksi melalui telepon"/>
    <x v="0"/>
    <n v="6"/>
    <n v="2"/>
    <n v="1"/>
    <n v="1"/>
    <n v="1"/>
    <n v="1"/>
    <s v="- Mempersiapkan dokumentasi terkait deposito._x000a_- Melakukan koordinasi dengan Finance department untuk dapat melakukan transfer dana secara manual atas penempatan._x000a_- Mengirimkan dokumen instruksi atau konfirmasi dokumen via Whatsapp  maupun via kurir kepada pihak bank."/>
    <s v="Jumlah SDM atas Proses Critical: Seluruh tim investment"/>
    <s v=" Proses manual terus dijalankan hingga Sistem berjalan normal kembali"/>
  </r>
  <r>
    <x v="20"/>
    <n v="2"/>
    <s v="Pembelian &amp; penjualan reksa dana dan obligasi (SUN dan obligasi korporasi)"/>
    <s v="- Melakukan transaksi pembelian dan penjualan reksa dana melalui Manajer Investasi (MI) yang dokumennya dikirimkan via email dan dikonfirmasi via telpon_x000a_- Melakukan transaksi pembelian dan penjualan obligasi melalui Bank/Sekuritas yang dokumennya dikirimkan via email dan dikonfirmasi via telpon"/>
    <x v="0"/>
    <n v="8"/>
    <n v="3"/>
    <n v="2"/>
    <n v="1"/>
    <n v="1"/>
    <n v="1"/>
    <s v="- Mempersiapkan dokumentasi terkait reksadana dan obligasi._x000a_- Mengirimkan dokumen instruksi atau konfirmasi dokumen via Whatsapp dan fisik (apabila diperlukan) kepada pihak MI/Bank/Sekuritas._x000a_- Melakukan koordinasi dengan Finance department untuk melakukan transfer dana secara manual atas pembelian reksa dana._x000a_"/>
    <s v="Jumlah SDM atas Proses Critical: Seluruh tim investment"/>
    <s v=" Proses manual terus dijalankan hingga Sistem berjalan normal kembali"/>
  </r>
  <r>
    <x v="20"/>
    <n v="3"/>
    <s v="Pembelian dan penjualan reksa dana ETF dan Saham"/>
    <s v="- Melakukan transaksi pembelian dan penjualan reksa dana ETF dan Saham melalui konfirmasi via telpon ke Sekuritas"/>
    <x v="0"/>
    <n v="9"/>
    <n v="4"/>
    <n v="2"/>
    <n v="1"/>
    <n v="1"/>
    <n v="1"/>
    <s v="- Memantau pergerakan harga Saham dan ETF melalui aplikasi HP_x000a_- Menghubungi pihak Sekuritas via HP untuk tranksasi beli dan jual ETF dan saham_x000a_- Mempersiapkan dokumentasi terkait transaksi ETF dan saham_x000a_- Melakukan koordinasi dengan Finance department untuk dapat melakukan transfer dana secara manual atas pembelian ETF dan saham"/>
    <s v="Jumlah SDM atas Proses Critical: Seluruh tim investment"/>
    <s v=" Proses manual terus dijalankan hingga Sistem berjalan normal kembali"/>
  </r>
  <r>
    <x v="20"/>
    <n v="4"/>
    <s v="Proyeksi cashflow"/>
    <s v="- Mendapatkan informasi arus kas dari Finance department via email"/>
    <x v="0"/>
    <n v="8"/>
    <n v="3"/>
    <n v="2"/>
    <n v="1"/>
    <n v="1"/>
    <n v="1"/>
    <s v="- Mempersiapkan dokumentasi terkait cashflow_x000a_- Berkoordinasi secara langsung dengan Finance department"/>
    <s v="Jumlah SDM atas Proses Critical: Seluruh tim investment"/>
    <s v=" Proses manual terus dijalankan hingga Sistem berjalan normal kembali"/>
  </r>
  <r>
    <x v="20"/>
    <n v="5"/>
    <s v="Konfirmasi dan instruksi unit link"/>
    <s v="- Membuat dan mengirimkan konfirmasi dan instruksi transaksi unit link kepada Bank Kustodian dan Accounting unit link via email, dan dikonfirmasi via telpon"/>
    <x v="0"/>
    <n v="8"/>
    <n v="3"/>
    <n v="2"/>
    <n v="1"/>
    <n v="1"/>
    <n v="1"/>
    <s v="- Mempersiapkan dokumentasi unit link_x000a_- Mengirimkan instruksi dan konfirmasi unit link via Whatsapp dan Email dari HP._x000a_- Mengirimkan dokumen hard copy via kurir._x000a_- Follow up ke pihak Bank Kustodian terkait konfirmasi penerimaan instruksi yang sudah dikirimkan._x000a_"/>
    <s v="Jumlah SDM atas Proses Critical: Seluruh tim investment"/>
    <s v=" Proses manual terus dijalankan hingga Sistem berjalan normal kembali"/>
  </r>
  <r>
    <x v="21"/>
    <n v="1"/>
    <s v="Pemenuhan Kewajiban Kepatuhan Regulator"/>
    <s v="Pemantauan, pemenuhan, dan pelaporan kewajiban hukum &amp; regulator (OJK/BI/otoritas terkait)_x000a_"/>
    <x v="3"/>
    <n v="21"/>
    <n v="5"/>
    <n v="4"/>
    <n v="4"/>
    <n v="4"/>
    <n v="4"/>
    <s v="Monitoring manual via regulasi cetak/PDF, komunikasi email/telepon, Pelaporan manual berbasis dokumen fisik &amp; email resmi"/>
    <s v="Legal &amp; Compliance Officer, akses regulasi, laptop, email"/>
    <s v="Eskalasi ke Direksi, lakukan pelaporan manual tertulis, dokumentasikan keterlambatan &amp; justifikasi keterlambatan"/>
  </r>
  <r>
    <x v="21"/>
    <n v="2"/>
    <s v="Penanganan Insiden Hukum &amp; Kepatuhan"/>
    <s v="Penanganan pelanggaran hukum, sengketa, dan insiden kepatuhan_x000a_"/>
    <x v="3"/>
    <n v="21"/>
    <n v="4"/>
    <n v="4"/>
    <n v="4"/>
    <n v="4"/>
    <n v="5"/>
    <s v="Pelaporan insiden via email/telepon, log manual, notulen rapat"/>
    <s v="Tim Legal, Compliance, Manajemen"/>
    <s v="Bentuk crisis team, lakukan keputusan sementara berbasis risk acceptance"/>
  </r>
  <r>
    <x v="21"/>
    <n v="3"/>
    <s v="Review &amp; Persetujuan Kontrak"/>
    <s v="Review perjanjian dengan pihak ketiga, vendor, dan mitra_x000a_"/>
    <x v="1"/>
    <n v="15"/>
    <n v="3"/>
    <n v="3"/>
    <n v="3"/>
    <n v="3"/>
    <n v="3"/>
    <s v="Review dokumen fisik, tanda tangan basah"/>
    <s v="Legal Officer, template kontrak"/>
    <s v="Tunda kontrak non-kritis, gunakan klausul standar darurat"/>
  </r>
  <r>
    <x v="21"/>
    <n v="4"/>
    <s v="Manajemen Dokumen Hukum &amp; Kepatuhan"/>
    <s v="Penyimpanan, pengarsipan, dan akses dokumen legal &amp; compliance_x000a_"/>
    <x v="1"/>
    <n v="13"/>
    <n v="2"/>
    <n v="3"/>
    <n v="3"/>
    <n v="2"/>
    <n v="3"/>
    <s v="Arsip fisik, indeks dokumen manual"/>
    <s v="Legal Officer, lemari arsip"/>
    <s v="Batasi akses dokumen, buat daftar prioritas pemulihan untuk dokumen kritikal"/>
  </r>
  <r>
    <x v="21"/>
    <n v="5"/>
    <s v="Pemantauan Risiko Kepatuhan"/>
    <s v="Identifikasi dan mitigasi risiko hukum &amp; kepatuhan_x000a_"/>
    <x v="2"/>
    <n v="16"/>
    <n v="3"/>
    <n v="3"/>
    <n v="3"/>
    <n v="3"/>
    <n v="4"/>
    <s v="Risk register manual, rapat koordinasi"/>
    <s v="Compliance Officer"/>
    <s v="Lakukan penilaian risiko manual &amp; laporkan ke manajemen"/>
  </r>
  <r>
    <x v="21"/>
    <n v="6"/>
    <s v="Pelaporan Internal &amp; Manajemen"/>
    <s v="Penyusunan laporan kepatuhan ke manajemen"/>
    <x v="1"/>
    <n v="11"/>
    <n v="2"/>
    <n v="2"/>
    <n v="2"/>
    <n v="2"/>
    <n v="3"/>
    <s v="Penyusunan laporan manual (Word/Excel offline)"/>
    <s v="Compliance Officer"/>
    <s v="Gabungkan laporan, fokus isu high risk"/>
  </r>
  <r>
    <x v="21"/>
    <n v="7"/>
    <s v="Sosialisasi &amp; Pelatihan Kepatuhan_x000a_"/>
    <s v="Edukasi internal terkait regulasi dan kebijakan"/>
    <x v="0"/>
    <n v="6"/>
    <n v="1"/>
    <n v="1"/>
    <n v="1"/>
    <n v="1"/>
    <n v="2"/>
    <s v="Sosialisasi tatap muka &amp; materi cetak"/>
    <s v="Compliance Officer"/>
    <s v="Ditunda sementara"/>
  </r>
  <r>
    <x v="21"/>
    <n v="8"/>
    <s v="Monitoring Perubahan Regulasi"/>
    <s v="Pemantauan update regulasi baru"/>
    <x v="1"/>
    <n v="15"/>
    <n v="3"/>
    <n v="3"/>
    <n v="2"/>
    <n v="3"/>
    <n v="4"/>
    <s v="Monitoring manual website regulator"/>
    <s v="Compliance Officer"/>
    <s v="Fokus regulasi berdampak tinggi saja"/>
  </r>
  <r>
    <x v="22"/>
    <n v="1"/>
    <s v="Pengelolaan Penyimpanan Kode Sumber (Source Code Management)"/>
    <s v="Mengelola seluruh kode sumber aplikasi dalam penyimpanan digital terpusat, memastikan integritas riwayat versi (versioning), dan menjamin pembaruan terkini selalu tersedia bagi kolaborasi tim pengembang._x000a_⚠️ Tools: GitLab"/>
    <x v="3"/>
    <n v="24"/>
    <n v="5"/>
    <n v="5"/>
    <n v="5"/>
    <n v="5"/>
    <n v="4"/>
    <s v="Developer menyimpan kode di laptop masing-masing. Pertukaran kode antar tim dilakukan manual menggunakan media fisik (Flashdisk/Harddisk) yang aman."/>
    <s v="Laptop Developer, Harddisk Eksternal Terenkripsi."/>
    <s v="Berlakukan Code Freeze. Hentikan pengembangan fitur baru. Fokus tim dialihkan sepenuhnya untuk pemulihan repositori kode."/>
  </r>
  <r>
    <x v="22"/>
    <n v="2"/>
    <s v="Penyediaan Infrastruktur Server (Provisioning)"/>
    <s v="Menyediakan server dan kebutuhan komputasi secara otomatis melalui kode perintah, memungkinkan pembuatan lingkungan sistem baru dalam hitungan menit sesuai standar perusahaan._x000a__x000a_⚠️ Tools: Terraform, Ansible, VMware vCenter."/>
    <x v="3"/>
    <n v="24"/>
    <n v="5"/>
    <n v="5"/>
    <n v="5"/>
    <n v="5"/>
    <n v="4"/>
    <s v="Setup Manual: Tim infrastruktur masuk ke panel kontrol data center/cloud dan membuat server baru dengan mengklik tombol satu per satu secara manual."/>
    <s v="Akses Server"/>
    <s v="Hentikan penambahan server baru. Optimalkan server yang sudah ada. Tolak permintaan lingkungan tes baru."/>
  </r>
  <r>
    <x v="22"/>
    <n v="3"/>
    <s v="Penanganan Pelaporan Insiden Teknis (Incident Management)"/>
    <s v="Mengelola alur pelaporan gangguan teknis secara terpusat, memastikan setiap keluhan dicatat, diberi prioritas, dan ditangani oleh teknisi yang tepat hingga tuntas._x000a__x000a_⚠️ Tools: JIRA"/>
    <x v="3"/>
    <n v="24"/>
    <n v="5"/>
    <n v="5"/>
    <n v="5"/>
    <n v="5"/>
    <n v="4"/>
    <s v="Pencatatan Manual: Menggunakan papan tulis (Whiteboard) di ruang kontrol atau Spreadsheet Excel bersama untuk mencatat antrian perbaikan masalah."/>
    <s v="Papan Tulis, Spidol, Excel, Telepon."/>
    <s v="Prioritaskan hanya insiden Kritis (System Down). Abaikan/tunda pencatatan keluhan minor (bug kecil) hingga sistem tiket pulih."/>
  </r>
  <r>
    <x v="22"/>
    <n v="4"/>
    <s v="CORE System Production"/>
    <s v="Operational Utama , Transaksi , Customer _x000a__x000a_System: PL, Group Core, AJK core"/>
    <x v="3"/>
    <n v="24"/>
    <n v="5"/>
    <n v="5"/>
    <n v="5"/>
    <n v="5"/>
    <n v="4"/>
    <s v="Jika Core System tidak dapat diakses, seluruh transaksi bisnis tetap dijalankan menggunakan formulir manual atau file Excel offline dengan mencatat secara lengkap tanggal, waktu, jenis transaksi, nilai, dan pengguna, kemudian setiap transaksi harus mendapat persetujuan Manager, disimpan dengan aman, dan setelah sistem pulih seluruh data tersebut diinput kembali ke sistem untuk dilakukan rekonsiliasi agar tidak terjadi kehilangan atau duplikasi data"/>
    <s v="Harus tersedia form transaksi manual, PC offline, printer, dari manager berwenang agar transaksi tetap berjalan saat sistem core down._x000a_"/>
    <s v="Jika Core System belum pulih melewati RTO, maka operasional dialihkan penuh ke prosedur manual dan diputuskan aktivasi Disaster Recovery System oleh manajemen."/>
  </r>
  <r>
    <x v="22"/>
    <n v="5"/>
    <s v="Database &amp; Storage"/>
    <s v="Menyimpan Data Transaksi dan data bisnis"/>
    <x v="3"/>
    <n v="24"/>
    <n v="5"/>
    <n v="5"/>
    <n v="5"/>
    <n v="5"/>
    <n v="4"/>
    <s v="Apabila database atau storage mengalami gangguan, operasional bisnis dijalankan menggunakan data cadangan terakhir yang tersedia, sementara data baru dicatat secara manual atau offline, lalu setelah sistem kembali normal seluruh data hasil pencatatan manual dimasukkan kembali ke sistem dan diverifikasi dengan backup terakhir untuk menjaga integritas data."/>
    <s v="Tersedia backup data yang dapat diakses dan satu administrator untuk memastikan pemulihan dan integritas data."/>
    <s v="Jika database belum tersedia melewati RTO, maka dilakukan restore dari backup ke sistem DR agar data dan aplikasi bisa kembali digunakan"/>
  </r>
  <r>
    <x v="22"/>
    <n v="6"/>
    <s v="Network &amp; Internet"/>
    <s v="Konektivitas seluruh system"/>
    <x v="3"/>
    <n v="24"/>
    <n v="5"/>
    <n v="5"/>
    <n v="5"/>
    <n v="5"/>
    <n v="4"/>
    <s v="Ketika jaringan atau koneksi internet terputus, operasional dialihkan menggunakan koneksi cadangan seperti mobile hotspot atau jaringan alternatif, dan apabila seluruh koneksi tidak tersedia maka proses bisnis dilakukan secara offline menggunakan formulir manual atau file lokal hingga koneksi kembali normal"/>
    <s v="Tersedia koneksi cadangan dan perangkat failover agar akses sistem tetap tersedia saat jaringan utama gagal / Environment DR yg tersedia."/>
    <s v="Jika jaringan belum pulih melewati RTO, maka seluruh koneksi dialihkan ke link cadangan atau site DR untuk memulihkan akses bisnis"/>
  </r>
  <r>
    <x v="22"/>
    <n v="7"/>
    <s v="Email &amp; Collaboration Tools"/>
    <s v="Komunikasi Bisnis"/>
    <x v="3"/>
    <n v="24"/>
    <n v="5"/>
    <n v="5"/>
    <n v="5"/>
    <n v="5"/>
    <n v="4"/>
    <s v="Jika email dan tools kolaborasi tidak dapat digunakan, komunikasi resmi dilakukan melalui media alternatif seperti WhatsApp, SMS, atau telepon dengan tetap mencatat seluruh keputusan dan instruksi secara manual, lalu setelah sistem email pulih seluruh komunikasi penting dikirim ulang sebagai dokumentasi resmi."/>
    <s v="Tersedia media komunikasi alternatif dan daftar kontak darurat agar koordinasi tetap berjalan saat email down."/>
    <s v="Jika email belum pulih melewati RTO, maka komunikasi resmi dialihkan ke platform alternatif yang ditetapkan dalam BCP sampai layanan utama kembali."/>
  </r>
  <r>
    <x v="22"/>
    <n v="8"/>
    <s v="File Server "/>
    <s v="Dokumen Operational"/>
    <x v="3"/>
    <n v="24"/>
    <n v="5"/>
    <n v="5"/>
    <n v="5"/>
    <n v="5"/>
    <n v="4"/>
    <s v="Saat file server tidak dapat diakses, pengguna bekerja menggunakan salinan file terakhir yang tersedia atau menyimpan dokumen baru di media lokal atau penyimpanan sementara yang aman, kemudian setelah file server kembali normal seluruh dokumen dipindahkan kembali dan diverifikasi untuk memastikan tidak ada data yang tertinggal atau hilang"/>
    <s v="Tersedia backup dan media penyimpanan sementara agar dokumen tetap aman dan dapat dipulihkan"/>
    <s v="Jika file server belum pulih melewati RTO, maka data dipulihkan dari backup ke storage cadangan atau DR site agar user bisa kembali bekerja"/>
  </r>
  <r>
    <x v="22"/>
    <n v="9"/>
    <s v="End User Services (PC , Printer , AD) "/>
    <s v="Produktivitas user "/>
    <x v="2"/>
    <n v="20"/>
    <n v="4"/>
    <n v="4"/>
    <n v="4"/>
    <n v="4"/>
    <n v="4"/>
    <s v="Apabila terjadi gangguan pada PC, printer, atau Active Directory, pengguna beralih menggunakan perangkat Backup, printer alternatif, atau akun temporary yang telah disiapkan, sehingga pekerjaan tetap berjalan dan setelah sistem kembali normal seluruh aktivitas diselaraskan kembali ke lingkungan Production."/>
    <s v="Tersedia perangkat cadangan, akun backup, dan IT support agar pengguna tetap dapat bekerja saat layanan user bermasalah."/>
    <s v="Jika layanan end user belum pulih melewati RTO, maka dilakukan aktivasi environment cadangan atau akun darurat agar operasional tetap berjalan."/>
  </r>
  <r>
    <x v="22"/>
    <n v="10"/>
    <s v="Application Development &amp; Enhancement"/>
    <s v="Pengembangan fitur baru, change request, dan perbaikan aplikasi bisnis."/>
    <x v="2"/>
    <n v="20"/>
    <n v="4"/>
    <n v="4"/>
    <n v="4"/>
    <n v="4"/>
    <n v="4"/>
    <s v="Pengembangan dihentikan sementara. Dokumentasi requirement dan design dilakukan secara offline menggunakan dokumen manual sampai tools development kembali tersedia."/>
    <s v="Akses dokumen requirement, source code repository cadangan, minimal 1 developer dan 1 BA. per project"/>
    <s v="Aktivasi environment alternatif (DR / backup repository) untuk melanjutkan development prioritas kritikal."/>
  </r>
  <r>
    <x v="22"/>
    <n v="11"/>
    <s v="Application Maintenance &amp; Bug Fixing"/>
    <s v="Penanganan defect, bug, dan issue aplikasi produksi"/>
    <x v="2"/>
    <n v="20"/>
    <n v="4"/>
    <n v="4"/>
    <n v="4"/>
    <n v="4"/>
    <n v="4"/>
    <s v="Issue dicatat manual melalui email/WA resmi dan ditangani berdasarkan prioritas kritikal."/>
    <s v="Akses log aplikasi cadangan dan PIC teknis."/>
    <s v="Eskalasi ke prosedur incident management dan aktivasi sistem DR."/>
  </r>
  <r>
    <x v="22"/>
    <n v="12"/>
    <s v="Integration Application 3rd party"/>
    <s v="Integrasi dengan 3rd party via API Servicing"/>
    <x v="2"/>
    <n v="20"/>
    <n v="4"/>
    <n v="4"/>
    <n v="4"/>
    <n v="4"/>
    <n v="4"/>
    <s v="Issue dicatat manual melalui email/WA resmi dan ditangani berdasarkan prioritas kritikal."/>
    <s v="Minimal 1 person for production issue"/>
    <s v="Eskalasi ke prosedur incident management dan aktivasi sistem DR."/>
  </r>
  <r>
    <x v="22"/>
    <n v="13"/>
    <s v="Customer &amp; Partner application users"/>
    <s v="Aplikasi yang digunakan atau bersinggungan dengan Customer dan Partnership"/>
    <x v="2"/>
    <n v="20"/>
    <n v="4"/>
    <n v="4"/>
    <n v="4"/>
    <n v="4"/>
    <n v="4"/>
    <s v="Informasi maintenance pada applikasi yang terdampak"/>
    <s v="Minimal 1 person for production issue"/>
    <s v="Eskalasi ke prosedur incident management dan aktivasi sistem DR."/>
  </r>
  <r>
    <x v="22"/>
    <n v="14"/>
    <s v="Data Ingestion &amp; Integration"/>
    <s v="Pengambilan dan integrasi data dari sistem sumber ke data platform untuk kebutuhan operasional, pelaporan, dan analitik"/>
    <x v="3"/>
    <n v="24"/>
    <n v="5"/>
    <n v="5"/>
    <n v="5"/>
    <n v="5"/>
    <n v="4"/>
    <s v="Data kritikal diekstraksi secara manual (export terkontrol) dari sistem sumber dengan format baku dan disimpan di storage sementara untuk diproses setelah sistem pulih"/>
    <s v="Akses sistem sumber, storage sementara terproteksi, data engineer"/>
    <s v="Aktivasi pipeline cadangan atau environment DR untuk data kritikal dengan scope terbatas dan prioritas tinggi"/>
  </r>
  <r>
    <x v="22"/>
    <n v="15"/>
    <s v="Data Transformation &amp; Processing"/>
    <s v="Proses pembersihan, validasi, dan transformasi data agar siap digunakan oleh data warehouse dan reporting"/>
    <x v="3"/>
    <n v="24"/>
    <n v="5"/>
    <n v="5"/>
    <n v="5"/>
    <n v="5"/>
    <n v="4"/>
    <s v="Proses transformasi dihentikan sementara, backlog data dicatat dan diklasifikasikan berdasarkan prioritas bisnis"/>
    <s v="Script transformasi terversi, dokumentasi data model, data engineer"/>
    <s v="Menjalankan ulang transformasi data prioritas secara incremental menggunakan environment alternatif"/>
  </r>
  <r>
    <x v="22"/>
    <n v="16"/>
    <s v="Data Quality &amp; Reconciliation"/>
    <s v="Monitoring kualitas data dan rekonsiliasi antara data platform dengan sistem sumber"/>
    <x v="3"/>
    <n v="24"/>
    <n v="5"/>
    <n v="5"/>
    <n v="5"/>
    <n v="5"/>
    <n v="4"/>
    <s v="Validasi kualitas data dilakukan secara sampling terbatas menggunakan laporan manual dan data snapshot terakhir yang tersedia"/>
    <s v="Akses laporan sistem sumber, snapshot data warehouse terakhir, data analyst"/>
    <s v="Melakukan rekonsiliasi penuh secara bertahap (high-risk data terlebih dahulu) setelah sistem kembali normal"/>
  </r>
  <r>
    <x v="22"/>
    <n v="17"/>
    <s v="Reporting &amp; Dashboarding"/>
    <s v="Penyediaan laporan manajemen, operasional, dan regulator berbasis data terintegrasi"/>
    <x v="3"/>
    <n v="24"/>
    <n v="5"/>
    <n v="5"/>
    <n v="5"/>
    <n v="5"/>
    <n v="4"/>
    <s v="Laporan disusun manual menggunakan data terakhir yang tersedia dengan template baku dan penanda DR mode"/>
    <s v="File data terakhir, template laporan resmi, data analyst"/>
    <s v="Distribusi laporan manual dengan disclaimer resmi dan persetujuan data owner untuk kebutuhan manajemen dan regulator"/>
  </r>
  <r>
    <x v="22"/>
    <n v="18"/>
    <s v="Ad-hoc Data Analysis"/>
    <s v="Analisis data untuk mendukung kebutuhan bisnis dan pengambilan keputusan manajemen"/>
    <x v="2"/>
    <n v="20"/>
    <n v="4"/>
    <n v="4"/>
    <n v="4"/>
    <n v="4"/>
    <n v="4"/>
    <s v="Analisis ditunda atau menggunakan data historis terbatas dengan penyesuaian ruang lingkup analisis"/>
    <s v="Dataset historis, analis data"/>
    <s v="Penyesuaian scope analisis dan komunikasi resmi ke stakeholder terkait keterbatasan da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6CE9A9-4667-4544-B4D3-DFE053BB83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A3:G28" firstHeaderRow="1" firstDataRow="2" firstDataCol="1"/>
  <pivotFields count="14">
    <pivotField axis="axisRow" showAll="0">
      <items count="24">
        <item x="1"/>
        <item x="12"/>
        <item x="13"/>
        <item x="6"/>
        <item x="2"/>
        <item x="7"/>
        <item x="4"/>
        <item x="19"/>
        <item x="17"/>
        <item x="15"/>
        <item x="16"/>
        <item x="9"/>
        <item x="8"/>
        <item x="18"/>
        <item x="20"/>
        <item x="22"/>
        <item x="21"/>
        <item x="5"/>
        <item x="3"/>
        <item x="0"/>
        <item x="11"/>
        <item x="14"/>
        <item x="10"/>
        <item t="default"/>
      </items>
    </pivotField>
    <pivotField showAll="0"/>
    <pivotField showAll="0"/>
    <pivotField showAll="0"/>
    <pivotField axis="axisCol" dataField="1" showAll="0">
      <items count="6">
        <item x="2"/>
        <item x="4"/>
        <item x="3"/>
        <item x="1"/>
        <item x="0"/>
        <item t="default"/>
      </items>
    </pivotField>
    <pivotField showAll="0"/>
    <pivotField showAll="0"/>
    <pivotField showAll="0"/>
    <pivotField showAll="0"/>
    <pivotField showAll="0"/>
    <pivotField showAll="0"/>
    <pivotField showAll="0"/>
    <pivotField showAll="0"/>
    <pivotField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4"/>
  </colFields>
  <colItems count="6">
    <i>
      <x/>
    </i>
    <i>
      <x v="1"/>
    </i>
    <i>
      <x v="2"/>
    </i>
    <i>
      <x v="3"/>
    </i>
    <i>
      <x v="4"/>
    </i>
    <i t="grand">
      <x/>
    </i>
  </colItems>
  <dataFields count="1">
    <dataField name="Count of Prioritas (1 …5)_x000a_(Diisi oleh Tim BCP)"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mailto:customercare-chatsupport@adobe.com" TargetMode="External"/><Relationship Id="rId2" Type="http://schemas.openxmlformats.org/officeDocument/2006/relationships/hyperlink" Target="mailto:shlim@dynafront.com" TargetMode="External"/><Relationship Id="rId1" Type="http://schemas.openxmlformats.org/officeDocument/2006/relationships/hyperlink" Target="mailto:helpdesk@ojk.g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62982-258B-1740-8A7A-6927728431A2}">
  <dimension ref="A1:C8"/>
  <sheetViews>
    <sheetView zoomScale="70" zoomScaleNormal="70" workbookViewId="0">
      <selection activeCell="E4" sqref="E4"/>
    </sheetView>
  </sheetViews>
  <sheetFormatPr defaultColWidth="10.796875" defaultRowHeight="19.95" customHeight="1"/>
  <cols>
    <col min="1" max="1" width="46.8984375" style="1" customWidth="1"/>
    <col min="2" max="2" width="2.296875" style="1" customWidth="1"/>
    <col min="3" max="3" width="98.296875" style="1" customWidth="1"/>
    <col min="4" max="16384" width="10.796875" style="1"/>
  </cols>
  <sheetData>
    <row r="1" spans="1:3" ht="31.95" customHeight="1">
      <c r="A1" s="2" t="s">
        <v>4</v>
      </c>
    </row>
    <row r="3" spans="1:3" ht="19.95" customHeight="1">
      <c r="A3" s="5" t="s">
        <v>16</v>
      </c>
      <c r="B3" s="4" t="s">
        <v>0</v>
      </c>
      <c r="C3" s="3" t="s">
        <v>100</v>
      </c>
    </row>
    <row r="4" spans="1:3" ht="240.45" customHeight="1">
      <c r="A4" s="5" t="s">
        <v>2</v>
      </c>
      <c r="B4" s="4" t="s">
        <v>0</v>
      </c>
      <c r="C4" s="27" t="s">
        <v>101</v>
      </c>
    </row>
    <row r="5" spans="1:3" ht="19.95" customHeight="1">
      <c r="A5" s="5" t="s">
        <v>1</v>
      </c>
      <c r="B5" s="4" t="s">
        <v>0</v>
      </c>
      <c r="C5" s="3" t="s">
        <v>102</v>
      </c>
    </row>
    <row r="6" spans="1:3" ht="19.95" customHeight="1">
      <c r="A6" s="5" t="s">
        <v>17</v>
      </c>
      <c r="B6" s="4" t="s">
        <v>0</v>
      </c>
      <c r="C6" s="3" t="s">
        <v>103</v>
      </c>
    </row>
    <row r="7" spans="1:3" ht="19.95" customHeight="1">
      <c r="A7" s="5" t="s">
        <v>18</v>
      </c>
      <c r="B7" s="4" t="s">
        <v>0</v>
      </c>
      <c r="C7" s="28" t="s">
        <v>121</v>
      </c>
    </row>
    <row r="8" spans="1:3" ht="19.95" customHeight="1">
      <c r="A8" s="5" t="s">
        <v>3</v>
      </c>
      <c r="B8" s="4" t="s">
        <v>0</v>
      </c>
      <c r="C8" s="29">
        <v>46174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8BB90-CDCF-4E12-BB79-DB2E964C7307}">
  <dimension ref="A3:G28"/>
  <sheetViews>
    <sheetView workbookViewId="0">
      <selection activeCell="C3" sqref="C3:G3"/>
      <pivotSelection pane="bottomRight" activeRow="2" activeCol="2" previousRow="2" previousCol="2" click="2" r:id="rId1">
        <pivotArea type="topRight" dataOnly="0" labelOnly="1" outline="0" fieldPosition="0"/>
      </pivotSelection>
    </sheetView>
  </sheetViews>
  <sheetFormatPr defaultRowHeight="15.6"/>
  <cols>
    <col min="1" max="1" width="37.59765625" bestFit="1" customWidth="1"/>
    <col min="2" max="2" width="13.296875" bestFit="1" customWidth="1"/>
    <col min="3" max="3" width="12.19921875" bestFit="1" customWidth="1"/>
    <col min="4" max="4" width="23.69921875" bestFit="1" customWidth="1"/>
    <col min="5" max="5" width="15.5" bestFit="1" customWidth="1"/>
    <col min="6" max="6" width="29.8984375" bestFit="1" customWidth="1"/>
    <col min="7" max="7" width="10.59765625" bestFit="1" customWidth="1"/>
  </cols>
  <sheetData>
    <row r="3" spans="1:7">
      <c r="A3" s="100" t="s">
        <v>664</v>
      </c>
      <c r="B3" s="100" t="s">
        <v>665</v>
      </c>
    </row>
    <row r="4" spans="1:7">
      <c r="A4" s="100" t="s">
        <v>662</v>
      </c>
      <c r="B4" t="s">
        <v>86</v>
      </c>
      <c r="C4" t="s">
        <v>88</v>
      </c>
      <c r="D4" t="s">
        <v>155</v>
      </c>
      <c r="E4" t="s">
        <v>85</v>
      </c>
      <c r="F4" t="s">
        <v>87</v>
      </c>
      <c r="G4" t="s">
        <v>663</v>
      </c>
    </row>
    <row r="5" spans="1:7">
      <c r="A5" s="101" t="s">
        <v>209</v>
      </c>
      <c r="B5">
        <v>1</v>
      </c>
      <c r="E5">
        <v>2</v>
      </c>
      <c r="F5">
        <v>13</v>
      </c>
      <c r="G5">
        <v>16</v>
      </c>
    </row>
    <row r="6" spans="1:7">
      <c r="A6" s="101" t="s">
        <v>400</v>
      </c>
      <c r="B6">
        <v>1</v>
      </c>
      <c r="E6">
        <v>2</v>
      </c>
      <c r="F6">
        <v>2</v>
      </c>
      <c r="G6">
        <v>5</v>
      </c>
    </row>
    <row r="7" spans="1:7">
      <c r="A7" s="101" t="s">
        <v>418</v>
      </c>
      <c r="E7">
        <v>1</v>
      </c>
      <c r="F7">
        <v>2</v>
      </c>
      <c r="G7">
        <v>3</v>
      </c>
    </row>
    <row r="8" spans="1:7">
      <c r="A8" s="101" t="s">
        <v>296</v>
      </c>
      <c r="D8">
        <v>2</v>
      </c>
      <c r="E8">
        <v>3</v>
      </c>
      <c r="G8">
        <v>5</v>
      </c>
    </row>
    <row r="9" spans="1:7">
      <c r="A9" s="101" t="s">
        <v>240</v>
      </c>
      <c r="D9">
        <v>2</v>
      </c>
      <c r="E9">
        <v>4</v>
      </c>
      <c r="G9">
        <v>6</v>
      </c>
    </row>
    <row r="10" spans="1:7">
      <c r="A10" s="101" t="s">
        <v>325</v>
      </c>
      <c r="B10">
        <v>2</v>
      </c>
      <c r="E10">
        <v>4</v>
      </c>
      <c r="G10">
        <v>6</v>
      </c>
    </row>
    <row r="11" spans="1:7">
      <c r="A11" s="101" t="s">
        <v>264</v>
      </c>
      <c r="B11">
        <v>4</v>
      </c>
      <c r="G11">
        <v>4</v>
      </c>
    </row>
    <row r="12" spans="1:7">
      <c r="A12" s="101" t="s">
        <v>506</v>
      </c>
      <c r="F12">
        <v>3</v>
      </c>
      <c r="G12">
        <v>3</v>
      </c>
    </row>
    <row r="13" spans="1:7">
      <c r="A13" s="101" t="s">
        <v>466</v>
      </c>
      <c r="F13">
        <v>3</v>
      </c>
      <c r="G13">
        <v>3</v>
      </c>
    </row>
    <row r="14" spans="1:7">
      <c r="A14" s="101" t="s">
        <v>446</v>
      </c>
      <c r="B14">
        <v>1</v>
      </c>
      <c r="E14">
        <v>1</v>
      </c>
      <c r="G14">
        <v>2</v>
      </c>
    </row>
    <row r="15" spans="1:7">
      <c r="A15" s="101" t="s">
        <v>455</v>
      </c>
      <c r="B15">
        <v>1</v>
      </c>
      <c r="E15">
        <v>1</v>
      </c>
      <c r="G15">
        <v>2</v>
      </c>
    </row>
    <row r="16" spans="1:7">
      <c r="A16" s="101" t="s">
        <v>343</v>
      </c>
      <c r="C16">
        <v>1</v>
      </c>
      <c r="D16">
        <v>2</v>
      </c>
      <c r="E16">
        <v>1</v>
      </c>
      <c r="F16">
        <v>1</v>
      </c>
      <c r="G16">
        <v>5</v>
      </c>
    </row>
    <row r="17" spans="1:7">
      <c r="A17" s="101" t="s">
        <v>326</v>
      </c>
      <c r="D17">
        <v>5</v>
      </c>
      <c r="E17">
        <v>3</v>
      </c>
      <c r="F17">
        <v>2</v>
      </c>
      <c r="G17">
        <v>10</v>
      </c>
    </row>
    <row r="18" spans="1:7">
      <c r="A18" s="101" t="s">
        <v>505</v>
      </c>
      <c r="C18">
        <v>2</v>
      </c>
      <c r="E18">
        <v>1</v>
      </c>
      <c r="F18">
        <v>2</v>
      </c>
      <c r="G18">
        <v>5</v>
      </c>
    </row>
    <row r="19" spans="1:7">
      <c r="A19" s="101" t="s">
        <v>518</v>
      </c>
      <c r="F19">
        <v>5</v>
      </c>
      <c r="G19">
        <v>5</v>
      </c>
    </row>
    <row r="20" spans="1:7">
      <c r="A20" s="101" t="s">
        <v>661</v>
      </c>
      <c r="B20">
        <v>6</v>
      </c>
      <c r="D20">
        <v>12</v>
      </c>
      <c r="G20">
        <v>18</v>
      </c>
    </row>
    <row r="21" spans="1:7">
      <c r="A21" s="101" t="s">
        <v>536</v>
      </c>
      <c r="B21">
        <v>1</v>
      </c>
      <c r="D21">
        <v>2</v>
      </c>
      <c r="E21">
        <v>4</v>
      </c>
      <c r="F21">
        <v>1</v>
      </c>
      <c r="G21">
        <v>8</v>
      </c>
    </row>
    <row r="22" spans="1:7">
      <c r="A22" s="101" t="s">
        <v>276</v>
      </c>
      <c r="B22">
        <v>3</v>
      </c>
      <c r="E22">
        <v>1</v>
      </c>
      <c r="G22">
        <v>4</v>
      </c>
    </row>
    <row r="23" spans="1:7">
      <c r="A23" s="101" t="s">
        <v>241</v>
      </c>
      <c r="B23">
        <v>7</v>
      </c>
      <c r="G23">
        <v>7</v>
      </c>
    </row>
    <row r="24" spans="1:7">
      <c r="A24" s="101" t="s">
        <v>157</v>
      </c>
      <c r="B24">
        <v>2</v>
      </c>
      <c r="E24">
        <v>2</v>
      </c>
      <c r="F24">
        <v>4</v>
      </c>
      <c r="G24">
        <v>8</v>
      </c>
    </row>
    <row r="25" spans="1:7">
      <c r="A25" s="101" t="s">
        <v>391</v>
      </c>
      <c r="E25">
        <v>1</v>
      </c>
      <c r="G25">
        <v>1</v>
      </c>
    </row>
    <row r="26" spans="1:7">
      <c r="A26" s="101" t="s">
        <v>445</v>
      </c>
      <c r="C26">
        <v>3</v>
      </c>
      <c r="F26">
        <v>1</v>
      </c>
      <c r="G26">
        <v>4</v>
      </c>
    </row>
    <row r="27" spans="1:7">
      <c r="A27" s="101" t="s">
        <v>365</v>
      </c>
      <c r="B27">
        <v>6</v>
      </c>
      <c r="G27">
        <v>6</v>
      </c>
    </row>
    <row r="28" spans="1:7">
      <c r="A28" s="101" t="s">
        <v>663</v>
      </c>
      <c r="B28">
        <v>35</v>
      </c>
      <c r="C28">
        <v>6</v>
      </c>
      <c r="D28">
        <v>25</v>
      </c>
      <c r="E28">
        <v>31</v>
      </c>
      <c r="F28">
        <v>39</v>
      </c>
      <c r="G28">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29D5-2F64-43CC-B87E-417BF1E45516}">
  <dimension ref="A1:N150"/>
  <sheetViews>
    <sheetView tabSelected="1" topLeftCell="A128" zoomScale="80" zoomScaleNormal="80" workbookViewId="0">
      <selection activeCell="H14" sqref="H14"/>
    </sheetView>
  </sheetViews>
  <sheetFormatPr defaultColWidth="10.796875" defaultRowHeight="19.2"/>
  <cols>
    <col min="1" max="1" width="28.69921875" style="1" bestFit="1" customWidth="1"/>
    <col min="2" max="2" width="10.796875" style="1"/>
    <col min="3" max="3" width="35.5" style="1" customWidth="1"/>
    <col min="4" max="4" width="65.09765625" style="30" bestFit="1" customWidth="1"/>
    <col min="5" max="6" width="15.296875" style="1" customWidth="1"/>
    <col min="7" max="8" width="10.69921875" style="1" customWidth="1"/>
    <col min="9" max="9" width="12.796875" style="1" customWidth="1"/>
    <col min="10" max="10" width="10.69921875" style="1" customWidth="1"/>
    <col min="11" max="11" width="12.19921875" style="1" customWidth="1"/>
    <col min="12" max="12" width="43" style="30" bestFit="1" customWidth="1"/>
    <col min="13" max="13" width="31.09765625" style="1" bestFit="1" customWidth="1"/>
    <col min="14" max="14" width="92.09765625" style="1" bestFit="1" customWidth="1"/>
    <col min="15" max="16384" width="10.796875" style="1"/>
  </cols>
  <sheetData>
    <row r="1" spans="1:14" ht="31.95" customHeight="1">
      <c r="B1" s="33" t="s">
        <v>14</v>
      </c>
    </row>
    <row r="3" spans="1:14" ht="58.5" customHeight="1">
      <c r="A3" s="98"/>
      <c r="B3" s="98"/>
      <c r="C3" s="98"/>
      <c r="D3" s="99"/>
      <c r="E3" s="99"/>
      <c r="F3" s="99"/>
      <c r="G3" s="107" t="s">
        <v>33</v>
      </c>
      <c r="H3" s="108"/>
      <c r="I3" s="108"/>
      <c r="J3" s="108"/>
      <c r="K3" s="109"/>
      <c r="L3" s="99"/>
      <c r="M3" s="99"/>
      <c r="N3" s="99"/>
    </row>
    <row r="4" spans="1:14" ht="57.6">
      <c r="A4" s="89" t="s">
        <v>156</v>
      </c>
      <c r="B4" s="89" t="s">
        <v>5</v>
      </c>
      <c r="C4" s="89" t="s">
        <v>6</v>
      </c>
      <c r="D4" s="35" t="s">
        <v>7</v>
      </c>
      <c r="E4" s="35" t="s">
        <v>93</v>
      </c>
      <c r="F4" s="35" t="s">
        <v>574</v>
      </c>
      <c r="G4" s="7" t="s">
        <v>91</v>
      </c>
      <c r="H4" s="7" t="s">
        <v>92</v>
      </c>
      <c r="I4" s="7" t="s">
        <v>59</v>
      </c>
      <c r="J4" s="7" t="s">
        <v>51</v>
      </c>
      <c r="K4" s="7" t="s">
        <v>83</v>
      </c>
      <c r="L4" s="35" t="s">
        <v>8</v>
      </c>
      <c r="M4" s="35" t="s">
        <v>34</v>
      </c>
      <c r="N4" s="35" t="s">
        <v>9</v>
      </c>
    </row>
    <row r="5" spans="1:14" ht="19.95" customHeight="1">
      <c r="A5" s="1" t="s">
        <v>157</v>
      </c>
      <c r="B5" s="4">
        <v>1</v>
      </c>
      <c r="C5" s="3" t="s">
        <v>104</v>
      </c>
      <c r="D5" s="27" t="s">
        <v>105</v>
      </c>
      <c r="E5" s="90" t="str">
        <f>(VLOOKUP(F5,Formula!$C$6:$D$26,2,FALSE))</f>
        <v>Sedang Rendah (Moderate to Low)</v>
      </c>
      <c r="F5" s="3">
        <f>G5+H5+I5+J5+K5</f>
        <v>10</v>
      </c>
      <c r="G5" s="3">
        <v>2</v>
      </c>
      <c r="H5" s="3">
        <v>2</v>
      </c>
      <c r="I5" s="3">
        <v>2</v>
      </c>
      <c r="J5" s="3">
        <v>2</v>
      </c>
      <c r="K5" s="3">
        <v>2</v>
      </c>
      <c r="L5" s="27" t="s">
        <v>116</v>
      </c>
      <c r="M5" s="3" t="s">
        <v>120</v>
      </c>
      <c r="N5" s="3" t="s">
        <v>128</v>
      </c>
    </row>
    <row r="6" spans="1:14" ht="19.95" customHeight="1">
      <c r="A6" s="1" t="s">
        <v>157</v>
      </c>
      <c r="B6" s="4">
        <v>2</v>
      </c>
      <c r="C6" s="3" t="s">
        <v>106</v>
      </c>
      <c r="D6" s="27" t="s">
        <v>108</v>
      </c>
      <c r="E6" s="90" t="str">
        <f>(VLOOKUP(F6,Formula!$C$6:$D$26,2,FALSE))</f>
        <v>Sedang (Medium)</v>
      </c>
      <c r="F6" s="3">
        <f t="shared" ref="F6:F69" si="0">G6+H6+I6+J6+K6</f>
        <v>11</v>
      </c>
      <c r="G6" s="3">
        <v>2</v>
      </c>
      <c r="H6" s="3">
        <v>3</v>
      </c>
      <c r="I6" s="3">
        <v>2</v>
      </c>
      <c r="J6" s="3">
        <v>2</v>
      </c>
      <c r="K6" s="3">
        <v>2</v>
      </c>
      <c r="L6" s="27" t="s">
        <v>117</v>
      </c>
      <c r="M6" s="3" t="s">
        <v>124</v>
      </c>
      <c r="N6" s="3" t="s">
        <v>129</v>
      </c>
    </row>
    <row r="7" spans="1:14" ht="19.95" customHeight="1">
      <c r="A7" s="1" t="s">
        <v>157</v>
      </c>
      <c r="B7" s="4">
        <v>3</v>
      </c>
      <c r="C7" s="3" t="s">
        <v>107</v>
      </c>
      <c r="D7" s="27" t="s">
        <v>136</v>
      </c>
      <c r="E7" s="90" t="str">
        <f>(VLOOKUP(F7,Formula!$C$6:$D$26,2,FALSE))</f>
        <v>Sedang Rendah (Moderate to Low)</v>
      </c>
      <c r="F7" s="3">
        <f t="shared" si="0"/>
        <v>10</v>
      </c>
      <c r="G7" s="3">
        <v>2</v>
      </c>
      <c r="H7" s="3">
        <v>2</v>
      </c>
      <c r="I7" s="3">
        <v>3</v>
      </c>
      <c r="J7" s="3">
        <v>2</v>
      </c>
      <c r="K7" s="3">
        <v>1</v>
      </c>
      <c r="L7" s="27" t="s">
        <v>118</v>
      </c>
      <c r="M7" s="3" t="s">
        <v>123</v>
      </c>
      <c r="N7" s="3" t="s">
        <v>130</v>
      </c>
    </row>
    <row r="8" spans="1:14" ht="19.95" customHeight="1">
      <c r="A8" s="1" t="s">
        <v>157</v>
      </c>
      <c r="B8" s="4">
        <v>4</v>
      </c>
      <c r="C8" s="3" t="s">
        <v>109</v>
      </c>
      <c r="D8" s="27" t="s">
        <v>137</v>
      </c>
      <c r="E8" s="90" t="str">
        <f>(VLOOKUP(F8,Formula!$C$6:$D$26,2,FALSE))</f>
        <v>Sedang Rendah (Moderate to Low)</v>
      </c>
      <c r="F8" s="3">
        <f t="shared" si="0"/>
        <v>10</v>
      </c>
      <c r="G8" s="3">
        <v>2</v>
      </c>
      <c r="H8" s="3">
        <v>2</v>
      </c>
      <c r="I8" s="3">
        <v>2</v>
      </c>
      <c r="J8" s="3">
        <v>2</v>
      </c>
      <c r="K8" s="3">
        <v>2</v>
      </c>
      <c r="L8" s="27" t="s">
        <v>119</v>
      </c>
      <c r="M8" s="3" t="s">
        <v>125</v>
      </c>
      <c r="N8" s="3" t="s">
        <v>138</v>
      </c>
    </row>
    <row r="9" spans="1:14" ht="19.95" customHeight="1">
      <c r="A9" s="1" t="s">
        <v>157</v>
      </c>
      <c r="B9" s="4">
        <v>5</v>
      </c>
      <c r="C9" s="3" t="s">
        <v>110</v>
      </c>
      <c r="D9" s="27" t="s">
        <v>111</v>
      </c>
      <c r="E9" s="90" t="str">
        <f>(VLOOKUP(F9,Formula!$C$6:$D$26,2,FALSE))</f>
        <v>Sedang (Medium)</v>
      </c>
      <c r="F9" s="3">
        <f t="shared" si="0"/>
        <v>15</v>
      </c>
      <c r="G9" s="3">
        <v>3</v>
      </c>
      <c r="H9" s="3">
        <v>3</v>
      </c>
      <c r="I9" s="3">
        <v>3</v>
      </c>
      <c r="J9" s="3">
        <v>3</v>
      </c>
      <c r="K9" s="3">
        <v>3</v>
      </c>
      <c r="L9" s="27" t="s">
        <v>127</v>
      </c>
      <c r="M9" s="3" t="s">
        <v>126</v>
      </c>
      <c r="N9" s="3" t="s">
        <v>131</v>
      </c>
    </row>
    <row r="10" spans="1:14" ht="19.95" customHeight="1">
      <c r="A10" s="1" t="s">
        <v>157</v>
      </c>
      <c r="B10" s="4">
        <v>6</v>
      </c>
      <c r="C10" s="3" t="s">
        <v>112</v>
      </c>
      <c r="D10" s="27" t="s">
        <v>113</v>
      </c>
      <c r="E10" s="90" t="str">
        <f>(VLOOKUP(F10,Formula!$C$6:$D$26,2,FALSE))</f>
        <v>Sedang Rendah (Moderate to Low)</v>
      </c>
      <c r="F10" s="3">
        <f t="shared" si="0"/>
        <v>10</v>
      </c>
      <c r="G10" s="3">
        <v>2</v>
      </c>
      <c r="H10" s="3">
        <v>2</v>
      </c>
      <c r="I10" s="3">
        <v>2</v>
      </c>
      <c r="J10" s="3">
        <v>2</v>
      </c>
      <c r="K10" s="3">
        <v>2</v>
      </c>
      <c r="L10" s="27" t="s">
        <v>127</v>
      </c>
      <c r="M10" s="3" t="s">
        <v>126</v>
      </c>
      <c r="N10" s="3" t="s">
        <v>133</v>
      </c>
    </row>
    <row r="11" spans="1:14" ht="19.95" customHeight="1">
      <c r="A11" s="1" t="s">
        <v>157</v>
      </c>
      <c r="B11" s="4">
        <v>7</v>
      </c>
      <c r="C11" s="3" t="s">
        <v>114</v>
      </c>
      <c r="D11" s="27" t="s">
        <v>115</v>
      </c>
      <c r="E11" s="90" t="str">
        <f>(VLOOKUP(F11,Formula!$C$6:$D$26,2,FALSE))</f>
        <v>Prioritas (High)</v>
      </c>
      <c r="F11" s="3">
        <f t="shared" si="0"/>
        <v>17</v>
      </c>
      <c r="G11" s="3">
        <v>3</v>
      </c>
      <c r="H11" s="3">
        <v>3</v>
      </c>
      <c r="I11" s="3">
        <v>3</v>
      </c>
      <c r="J11" s="3">
        <v>3</v>
      </c>
      <c r="K11" s="3">
        <v>5</v>
      </c>
      <c r="L11" s="27" t="s">
        <v>141</v>
      </c>
      <c r="M11" s="3" t="s">
        <v>142</v>
      </c>
      <c r="N11" s="3" t="s">
        <v>132</v>
      </c>
    </row>
    <row r="12" spans="1:14" ht="19.95" customHeight="1">
      <c r="A12" s="1" t="s">
        <v>157</v>
      </c>
      <c r="B12" s="4">
        <v>8</v>
      </c>
      <c r="C12" s="3" t="s">
        <v>134</v>
      </c>
      <c r="D12" s="27" t="s">
        <v>135</v>
      </c>
      <c r="E12" s="90" t="str">
        <f>(VLOOKUP(F12,Formula!$C$6:$D$26,2,FALSE))</f>
        <v>Prioritas (High)</v>
      </c>
      <c r="F12" s="3">
        <f t="shared" si="0"/>
        <v>17</v>
      </c>
      <c r="G12" s="3">
        <v>3</v>
      </c>
      <c r="H12" s="3">
        <v>2</v>
      </c>
      <c r="I12" s="3">
        <v>3</v>
      </c>
      <c r="J12" s="3">
        <v>4</v>
      </c>
      <c r="K12" s="3">
        <v>5</v>
      </c>
      <c r="L12" s="27" t="s">
        <v>140</v>
      </c>
      <c r="M12" s="3" t="s">
        <v>122</v>
      </c>
      <c r="N12" s="3" t="s">
        <v>139</v>
      </c>
    </row>
    <row r="13" spans="1:14" ht="57.6">
      <c r="A13" s="1" t="s">
        <v>209</v>
      </c>
      <c r="B13" s="36">
        <v>1</v>
      </c>
      <c r="C13" s="37" t="s">
        <v>158</v>
      </c>
      <c r="D13" s="37" t="s">
        <v>159</v>
      </c>
      <c r="E13" s="90" t="str">
        <f>(VLOOKUP(F13,Formula!$C$6:$D$26,2,FALSE))</f>
        <v>Sedang (Medium)</v>
      </c>
      <c r="F13" s="3">
        <f t="shared" si="0"/>
        <v>12</v>
      </c>
      <c r="G13" s="4">
        <v>1</v>
      </c>
      <c r="H13" s="4">
        <v>3</v>
      </c>
      <c r="I13" s="4">
        <v>4</v>
      </c>
      <c r="J13" s="4">
        <v>3</v>
      </c>
      <c r="K13" s="4">
        <v>1</v>
      </c>
      <c r="L13" s="37" t="s">
        <v>160</v>
      </c>
      <c r="M13" s="36" t="s">
        <v>161</v>
      </c>
      <c r="N13" s="37" t="s">
        <v>162</v>
      </c>
    </row>
    <row r="14" spans="1:14" ht="76.8">
      <c r="A14" s="1" t="s">
        <v>209</v>
      </c>
      <c r="B14" s="36">
        <v>2</v>
      </c>
      <c r="C14" s="37" t="s">
        <v>163</v>
      </c>
      <c r="D14" s="37" t="s">
        <v>164</v>
      </c>
      <c r="E14" s="90" t="str">
        <f>(VLOOKUP(F14,Formula!$C$6:$D$26,2,FALSE))</f>
        <v>Sedang Rendah (Moderate to Low)</v>
      </c>
      <c r="F14" s="3">
        <f t="shared" si="0"/>
        <v>9</v>
      </c>
      <c r="G14" s="4">
        <v>1</v>
      </c>
      <c r="H14" s="4">
        <v>2</v>
      </c>
      <c r="I14" s="4">
        <v>2</v>
      </c>
      <c r="J14" s="4">
        <v>3</v>
      </c>
      <c r="K14" s="4">
        <v>1</v>
      </c>
      <c r="L14" s="37" t="s">
        <v>165</v>
      </c>
      <c r="M14" s="36" t="s">
        <v>161</v>
      </c>
      <c r="N14" s="37" t="s">
        <v>165</v>
      </c>
    </row>
    <row r="15" spans="1:14" ht="57.6">
      <c r="A15" s="1" t="s">
        <v>209</v>
      </c>
      <c r="B15" s="36">
        <v>3</v>
      </c>
      <c r="C15" s="37" t="s">
        <v>166</v>
      </c>
      <c r="D15" s="37" t="s">
        <v>167</v>
      </c>
      <c r="E15" s="90" t="str">
        <f>(VLOOKUP(F15,Formula!$C$6:$D$26,2,FALSE))</f>
        <v>Sedang Rendah (Moderate to Low)</v>
      </c>
      <c r="F15" s="3">
        <f t="shared" si="0"/>
        <v>9</v>
      </c>
      <c r="G15" s="4">
        <v>1</v>
      </c>
      <c r="H15" s="4">
        <v>2</v>
      </c>
      <c r="I15" s="4">
        <v>2</v>
      </c>
      <c r="J15" s="4">
        <v>3</v>
      </c>
      <c r="K15" s="4">
        <v>1</v>
      </c>
      <c r="L15" s="37" t="s">
        <v>168</v>
      </c>
      <c r="M15" s="36" t="s">
        <v>161</v>
      </c>
      <c r="N15" s="37" t="s">
        <v>168</v>
      </c>
    </row>
    <row r="16" spans="1:14" ht="76.8">
      <c r="A16" s="1" t="s">
        <v>209</v>
      </c>
      <c r="B16" s="36">
        <v>4</v>
      </c>
      <c r="C16" s="37" t="s">
        <v>169</v>
      </c>
      <c r="D16" s="37" t="s">
        <v>170</v>
      </c>
      <c r="E16" s="90" t="str">
        <f>(VLOOKUP(F16,Formula!$C$6:$D$26,2,FALSE))</f>
        <v>Sedang Rendah (Moderate to Low)</v>
      </c>
      <c r="F16" s="3">
        <f t="shared" si="0"/>
        <v>9</v>
      </c>
      <c r="G16" s="4">
        <v>1</v>
      </c>
      <c r="H16" s="4">
        <v>2</v>
      </c>
      <c r="I16" s="4">
        <v>2</v>
      </c>
      <c r="J16" s="4">
        <v>3</v>
      </c>
      <c r="K16" s="4">
        <v>1</v>
      </c>
      <c r="L16" s="37" t="s">
        <v>171</v>
      </c>
      <c r="M16" s="36" t="s">
        <v>172</v>
      </c>
      <c r="N16" s="37" t="s">
        <v>171</v>
      </c>
    </row>
    <row r="17" spans="1:14" ht="96">
      <c r="A17" s="1" t="s">
        <v>209</v>
      </c>
      <c r="B17" s="36">
        <v>5</v>
      </c>
      <c r="C17" s="37" t="s">
        <v>173</v>
      </c>
      <c r="D17" s="37" t="s">
        <v>174</v>
      </c>
      <c r="E17" s="90" t="str">
        <f>(VLOOKUP(F17,Formula!$C$6:$D$26,2,FALSE))</f>
        <v>Sedang Rendah (Moderate to Low)</v>
      </c>
      <c r="F17" s="3">
        <f t="shared" si="0"/>
        <v>9</v>
      </c>
      <c r="G17" s="4">
        <v>1</v>
      </c>
      <c r="H17" s="4">
        <v>2</v>
      </c>
      <c r="I17" s="4">
        <v>2</v>
      </c>
      <c r="J17" s="4">
        <v>3</v>
      </c>
      <c r="K17" s="4">
        <v>1</v>
      </c>
      <c r="L17" s="37" t="s">
        <v>175</v>
      </c>
      <c r="M17" s="36" t="s">
        <v>161</v>
      </c>
      <c r="N17" s="37" t="s">
        <v>175</v>
      </c>
    </row>
    <row r="18" spans="1:14" ht="96">
      <c r="A18" s="1" t="s">
        <v>209</v>
      </c>
      <c r="B18" s="36">
        <v>5</v>
      </c>
      <c r="C18" s="37" t="s">
        <v>176</v>
      </c>
      <c r="D18" s="37" t="s">
        <v>177</v>
      </c>
      <c r="E18" s="90" t="str">
        <f>(VLOOKUP(F18,Formula!$C$6:$D$26,2,FALSE))</f>
        <v>Sedang Rendah (Moderate to Low)</v>
      </c>
      <c r="F18" s="3">
        <f t="shared" si="0"/>
        <v>9</v>
      </c>
      <c r="G18" s="4">
        <v>1</v>
      </c>
      <c r="H18" s="4">
        <v>2</v>
      </c>
      <c r="I18" s="4">
        <v>2</v>
      </c>
      <c r="J18" s="4">
        <v>3</v>
      </c>
      <c r="K18" s="4">
        <v>1</v>
      </c>
      <c r="L18" s="37" t="s">
        <v>178</v>
      </c>
      <c r="M18" s="36" t="s">
        <v>161</v>
      </c>
      <c r="N18" s="37" t="s">
        <v>178</v>
      </c>
    </row>
    <row r="19" spans="1:14" ht="76.8">
      <c r="A19" s="1" t="s">
        <v>209</v>
      </c>
      <c r="B19" s="36">
        <v>7</v>
      </c>
      <c r="C19" s="37" t="s">
        <v>179</v>
      </c>
      <c r="D19" s="37" t="s">
        <v>180</v>
      </c>
      <c r="E19" s="90" t="str">
        <f>(VLOOKUP(F19,Formula!$C$6:$D$26,2,FALSE))</f>
        <v>Sedang Rendah (Moderate to Low)</v>
      </c>
      <c r="F19" s="3">
        <f t="shared" si="0"/>
        <v>9</v>
      </c>
      <c r="G19" s="4">
        <v>1</v>
      </c>
      <c r="H19" s="4">
        <v>2</v>
      </c>
      <c r="I19" s="4">
        <v>2</v>
      </c>
      <c r="J19" s="4">
        <v>3</v>
      </c>
      <c r="K19" s="4">
        <v>1</v>
      </c>
      <c r="L19" s="37" t="s">
        <v>181</v>
      </c>
      <c r="M19" s="36" t="s">
        <v>161</v>
      </c>
      <c r="N19" s="37" t="s">
        <v>181</v>
      </c>
    </row>
    <row r="20" spans="1:14" ht="57.6">
      <c r="A20" s="1" t="s">
        <v>209</v>
      </c>
      <c r="B20" s="36">
        <v>8</v>
      </c>
      <c r="C20" s="37" t="s">
        <v>182</v>
      </c>
      <c r="D20" s="37" t="s">
        <v>183</v>
      </c>
      <c r="E20" s="90" t="str">
        <f>(VLOOKUP(F20,Formula!$C$6:$D$26,2,FALSE))</f>
        <v>Sedang Rendah (Moderate to Low)</v>
      </c>
      <c r="F20" s="3">
        <f t="shared" si="0"/>
        <v>9</v>
      </c>
      <c r="G20" s="4">
        <v>1</v>
      </c>
      <c r="H20" s="4">
        <v>2</v>
      </c>
      <c r="I20" s="4">
        <v>2</v>
      </c>
      <c r="J20" s="4">
        <v>3</v>
      </c>
      <c r="K20" s="4">
        <v>1</v>
      </c>
      <c r="L20" s="37" t="s">
        <v>184</v>
      </c>
      <c r="M20" s="36" t="s">
        <v>172</v>
      </c>
      <c r="N20" s="37" t="s">
        <v>184</v>
      </c>
    </row>
    <row r="21" spans="1:14" ht="57.6">
      <c r="A21" s="1" t="s">
        <v>209</v>
      </c>
      <c r="B21" s="36">
        <v>9</v>
      </c>
      <c r="C21" s="37" t="s">
        <v>185</v>
      </c>
      <c r="D21" s="37" t="s">
        <v>186</v>
      </c>
      <c r="E21" s="90" t="str">
        <f>(VLOOKUP(F21,Formula!$C$6:$D$26,2,FALSE))</f>
        <v>Sedang Rendah (Moderate to Low)</v>
      </c>
      <c r="F21" s="3">
        <f t="shared" si="0"/>
        <v>9</v>
      </c>
      <c r="G21" s="4">
        <v>1</v>
      </c>
      <c r="H21" s="4">
        <v>2</v>
      </c>
      <c r="I21" s="4">
        <v>2</v>
      </c>
      <c r="J21" s="4">
        <v>3</v>
      </c>
      <c r="K21" s="4">
        <v>1</v>
      </c>
      <c r="L21" s="37" t="s">
        <v>187</v>
      </c>
      <c r="M21" s="36" t="s">
        <v>172</v>
      </c>
      <c r="N21" s="37" t="s">
        <v>187</v>
      </c>
    </row>
    <row r="22" spans="1:14" ht="57.6">
      <c r="A22" s="1" t="s">
        <v>209</v>
      </c>
      <c r="B22" s="36">
        <v>10</v>
      </c>
      <c r="C22" s="37" t="s">
        <v>188</v>
      </c>
      <c r="D22" s="37" t="s">
        <v>189</v>
      </c>
      <c r="E22" s="90" t="str">
        <f>(VLOOKUP(F22,Formula!$C$6:$D$26,2,FALSE))</f>
        <v>Sedang Rendah (Moderate to Low)</v>
      </c>
      <c r="F22" s="3">
        <f t="shared" si="0"/>
        <v>9</v>
      </c>
      <c r="G22" s="4">
        <v>1</v>
      </c>
      <c r="H22" s="4">
        <v>2</v>
      </c>
      <c r="I22" s="4">
        <v>2</v>
      </c>
      <c r="J22" s="4">
        <v>3</v>
      </c>
      <c r="K22" s="4">
        <v>1</v>
      </c>
      <c r="L22" s="37" t="s">
        <v>190</v>
      </c>
      <c r="M22" s="36" t="s">
        <v>172</v>
      </c>
      <c r="N22" s="37" t="s">
        <v>190</v>
      </c>
    </row>
    <row r="23" spans="1:14" ht="57.6">
      <c r="A23" s="1" t="s">
        <v>209</v>
      </c>
      <c r="B23" s="36">
        <v>11</v>
      </c>
      <c r="C23" s="37" t="s">
        <v>191</v>
      </c>
      <c r="D23" s="37" t="s">
        <v>191</v>
      </c>
      <c r="E23" s="90" t="str">
        <f>(VLOOKUP(F23,Formula!$C$6:$D$26,2,FALSE))</f>
        <v>Sedang Rendah (Moderate to Low)</v>
      </c>
      <c r="F23" s="3">
        <f t="shared" si="0"/>
        <v>9</v>
      </c>
      <c r="G23" s="4">
        <v>1</v>
      </c>
      <c r="H23" s="4">
        <v>2</v>
      </c>
      <c r="I23" s="4">
        <v>2</v>
      </c>
      <c r="J23" s="4">
        <v>3</v>
      </c>
      <c r="K23" s="4">
        <v>1</v>
      </c>
      <c r="L23" s="37" t="s">
        <v>192</v>
      </c>
      <c r="M23" s="36" t="s">
        <v>172</v>
      </c>
      <c r="N23" s="37" t="s">
        <v>192</v>
      </c>
    </row>
    <row r="24" spans="1:14" ht="57.6">
      <c r="A24" s="1" t="s">
        <v>209</v>
      </c>
      <c r="B24" s="36">
        <v>12</v>
      </c>
      <c r="C24" s="37" t="s">
        <v>193</v>
      </c>
      <c r="D24" s="37" t="s">
        <v>193</v>
      </c>
      <c r="E24" s="90" t="str">
        <f>(VLOOKUP(F24,Formula!$C$6:$D$26,2,FALSE))</f>
        <v>Sedang Rendah (Moderate to Low)</v>
      </c>
      <c r="F24" s="3">
        <f t="shared" si="0"/>
        <v>9</v>
      </c>
      <c r="G24" s="4">
        <v>1</v>
      </c>
      <c r="H24" s="4">
        <v>2</v>
      </c>
      <c r="I24" s="4">
        <v>2</v>
      </c>
      <c r="J24" s="4">
        <v>3</v>
      </c>
      <c r="K24" s="4">
        <v>1</v>
      </c>
      <c r="L24" s="37" t="s">
        <v>194</v>
      </c>
      <c r="M24" s="36" t="s">
        <v>161</v>
      </c>
      <c r="N24" s="37" t="s">
        <v>194</v>
      </c>
    </row>
    <row r="25" spans="1:14" ht="38.4">
      <c r="A25" s="1" t="s">
        <v>209</v>
      </c>
      <c r="B25" s="36">
        <v>13</v>
      </c>
      <c r="C25" s="37" t="s">
        <v>195</v>
      </c>
      <c r="D25" s="37" t="s">
        <v>195</v>
      </c>
      <c r="E25" s="90" t="str">
        <f>(VLOOKUP(F25,Formula!$C$6:$D$26,2,FALSE))</f>
        <v>Sedang Rendah (Moderate to Low)</v>
      </c>
      <c r="F25" s="3">
        <f t="shared" si="0"/>
        <v>9</v>
      </c>
      <c r="G25" s="4">
        <v>1</v>
      </c>
      <c r="H25" s="4">
        <v>2</v>
      </c>
      <c r="I25" s="4">
        <v>2</v>
      </c>
      <c r="J25" s="4">
        <v>3</v>
      </c>
      <c r="K25" s="4">
        <v>1</v>
      </c>
      <c r="L25" s="37" t="s">
        <v>196</v>
      </c>
      <c r="M25" s="36" t="s">
        <v>197</v>
      </c>
      <c r="N25" s="37" t="s">
        <v>198</v>
      </c>
    </row>
    <row r="26" spans="1:14" ht="57.6">
      <c r="A26" s="1" t="s">
        <v>209</v>
      </c>
      <c r="B26" s="36">
        <v>14</v>
      </c>
      <c r="C26" s="37" t="s">
        <v>199</v>
      </c>
      <c r="D26" s="37" t="s">
        <v>199</v>
      </c>
      <c r="E26" s="90" t="str">
        <f>(VLOOKUP(F26,Formula!$C$6:$D$26,2,FALSE))</f>
        <v>Sedang Rendah (Moderate to Low)</v>
      </c>
      <c r="F26" s="3">
        <f t="shared" si="0"/>
        <v>9</v>
      </c>
      <c r="G26" s="4">
        <v>1</v>
      </c>
      <c r="H26" s="4">
        <v>2</v>
      </c>
      <c r="I26" s="4">
        <v>2</v>
      </c>
      <c r="J26" s="4">
        <v>3</v>
      </c>
      <c r="K26" s="4">
        <v>1</v>
      </c>
      <c r="L26" s="37" t="s">
        <v>200</v>
      </c>
      <c r="M26" s="36" t="s">
        <v>197</v>
      </c>
      <c r="N26" s="37" t="s">
        <v>201</v>
      </c>
    </row>
    <row r="27" spans="1:14" ht="38.4">
      <c r="A27" s="1" t="s">
        <v>209</v>
      </c>
      <c r="B27" s="36">
        <v>15</v>
      </c>
      <c r="C27" s="37" t="s">
        <v>202</v>
      </c>
      <c r="D27" s="37" t="s">
        <v>203</v>
      </c>
      <c r="E27" s="90" t="str">
        <f>(VLOOKUP(F27,Formula!$C$6:$D$26,2,FALSE))</f>
        <v>Sedang (Medium)</v>
      </c>
      <c r="F27" s="3">
        <f t="shared" si="0"/>
        <v>15</v>
      </c>
      <c r="G27" s="4">
        <v>1</v>
      </c>
      <c r="H27" s="4">
        <v>4</v>
      </c>
      <c r="I27" s="4">
        <v>3</v>
      </c>
      <c r="J27" s="4">
        <v>4</v>
      </c>
      <c r="K27" s="4">
        <v>3</v>
      </c>
      <c r="L27" s="39" t="s">
        <v>204</v>
      </c>
      <c r="M27" s="36" t="s">
        <v>161</v>
      </c>
      <c r="N27" s="38" t="s">
        <v>205</v>
      </c>
    </row>
    <row r="28" spans="1:14" ht="38.4">
      <c r="A28" s="1" t="s">
        <v>209</v>
      </c>
      <c r="B28" s="36">
        <v>16</v>
      </c>
      <c r="C28" s="37" t="s">
        <v>206</v>
      </c>
      <c r="D28" s="37" t="s">
        <v>206</v>
      </c>
      <c r="E28" s="90" t="str">
        <f>(VLOOKUP(F28,Formula!$C$6:$D$26,2,FALSE))</f>
        <v>Prioritas (High)</v>
      </c>
      <c r="F28" s="3">
        <f t="shared" si="0"/>
        <v>16</v>
      </c>
      <c r="G28" s="4">
        <v>1</v>
      </c>
      <c r="H28" s="4">
        <v>4</v>
      </c>
      <c r="I28" s="4">
        <v>3</v>
      </c>
      <c r="J28" s="4">
        <v>4</v>
      </c>
      <c r="K28" s="4">
        <v>4</v>
      </c>
      <c r="L28" s="39" t="s">
        <v>207</v>
      </c>
      <c r="M28" s="36" t="s">
        <v>172</v>
      </c>
      <c r="N28" s="38" t="s">
        <v>208</v>
      </c>
    </row>
    <row r="29" spans="1:14" ht="109.2">
      <c r="A29" s="1" t="s">
        <v>240</v>
      </c>
      <c r="B29" s="40">
        <v>1</v>
      </c>
      <c r="C29" s="41" t="s">
        <v>210</v>
      </c>
      <c r="D29" s="41" t="s">
        <v>211</v>
      </c>
      <c r="E29" s="90" t="str">
        <f>(VLOOKUP(F29,Formula!$C$6:$D$26,2,FALSE))</f>
        <v>Sangat Prioritas (Very High)</v>
      </c>
      <c r="F29" s="3">
        <f t="shared" si="0"/>
        <v>21</v>
      </c>
      <c r="G29" s="40">
        <v>4</v>
      </c>
      <c r="H29" s="40">
        <v>4</v>
      </c>
      <c r="I29" s="40">
        <v>4</v>
      </c>
      <c r="J29" s="40">
        <v>4</v>
      </c>
      <c r="K29" s="40">
        <v>5</v>
      </c>
      <c r="L29" s="41" t="s">
        <v>212</v>
      </c>
      <c r="M29" s="41" t="s">
        <v>213</v>
      </c>
      <c r="N29" s="41" t="s">
        <v>214</v>
      </c>
    </row>
    <row r="30" spans="1:14" ht="93.6">
      <c r="A30" s="1" t="s">
        <v>240</v>
      </c>
      <c r="B30" s="40">
        <v>2</v>
      </c>
      <c r="C30" s="41" t="s">
        <v>215</v>
      </c>
      <c r="D30" s="41" t="s">
        <v>216</v>
      </c>
      <c r="E30" s="90" t="str">
        <f>(VLOOKUP(F30,Formula!$C$6:$D$26,2,FALSE))</f>
        <v>Sedang (Medium)</v>
      </c>
      <c r="F30" s="3">
        <f t="shared" si="0"/>
        <v>13</v>
      </c>
      <c r="G30" s="40">
        <v>3</v>
      </c>
      <c r="H30" s="40">
        <v>3</v>
      </c>
      <c r="I30" s="40">
        <v>3</v>
      </c>
      <c r="J30" s="40">
        <v>3</v>
      </c>
      <c r="K30" s="40">
        <v>1</v>
      </c>
      <c r="L30" s="41" t="s">
        <v>217</v>
      </c>
      <c r="M30" s="41" t="s">
        <v>218</v>
      </c>
      <c r="N30" s="41" t="s">
        <v>219</v>
      </c>
    </row>
    <row r="31" spans="1:14" ht="46.8">
      <c r="A31" s="1" t="s">
        <v>240</v>
      </c>
      <c r="B31" s="40">
        <v>3</v>
      </c>
      <c r="C31" s="41" t="s">
        <v>220</v>
      </c>
      <c r="D31" s="41" t="s">
        <v>221</v>
      </c>
      <c r="E31" s="90" t="str">
        <f>(VLOOKUP(F31,Formula!$C$6:$D$26,2,FALSE))</f>
        <v>Sangat Prioritas (Very High)</v>
      </c>
      <c r="F31" s="3">
        <f t="shared" si="0"/>
        <v>23</v>
      </c>
      <c r="G31" s="40">
        <v>5</v>
      </c>
      <c r="H31" s="40">
        <v>5</v>
      </c>
      <c r="I31" s="40">
        <v>5</v>
      </c>
      <c r="J31" s="40">
        <v>4</v>
      </c>
      <c r="K31" s="40">
        <v>4</v>
      </c>
      <c r="L31" s="41" t="s">
        <v>222</v>
      </c>
      <c r="M31" s="41" t="s">
        <v>223</v>
      </c>
      <c r="N31" s="41" t="s">
        <v>224</v>
      </c>
    </row>
    <row r="32" spans="1:14" ht="46.8">
      <c r="A32" s="1" t="s">
        <v>240</v>
      </c>
      <c r="B32" s="40">
        <v>4</v>
      </c>
      <c r="C32" s="41" t="s">
        <v>225</v>
      </c>
      <c r="D32" s="41" t="s">
        <v>226</v>
      </c>
      <c r="E32" s="90" t="str">
        <f>(VLOOKUP(F32,Formula!$C$6:$D$26,2,FALSE))</f>
        <v>Sedang (Medium)</v>
      </c>
      <c r="F32" s="3">
        <f t="shared" si="0"/>
        <v>14</v>
      </c>
      <c r="G32" s="40">
        <v>2</v>
      </c>
      <c r="H32" s="40">
        <v>3</v>
      </c>
      <c r="I32" s="40">
        <v>3</v>
      </c>
      <c r="J32" s="40">
        <v>3</v>
      </c>
      <c r="K32" s="40">
        <v>3</v>
      </c>
      <c r="L32" s="41" t="s">
        <v>227</v>
      </c>
      <c r="M32" s="41" t="s">
        <v>228</v>
      </c>
      <c r="N32" s="41" t="s">
        <v>229</v>
      </c>
    </row>
    <row r="33" spans="1:14" ht="78">
      <c r="A33" s="1" t="s">
        <v>240</v>
      </c>
      <c r="B33" s="40">
        <v>5</v>
      </c>
      <c r="C33" s="41" t="s">
        <v>230</v>
      </c>
      <c r="D33" s="41" t="s">
        <v>231</v>
      </c>
      <c r="E33" s="90" t="str">
        <f>(VLOOKUP(F33,Formula!$C$6:$D$26,2,FALSE))</f>
        <v>Sedang (Medium)</v>
      </c>
      <c r="F33" s="3">
        <f t="shared" si="0"/>
        <v>15</v>
      </c>
      <c r="G33" s="40">
        <v>2</v>
      </c>
      <c r="H33" s="40">
        <v>3</v>
      </c>
      <c r="I33" s="40">
        <v>3</v>
      </c>
      <c r="J33" s="40">
        <v>3</v>
      </c>
      <c r="K33" s="40">
        <v>4</v>
      </c>
      <c r="L33" s="41" t="s">
        <v>232</v>
      </c>
      <c r="M33" s="41" t="s">
        <v>233</v>
      </c>
      <c r="N33" s="41" t="s">
        <v>234</v>
      </c>
    </row>
    <row r="34" spans="1:14" ht="46.8">
      <c r="A34" s="1" t="s">
        <v>240</v>
      </c>
      <c r="B34" s="40">
        <v>6</v>
      </c>
      <c r="C34" s="41" t="s">
        <v>235</v>
      </c>
      <c r="D34" s="41" t="s">
        <v>236</v>
      </c>
      <c r="E34" s="90" t="str">
        <f>(VLOOKUP(F34,Formula!$C$6:$D$26,2,FALSE))</f>
        <v>Sedang (Medium)</v>
      </c>
      <c r="F34" s="3">
        <f t="shared" si="0"/>
        <v>15</v>
      </c>
      <c r="G34" s="40">
        <v>3</v>
      </c>
      <c r="H34" s="40">
        <v>4</v>
      </c>
      <c r="I34" s="40">
        <v>3</v>
      </c>
      <c r="J34" s="40">
        <v>4</v>
      </c>
      <c r="K34" s="40">
        <v>1</v>
      </c>
      <c r="L34" s="41" t="s">
        <v>237</v>
      </c>
      <c r="M34" s="41" t="s">
        <v>238</v>
      </c>
      <c r="N34" s="41" t="s">
        <v>239</v>
      </c>
    </row>
    <row r="35" spans="1:14" ht="45">
      <c r="A35" s="1" t="s">
        <v>241</v>
      </c>
      <c r="B35" s="42">
        <v>1</v>
      </c>
      <c r="C35" s="43" t="s">
        <v>242</v>
      </c>
      <c r="D35" s="43" t="s">
        <v>243</v>
      </c>
      <c r="E35" s="90" t="str">
        <f>(VLOOKUP(F35,Formula!$C$6:$D$26,2,FALSE))</f>
        <v>Prioritas (High)</v>
      </c>
      <c r="F35" s="3">
        <f t="shared" si="0"/>
        <v>20</v>
      </c>
      <c r="G35" s="44">
        <v>4</v>
      </c>
      <c r="H35" s="44">
        <v>4</v>
      </c>
      <c r="I35" s="44">
        <v>4</v>
      </c>
      <c r="J35" s="44">
        <v>4</v>
      </c>
      <c r="K35" s="44">
        <v>4</v>
      </c>
      <c r="L35" s="45"/>
      <c r="M35" s="46" t="s">
        <v>244</v>
      </c>
      <c r="N35" s="46" t="s">
        <v>245</v>
      </c>
    </row>
    <row r="36" spans="1:14" ht="75">
      <c r="A36" s="1" t="s">
        <v>241</v>
      </c>
      <c r="B36" s="42">
        <f>B35+1</f>
        <v>2</v>
      </c>
      <c r="C36" s="46" t="s">
        <v>246</v>
      </c>
      <c r="D36" s="43" t="s">
        <v>247</v>
      </c>
      <c r="E36" s="90" t="str">
        <f>(VLOOKUP(F36,Formula!$C$6:$D$26,2,FALSE))</f>
        <v>Prioritas (High)</v>
      </c>
      <c r="F36" s="3">
        <f t="shared" si="0"/>
        <v>20</v>
      </c>
      <c r="G36" s="44">
        <v>4</v>
      </c>
      <c r="H36" s="44">
        <v>4</v>
      </c>
      <c r="I36" s="44">
        <v>4</v>
      </c>
      <c r="J36" s="44">
        <v>4</v>
      </c>
      <c r="K36" s="44">
        <v>4</v>
      </c>
      <c r="L36" s="45"/>
      <c r="M36" s="46" t="s">
        <v>244</v>
      </c>
      <c r="N36" s="46" t="s">
        <v>248</v>
      </c>
    </row>
    <row r="37" spans="1:14" ht="60">
      <c r="A37" s="1" t="s">
        <v>241</v>
      </c>
      <c r="B37" s="42">
        <f>B36+1</f>
        <v>3</v>
      </c>
      <c r="C37" s="46" t="s">
        <v>249</v>
      </c>
      <c r="D37" s="46" t="s">
        <v>250</v>
      </c>
      <c r="E37" s="90" t="str">
        <f>(VLOOKUP(F37,Formula!$C$6:$D$26,2,FALSE))</f>
        <v>Prioritas (High)</v>
      </c>
      <c r="F37" s="3">
        <f t="shared" si="0"/>
        <v>20</v>
      </c>
      <c r="G37" s="44">
        <v>4</v>
      </c>
      <c r="H37" s="44">
        <v>4</v>
      </c>
      <c r="I37" s="44">
        <v>4</v>
      </c>
      <c r="J37" s="44">
        <v>4</v>
      </c>
      <c r="K37" s="44">
        <v>4</v>
      </c>
      <c r="L37" s="45"/>
      <c r="M37" s="46" t="s">
        <v>244</v>
      </c>
      <c r="N37" s="46" t="s">
        <v>251</v>
      </c>
    </row>
    <row r="38" spans="1:14" ht="75">
      <c r="A38" s="1" t="s">
        <v>241</v>
      </c>
      <c r="B38" s="47">
        <v>4</v>
      </c>
      <c r="C38" s="48" t="s">
        <v>252</v>
      </c>
      <c r="D38" s="49" t="s">
        <v>253</v>
      </c>
      <c r="E38" s="90" t="str">
        <f>(VLOOKUP(F38,Formula!$C$6:$D$26,2,FALSE))</f>
        <v>Prioritas (High)</v>
      </c>
      <c r="F38" s="3">
        <f t="shared" si="0"/>
        <v>20</v>
      </c>
      <c r="G38" s="44">
        <v>4</v>
      </c>
      <c r="H38" s="44">
        <v>4</v>
      </c>
      <c r="I38" s="44">
        <v>4</v>
      </c>
      <c r="J38" s="44">
        <v>4</v>
      </c>
      <c r="K38" s="44">
        <v>4</v>
      </c>
      <c r="L38" s="45"/>
      <c r="M38" s="46" t="s">
        <v>244</v>
      </c>
      <c r="N38" s="46" t="s">
        <v>254</v>
      </c>
    </row>
    <row r="39" spans="1:14" ht="165">
      <c r="A39" s="1" t="s">
        <v>241</v>
      </c>
      <c r="B39" s="47">
        <v>5</v>
      </c>
      <c r="C39" s="50" t="s">
        <v>255</v>
      </c>
      <c r="D39" s="49" t="s">
        <v>256</v>
      </c>
      <c r="E39" s="90" t="str">
        <f>(VLOOKUP(F39,Formula!$C$6:$D$26,2,FALSE))</f>
        <v>Prioritas (High)</v>
      </c>
      <c r="F39" s="3">
        <f t="shared" si="0"/>
        <v>20</v>
      </c>
      <c r="G39" s="44">
        <v>4</v>
      </c>
      <c r="H39" s="44">
        <v>4</v>
      </c>
      <c r="I39" s="44">
        <v>4</v>
      </c>
      <c r="J39" s="44">
        <v>4</v>
      </c>
      <c r="K39" s="44">
        <v>4</v>
      </c>
      <c r="L39" s="45"/>
      <c r="M39" s="46" t="s">
        <v>244</v>
      </c>
      <c r="N39" s="50" t="s">
        <v>257</v>
      </c>
    </row>
    <row r="40" spans="1:14" ht="45">
      <c r="A40" s="1" t="s">
        <v>241</v>
      </c>
      <c r="B40" s="47">
        <v>6</v>
      </c>
      <c r="C40" s="50" t="s">
        <v>258</v>
      </c>
      <c r="D40" s="49" t="s">
        <v>259</v>
      </c>
      <c r="E40" s="90" t="str">
        <f>(VLOOKUP(F40,Formula!$C$6:$D$26,2,FALSE))</f>
        <v>Prioritas (High)</v>
      </c>
      <c r="F40" s="3">
        <f t="shared" si="0"/>
        <v>20</v>
      </c>
      <c r="G40" s="44">
        <v>4</v>
      </c>
      <c r="H40" s="44">
        <v>4</v>
      </c>
      <c r="I40" s="44">
        <v>4</v>
      </c>
      <c r="J40" s="44">
        <v>4</v>
      </c>
      <c r="K40" s="44">
        <v>4</v>
      </c>
      <c r="L40" s="45"/>
      <c r="M40" s="46" t="s">
        <v>244</v>
      </c>
      <c r="N40" s="50" t="s">
        <v>260</v>
      </c>
    </row>
    <row r="41" spans="1:14" ht="45">
      <c r="A41" s="1" t="s">
        <v>241</v>
      </c>
      <c r="B41" s="47">
        <v>7</v>
      </c>
      <c r="C41" s="50" t="s">
        <v>261</v>
      </c>
      <c r="D41" s="51" t="s">
        <v>262</v>
      </c>
      <c r="E41" s="90" t="str">
        <f>(VLOOKUP(F41,Formula!$C$6:$D$26,2,FALSE))</f>
        <v>Prioritas (High)</v>
      </c>
      <c r="F41" s="3">
        <f t="shared" si="0"/>
        <v>20</v>
      </c>
      <c r="G41" s="44">
        <v>4</v>
      </c>
      <c r="H41" s="44">
        <v>4</v>
      </c>
      <c r="I41" s="44">
        <v>4</v>
      </c>
      <c r="J41" s="44">
        <v>4</v>
      </c>
      <c r="K41" s="44">
        <v>4</v>
      </c>
      <c r="L41" s="45"/>
      <c r="M41" s="46" t="s">
        <v>244</v>
      </c>
      <c r="N41" s="50" t="s">
        <v>263</v>
      </c>
    </row>
    <row r="42" spans="1:14" ht="45">
      <c r="A42" s="1" t="s">
        <v>264</v>
      </c>
      <c r="B42" s="42">
        <v>1</v>
      </c>
      <c r="C42" s="43" t="s">
        <v>265</v>
      </c>
      <c r="D42" s="46" t="s">
        <v>266</v>
      </c>
      <c r="E42" s="90" t="str">
        <f>(VLOOKUP(F42,Formula!$C$6:$D$26,2,FALSE))</f>
        <v>Prioritas (High)</v>
      </c>
      <c r="F42" s="3">
        <f t="shared" si="0"/>
        <v>20</v>
      </c>
      <c r="G42" s="44">
        <v>4</v>
      </c>
      <c r="H42" s="44">
        <v>4</v>
      </c>
      <c r="I42" s="44">
        <v>4</v>
      </c>
      <c r="J42" s="44">
        <v>4</v>
      </c>
      <c r="K42" s="44">
        <v>4</v>
      </c>
      <c r="L42" s="45"/>
      <c r="M42" s="46" t="s">
        <v>244</v>
      </c>
      <c r="N42" s="46" t="s">
        <v>267</v>
      </c>
    </row>
    <row r="43" spans="1:14" ht="60">
      <c r="A43" s="1" t="s">
        <v>264</v>
      </c>
      <c r="B43" s="42">
        <f>B42+1</f>
        <v>2</v>
      </c>
      <c r="C43" s="46" t="s">
        <v>268</v>
      </c>
      <c r="D43" s="43" t="s">
        <v>269</v>
      </c>
      <c r="E43" s="90" t="str">
        <f>(VLOOKUP(F43,Formula!$C$6:$D$26,2,FALSE))</f>
        <v>Prioritas (High)</v>
      </c>
      <c r="F43" s="3">
        <f t="shared" si="0"/>
        <v>20</v>
      </c>
      <c r="G43" s="44">
        <v>4</v>
      </c>
      <c r="H43" s="44">
        <v>4</v>
      </c>
      <c r="I43" s="44">
        <v>4</v>
      </c>
      <c r="J43" s="44">
        <v>4</v>
      </c>
      <c r="K43" s="44">
        <v>4</v>
      </c>
      <c r="L43" s="45"/>
      <c r="M43" s="46" t="s">
        <v>244</v>
      </c>
      <c r="N43" s="46" t="s">
        <v>270</v>
      </c>
    </row>
    <row r="44" spans="1:14" ht="60">
      <c r="A44" s="1" t="s">
        <v>264</v>
      </c>
      <c r="B44" s="42">
        <f>B43+1</f>
        <v>3</v>
      </c>
      <c r="C44" s="46" t="s">
        <v>271</v>
      </c>
      <c r="D44" s="46" t="s">
        <v>272</v>
      </c>
      <c r="E44" s="90" t="str">
        <f>(VLOOKUP(F44,Formula!$C$6:$D$26,2,FALSE))</f>
        <v>Prioritas (High)</v>
      </c>
      <c r="F44" s="3">
        <f t="shared" si="0"/>
        <v>20</v>
      </c>
      <c r="G44" s="44">
        <v>4</v>
      </c>
      <c r="H44" s="44">
        <v>4</v>
      </c>
      <c r="I44" s="44">
        <v>4</v>
      </c>
      <c r="J44" s="44">
        <v>4</v>
      </c>
      <c r="K44" s="44">
        <v>4</v>
      </c>
      <c r="L44" s="45"/>
      <c r="M44" s="46" t="s">
        <v>244</v>
      </c>
      <c r="N44" s="46" t="s">
        <v>267</v>
      </c>
    </row>
    <row r="45" spans="1:14" ht="30">
      <c r="A45" s="1" t="s">
        <v>264</v>
      </c>
      <c r="B45" s="42">
        <f>B44+1</f>
        <v>4</v>
      </c>
      <c r="C45" s="43" t="s">
        <v>273</v>
      </c>
      <c r="D45" s="43" t="s">
        <v>274</v>
      </c>
      <c r="E45" s="90" t="str">
        <f>(VLOOKUP(F45,Formula!$C$6:$D$26,2,FALSE))</f>
        <v>Prioritas (High)</v>
      </c>
      <c r="F45" s="3">
        <f t="shared" si="0"/>
        <v>20</v>
      </c>
      <c r="G45" s="44">
        <v>4</v>
      </c>
      <c r="H45" s="44">
        <v>4</v>
      </c>
      <c r="I45" s="44">
        <v>4</v>
      </c>
      <c r="J45" s="44">
        <v>4</v>
      </c>
      <c r="K45" s="44">
        <v>4</v>
      </c>
      <c r="L45" s="45"/>
      <c r="M45" s="46" t="s">
        <v>244</v>
      </c>
      <c r="N45" s="46" t="s">
        <v>275</v>
      </c>
    </row>
    <row r="46" spans="1:14" ht="134.4">
      <c r="A46" s="1" t="s">
        <v>276</v>
      </c>
      <c r="B46" s="4">
        <v>1</v>
      </c>
      <c r="C46" s="3" t="s">
        <v>277</v>
      </c>
      <c r="D46" s="27" t="s">
        <v>278</v>
      </c>
      <c r="E46" s="90" t="str">
        <f>(VLOOKUP(F46,Formula!$C$6:$D$26,2,FALSE))</f>
        <v>Prioritas (High)</v>
      </c>
      <c r="F46" s="3">
        <f t="shared" si="0"/>
        <v>17</v>
      </c>
      <c r="G46" s="11">
        <v>5</v>
      </c>
      <c r="H46" s="13">
        <v>4</v>
      </c>
      <c r="I46" s="11">
        <v>4</v>
      </c>
      <c r="J46" s="11">
        <v>2</v>
      </c>
      <c r="K46" s="12">
        <v>2</v>
      </c>
      <c r="L46" s="27" t="s">
        <v>279</v>
      </c>
      <c r="M46" s="27" t="s">
        <v>280</v>
      </c>
      <c r="N46" s="27" t="s">
        <v>281</v>
      </c>
    </row>
    <row r="47" spans="1:14" ht="134.4">
      <c r="A47" s="1" t="s">
        <v>276</v>
      </c>
      <c r="B47" s="4">
        <v>2</v>
      </c>
      <c r="C47" s="3" t="s">
        <v>282</v>
      </c>
      <c r="D47" s="27" t="s">
        <v>283</v>
      </c>
      <c r="E47" s="90" t="str">
        <f>(VLOOKUP(F47,Formula!$C$6:$D$26,2,FALSE))</f>
        <v>Sangat Prioritas (Very High)</v>
      </c>
      <c r="F47" s="3">
        <f t="shared" si="0"/>
        <v>21</v>
      </c>
      <c r="G47" s="11">
        <v>5</v>
      </c>
      <c r="H47" s="13">
        <v>4</v>
      </c>
      <c r="I47" s="11">
        <v>5</v>
      </c>
      <c r="J47" s="13">
        <v>5</v>
      </c>
      <c r="K47" s="18">
        <v>2</v>
      </c>
      <c r="L47" s="39" t="s">
        <v>284</v>
      </c>
      <c r="M47" s="39" t="s">
        <v>285</v>
      </c>
      <c r="N47" s="27" t="s">
        <v>286</v>
      </c>
    </row>
    <row r="48" spans="1:14" ht="96">
      <c r="A48" s="1" t="s">
        <v>276</v>
      </c>
      <c r="B48" s="4">
        <v>3</v>
      </c>
      <c r="C48" s="3" t="s">
        <v>287</v>
      </c>
      <c r="D48" s="27" t="s">
        <v>288</v>
      </c>
      <c r="E48" s="90" t="str">
        <f>(VLOOKUP(F48,Formula!$C$6:$D$26,2,FALSE))</f>
        <v>Sedang (Medium)</v>
      </c>
      <c r="F48" s="3">
        <f t="shared" si="0"/>
        <v>15</v>
      </c>
      <c r="G48" s="11">
        <v>5</v>
      </c>
      <c r="H48" s="13">
        <v>4</v>
      </c>
      <c r="I48" s="11">
        <v>2</v>
      </c>
      <c r="J48" s="11">
        <v>2</v>
      </c>
      <c r="K48" s="12">
        <v>2</v>
      </c>
      <c r="L48" s="3" t="s">
        <v>284</v>
      </c>
      <c r="M48" s="27" t="s">
        <v>289</v>
      </c>
      <c r="N48" s="27" t="s">
        <v>290</v>
      </c>
    </row>
    <row r="49" spans="1:14" ht="172.8">
      <c r="A49" s="1" t="s">
        <v>276</v>
      </c>
      <c r="B49" s="4">
        <v>4</v>
      </c>
      <c r="C49" s="27" t="s">
        <v>291</v>
      </c>
      <c r="D49" s="27" t="s">
        <v>292</v>
      </c>
      <c r="E49" s="90" t="str">
        <f>(VLOOKUP(F49,Formula!$C$6:$D$26,2,FALSE))</f>
        <v>Prioritas (High)</v>
      </c>
      <c r="F49" s="3">
        <f t="shared" si="0"/>
        <v>18</v>
      </c>
      <c r="G49" s="17">
        <v>1</v>
      </c>
      <c r="H49" s="13">
        <v>4</v>
      </c>
      <c r="I49" s="11">
        <v>5</v>
      </c>
      <c r="J49" s="13">
        <v>5</v>
      </c>
      <c r="K49" s="12">
        <v>3</v>
      </c>
      <c r="L49" s="27" t="s">
        <v>293</v>
      </c>
      <c r="M49" s="27" t="s">
        <v>294</v>
      </c>
      <c r="N49" s="27" t="s">
        <v>295</v>
      </c>
    </row>
    <row r="50" spans="1:14" ht="44.4">
      <c r="A50" s="1" t="s">
        <v>296</v>
      </c>
      <c r="B50" s="52">
        <v>1</v>
      </c>
      <c r="C50" s="53" t="s">
        <v>297</v>
      </c>
      <c r="D50" s="54" t="s">
        <v>278</v>
      </c>
      <c r="E50" s="90" t="str">
        <f>(VLOOKUP(F50,Formula!$C$6:$D$26,2,FALSE))</f>
        <v>Sangat Prioritas (Very High)</v>
      </c>
      <c r="F50" s="3">
        <f t="shared" si="0"/>
        <v>23</v>
      </c>
      <c r="G50" s="55">
        <v>5</v>
      </c>
      <c r="H50" s="56">
        <v>5</v>
      </c>
      <c r="I50" s="55">
        <v>5</v>
      </c>
      <c r="J50" s="56">
        <v>5</v>
      </c>
      <c r="K50" s="57">
        <v>3</v>
      </c>
    </row>
    <row r="51" spans="1:14" ht="44.4">
      <c r="A51" s="1" t="s">
        <v>296</v>
      </c>
      <c r="B51" s="52">
        <v>2</v>
      </c>
      <c r="C51" s="53" t="s">
        <v>298</v>
      </c>
      <c r="D51" s="54" t="s">
        <v>299</v>
      </c>
      <c r="E51" s="90" t="str">
        <f>(VLOOKUP(F51,Formula!$C$6:$D$26,2,FALSE))</f>
        <v>Sedang (Medium)</v>
      </c>
      <c r="F51" s="3">
        <f t="shared" si="0"/>
        <v>15</v>
      </c>
      <c r="G51" s="55">
        <v>3</v>
      </c>
      <c r="H51" s="58">
        <v>3</v>
      </c>
      <c r="I51" s="55">
        <v>3</v>
      </c>
      <c r="J51" s="56">
        <v>3</v>
      </c>
      <c r="K51" s="59">
        <v>3</v>
      </c>
    </row>
    <row r="52" spans="1:14" ht="44.4">
      <c r="A52" s="1" t="s">
        <v>296</v>
      </c>
      <c r="B52" s="52">
        <v>3</v>
      </c>
      <c r="C52" s="54" t="s">
        <v>300</v>
      </c>
      <c r="D52" s="54" t="s">
        <v>301</v>
      </c>
      <c r="E52" s="90" t="str">
        <f>(VLOOKUP(F52,Formula!$C$6:$D$26,2,FALSE))</f>
        <v>Sangat Prioritas (Very High)</v>
      </c>
      <c r="F52" s="3">
        <f t="shared" si="0"/>
        <v>23</v>
      </c>
      <c r="G52" s="55">
        <v>5</v>
      </c>
      <c r="H52" s="53">
        <v>5</v>
      </c>
      <c r="I52" s="55">
        <v>5</v>
      </c>
      <c r="J52" s="56">
        <v>5</v>
      </c>
      <c r="K52" s="59">
        <v>3</v>
      </c>
    </row>
    <row r="53" spans="1:14" ht="44.4">
      <c r="A53" s="1" t="s">
        <v>296</v>
      </c>
      <c r="B53" s="52">
        <v>4</v>
      </c>
      <c r="C53" s="54" t="s">
        <v>302</v>
      </c>
      <c r="D53" s="54" t="s">
        <v>303</v>
      </c>
      <c r="E53" s="90" t="str">
        <f>(VLOOKUP(F53,Formula!$C$6:$D$26,2,FALSE))</f>
        <v>Sedang (Medium)</v>
      </c>
      <c r="F53" s="3">
        <f t="shared" si="0"/>
        <v>15</v>
      </c>
      <c r="G53" s="55">
        <v>3</v>
      </c>
      <c r="H53" s="55">
        <v>3</v>
      </c>
      <c r="I53" s="55">
        <v>3</v>
      </c>
      <c r="J53" s="56">
        <v>3</v>
      </c>
      <c r="K53" s="53">
        <v>3</v>
      </c>
    </row>
    <row r="54" spans="1:14" ht="66.599999999999994">
      <c r="A54" s="1" t="s">
        <v>296</v>
      </c>
      <c r="B54" s="52">
        <v>5</v>
      </c>
      <c r="C54" s="53" t="s">
        <v>304</v>
      </c>
      <c r="D54" s="54" t="s">
        <v>288</v>
      </c>
      <c r="E54" s="90" t="str">
        <f>(VLOOKUP(F54,Formula!$C$6:$D$26,2,FALSE))</f>
        <v>Sedang (Medium)</v>
      </c>
      <c r="F54" s="3">
        <f t="shared" si="0"/>
        <v>15</v>
      </c>
      <c r="G54" s="55">
        <v>3</v>
      </c>
      <c r="H54" s="53">
        <v>3</v>
      </c>
      <c r="I54" s="55">
        <v>3</v>
      </c>
      <c r="J54" s="55">
        <v>3</v>
      </c>
      <c r="K54" s="59">
        <v>3</v>
      </c>
    </row>
    <row r="55" spans="1:14" ht="96">
      <c r="A55" s="1" t="s">
        <v>325</v>
      </c>
      <c r="B55" s="60">
        <v>1</v>
      </c>
      <c r="C55" s="61" t="s">
        <v>305</v>
      </c>
      <c r="D55" s="61" t="s">
        <v>306</v>
      </c>
      <c r="E55" s="90" t="str">
        <f>(VLOOKUP(F55,Formula!$C$6:$D$26,2,FALSE))</f>
        <v>Prioritas (High)</v>
      </c>
      <c r="F55" s="3">
        <f t="shared" si="0"/>
        <v>17</v>
      </c>
      <c r="G55" s="62">
        <v>4</v>
      </c>
      <c r="H55" s="62">
        <v>3</v>
      </c>
      <c r="I55" s="62">
        <v>5</v>
      </c>
      <c r="J55" s="62">
        <v>3</v>
      </c>
      <c r="K55" s="62">
        <v>2</v>
      </c>
      <c r="L55" s="61" t="s">
        <v>307</v>
      </c>
      <c r="M55" s="63" t="s">
        <v>308</v>
      </c>
      <c r="N55" s="61" t="s">
        <v>309</v>
      </c>
    </row>
    <row r="56" spans="1:14" ht="211.2">
      <c r="A56" s="1" t="s">
        <v>325</v>
      </c>
      <c r="B56" s="64">
        <v>2</v>
      </c>
      <c r="C56" s="61" t="s">
        <v>310</v>
      </c>
      <c r="D56" s="61" t="s">
        <v>311</v>
      </c>
      <c r="E56" s="90" t="str">
        <f>(VLOOKUP(F56,Formula!$C$6:$D$26,2,FALSE))</f>
        <v>Sedang (Medium)</v>
      </c>
      <c r="F56" s="3">
        <f t="shared" si="0"/>
        <v>14</v>
      </c>
      <c r="G56" s="60">
        <v>4</v>
      </c>
      <c r="H56" s="60">
        <v>3</v>
      </c>
      <c r="I56" s="60">
        <v>3</v>
      </c>
      <c r="J56" s="60">
        <v>2</v>
      </c>
      <c r="K56" s="60">
        <v>2</v>
      </c>
      <c r="L56" s="63" t="s">
        <v>312</v>
      </c>
      <c r="M56" s="63" t="s">
        <v>313</v>
      </c>
      <c r="N56" s="61" t="s">
        <v>314</v>
      </c>
    </row>
    <row r="57" spans="1:14" ht="96">
      <c r="A57" s="1" t="s">
        <v>325</v>
      </c>
      <c r="B57" s="65">
        <v>3</v>
      </c>
      <c r="C57" s="61" t="s">
        <v>315</v>
      </c>
      <c r="D57" s="61" t="s">
        <v>316</v>
      </c>
      <c r="E57" s="90" t="str">
        <f>(VLOOKUP(F57,Formula!$C$6:$D$26,2,FALSE))</f>
        <v>Sedang (Medium)</v>
      </c>
      <c r="F57" s="3">
        <f t="shared" si="0"/>
        <v>14</v>
      </c>
      <c r="G57" s="60">
        <v>3</v>
      </c>
      <c r="H57" s="60">
        <v>3</v>
      </c>
      <c r="I57" s="60">
        <v>3</v>
      </c>
      <c r="J57" s="60">
        <v>3</v>
      </c>
      <c r="K57" s="60">
        <v>2</v>
      </c>
      <c r="L57" s="63" t="s">
        <v>317</v>
      </c>
      <c r="M57" s="63" t="s">
        <v>318</v>
      </c>
      <c r="N57" s="61" t="s">
        <v>314</v>
      </c>
    </row>
    <row r="58" spans="1:14" ht="76.8">
      <c r="A58" s="1" t="s">
        <v>325</v>
      </c>
      <c r="B58" s="66">
        <v>4</v>
      </c>
      <c r="C58" s="61" t="s">
        <v>319</v>
      </c>
      <c r="D58" s="61" t="s">
        <v>316</v>
      </c>
      <c r="E58" s="90" t="str">
        <f>(VLOOKUP(F58,Formula!$C$6:$D$26,2,FALSE))</f>
        <v>Prioritas (High)</v>
      </c>
      <c r="F58" s="3">
        <f t="shared" si="0"/>
        <v>17</v>
      </c>
      <c r="G58" s="60">
        <v>4</v>
      </c>
      <c r="H58" s="60">
        <v>3</v>
      </c>
      <c r="I58" s="60">
        <v>5</v>
      </c>
      <c r="J58" s="60">
        <v>3</v>
      </c>
      <c r="K58" s="60">
        <v>2</v>
      </c>
      <c r="L58" s="61" t="s">
        <v>307</v>
      </c>
      <c r="M58" s="63" t="s">
        <v>308</v>
      </c>
      <c r="N58" s="61" t="s">
        <v>309</v>
      </c>
    </row>
    <row r="59" spans="1:14" ht="38.4">
      <c r="A59" s="1" t="s">
        <v>325</v>
      </c>
      <c r="B59" s="60">
        <v>5</v>
      </c>
      <c r="C59" s="61" t="s">
        <v>320</v>
      </c>
      <c r="D59" s="61" t="s">
        <v>321</v>
      </c>
      <c r="E59" s="90" t="str">
        <f>(VLOOKUP(F59,Formula!$C$6:$D$26,2,FALSE))</f>
        <v>Sedang (Medium)</v>
      </c>
      <c r="F59" s="3">
        <f t="shared" si="0"/>
        <v>12</v>
      </c>
      <c r="G59" s="60">
        <v>3</v>
      </c>
      <c r="H59" s="60">
        <v>3</v>
      </c>
      <c r="I59" s="60">
        <v>3</v>
      </c>
      <c r="J59" s="60">
        <v>2</v>
      </c>
      <c r="K59" s="60">
        <v>1</v>
      </c>
      <c r="L59" s="61" t="s">
        <v>322</v>
      </c>
      <c r="M59" s="67"/>
      <c r="N59" s="61" t="s">
        <v>322</v>
      </c>
    </row>
    <row r="60" spans="1:14" ht="38.4">
      <c r="A60" s="1" t="s">
        <v>325</v>
      </c>
      <c r="B60" s="60">
        <v>6</v>
      </c>
      <c r="C60" s="61" t="s">
        <v>323</v>
      </c>
      <c r="D60" s="61" t="s">
        <v>324</v>
      </c>
      <c r="E60" s="90" t="str">
        <f>(VLOOKUP(F60,Formula!$C$6:$D$26,2,FALSE))</f>
        <v>Sedang (Medium)</v>
      </c>
      <c r="F60" s="3">
        <f t="shared" si="0"/>
        <v>11</v>
      </c>
      <c r="G60" s="60">
        <v>2</v>
      </c>
      <c r="H60" s="60">
        <v>3</v>
      </c>
      <c r="I60" s="60">
        <v>3</v>
      </c>
      <c r="J60" s="60">
        <v>2</v>
      </c>
      <c r="K60" s="60">
        <v>1</v>
      </c>
      <c r="L60" s="61" t="s">
        <v>322</v>
      </c>
      <c r="M60" s="67"/>
      <c r="N60" s="61" t="s">
        <v>322</v>
      </c>
    </row>
    <row r="61" spans="1:14" ht="24">
      <c r="A61" s="1" t="s">
        <v>326</v>
      </c>
      <c r="B61" s="4">
        <v>1</v>
      </c>
      <c r="C61" s="3" t="s">
        <v>327</v>
      </c>
      <c r="D61" s="3" t="s">
        <v>328</v>
      </c>
      <c r="E61" s="90" t="str">
        <f>(VLOOKUP(F61,Formula!$C$6:$D$26,2,FALSE))</f>
        <v>Sangat Prioritas (Very High)</v>
      </c>
      <c r="F61" s="3">
        <f t="shared" si="0"/>
        <v>23</v>
      </c>
      <c r="G61" s="3">
        <v>5</v>
      </c>
      <c r="H61" s="3">
        <v>5</v>
      </c>
      <c r="I61" s="3">
        <v>5</v>
      </c>
      <c r="J61" s="3">
        <v>5</v>
      </c>
      <c r="K61" s="3">
        <v>3</v>
      </c>
      <c r="L61" s="68" t="s">
        <v>329</v>
      </c>
      <c r="M61" s="3">
        <v>2</v>
      </c>
      <c r="N61" s="3"/>
    </row>
    <row r="62" spans="1:14" ht="57.6">
      <c r="A62" s="1" t="s">
        <v>326</v>
      </c>
      <c r="B62" s="4">
        <v>2</v>
      </c>
      <c r="C62" s="3" t="s">
        <v>327</v>
      </c>
      <c r="D62" s="3" t="s">
        <v>330</v>
      </c>
      <c r="E62" s="90" t="str">
        <f>(VLOOKUP(F62,Formula!$C$6:$D$26,2,FALSE))</f>
        <v>Sangat Prioritas (Very High)</v>
      </c>
      <c r="F62" s="3">
        <f t="shared" si="0"/>
        <v>23</v>
      </c>
      <c r="G62" s="3">
        <v>5</v>
      </c>
      <c r="H62" s="3">
        <v>5</v>
      </c>
      <c r="I62" s="3">
        <v>5</v>
      </c>
      <c r="J62" s="3">
        <v>5</v>
      </c>
      <c r="K62" s="3">
        <v>3</v>
      </c>
      <c r="L62" s="27" t="s">
        <v>331</v>
      </c>
      <c r="M62" s="3">
        <v>2</v>
      </c>
      <c r="N62" s="3"/>
    </row>
    <row r="63" spans="1:14" ht="57.6">
      <c r="A63" s="1" t="s">
        <v>326</v>
      </c>
      <c r="B63" s="4">
        <v>3</v>
      </c>
      <c r="C63" s="3" t="s">
        <v>327</v>
      </c>
      <c r="D63" s="3" t="s">
        <v>332</v>
      </c>
      <c r="E63" s="90" t="str">
        <f>(VLOOKUP(F63,Formula!$C$6:$D$26,2,FALSE))</f>
        <v>Sangat Prioritas (Very High)</v>
      </c>
      <c r="F63" s="3">
        <f t="shared" si="0"/>
        <v>23</v>
      </c>
      <c r="G63" s="3">
        <v>5</v>
      </c>
      <c r="H63" s="3">
        <v>5</v>
      </c>
      <c r="I63" s="3">
        <v>5</v>
      </c>
      <c r="J63" s="3">
        <v>5</v>
      </c>
      <c r="K63" s="3">
        <v>3</v>
      </c>
      <c r="L63" s="27" t="s">
        <v>333</v>
      </c>
      <c r="M63" s="3">
        <v>2</v>
      </c>
      <c r="N63" s="3"/>
    </row>
    <row r="64" spans="1:14" ht="24">
      <c r="A64" s="1" t="s">
        <v>326</v>
      </c>
      <c r="B64" s="4">
        <v>4</v>
      </c>
      <c r="C64" s="3" t="s">
        <v>327</v>
      </c>
      <c r="D64" s="3" t="s">
        <v>334</v>
      </c>
      <c r="E64" s="90" t="str">
        <f>(VLOOKUP(F64,Formula!$C$6:$D$26,2,FALSE))</f>
        <v>Sangat Prioritas (Very High)</v>
      </c>
      <c r="F64" s="3">
        <f t="shared" si="0"/>
        <v>23</v>
      </c>
      <c r="G64" s="3">
        <v>5</v>
      </c>
      <c r="H64" s="3">
        <v>5</v>
      </c>
      <c r="I64" s="3">
        <v>5</v>
      </c>
      <c r="J64" s="3">
        <v>5</v>
      </c>
      <c r="K64" s="3">
        <v>3</v>
      </c>
      <c r="L64" s="3"/>
      <c r="M64" s="3">
        <v>2</v>
      </c>
      <c r="N64" s="3"/>
    </row>
    <row r="65" spans="1:14" ht="24">
      <c r="A65" s="1" t="s">
        <v>326</v>
      </c>
      <c r="B65" s="4">
        <v>5</v>
      </c>
      <c r="C65" s="3" t="s">
        <v>327</v>
      </c>
      <c r="D65" s="3" t="s">
        <v>335</v>
      </c>
      <c r="E65" s="90" t="str">
        <f>(VLOOKUP(F65,Formula!$C$6:$D$26,2,FALSE))</f>
        <v>Sangat Prioritas (Very High)</v>
      </c>
      <c r="F65" s="3">
        <f t="shared" si="0"/>
        <v>23</v>
      </c>
      <c r="G65" s="3">
        <v>5</v>
      </c>
      <c r="H65" s="3">
        <v>5</v>
      </c>
      <c r="I65" s="3">
        <v>5</v>
      </c>
      <c r="J65" s="3">
        <v>5</v>
      </c>
      <c r="K65" s="3">
        <v>3</v>
      </c>
      <c r="L65" s="3"/>
      <c r="M65" s="3">
        <v>2</v>
      </c>
      <c r="N65" s="3"/>
    </row>
    <row r="66" spans="1:14">
      <c r="A66" s="1" t="s">
        <v>326</v>
      </c>
      <c r="B66" s="4">
        <v>6</v>
      </c>
      <c r="C66" s="3" t="s">
        <v>327</v>
      </c>
      <c r="D66" s="3" t="s">
        <v>336</v>
      </c>
      <c r="E66" s="90" t="str">
        <f>(VLOOKUP(F66,Formula!$C$6:$D$26,2,FALSE))</f>
        <v>Sedang (Medium)</v>
      </c>
      <c r="F66" s="3">
        <f t="shared" si="0"/>
        <v>11</v>
      </c>
      <c r="G66" s="3">
        <v>2</v>
      </c>
      <c r="H66" s="3">
        <v>2</v>
      </c>
      <c r="I66" s="3">
        <v>3</v>
      </c>
      <c r="J66" s="3">
        <v>2</v>
      </c>
      <c r="K66" s="3">
        <v>2</v>
      </c>
      <c r="L66" s="3"/>
      <c r="M66" s="3">
        <v>1</v>
      </c>
      <c r="N66" s="3" t="s">
        <v>337</v>
      </c>
    </row>
    <row r="67" spans="1:14">
      <c r="A67" s="1" t="s">
        <v>326</v>
      </c>
      <c r="B67" s="4">
        <v>7</v>
      </c>
      <c r="C67" s="3" t="s">
        <v>327</v>
      </c>
      <c r="D67" s="3" t="s">
        <v>338</v>
      </c>
      <c r="E67" s="90" t="str">
        <f>(VLOOKUP(F67,Formula!$C$6:$D$26,2,FALSE))</f>
        <v>Sedang (Medium)</v>
      </c>
      <c r="F67" s="3">
        <f t="shared" si="0"/>
        <v>11</v>
      </c>
      <c r="G67" s="3">
        <v>2</v>
      </c>
      <c r="H67" s="3">
        <v>2</v>
      </c>
      <c r="I67" s="3">
        <v>3</v>
      </c>
      <c r="J67" s="3">
        <v>2</v>
      </c>
      <c r="K67" s="3">
        <v>2</v>
      </c>
      <c r="L67" s="3"/>
      <c r="M67" s="3">
        <v>1</v>
      </c>
      <c r="N67" s="3" t="s">
        <v>337</v>
      </c>
    </row>
    <row r="68" spans="1:14" ht="24">
      <c r="A68" s="1" t="s">
        <v>326</v>
      </c>
      <c r="B68" s="4">
        <v>8</v>
      </c>
      <c r="C68" s="3" t="s">
        <v>327</v>
      </c>
      <c r="D68" s="3" t="s">
        <v>339</v>
      </c>
      <c r="E68" s="90" t="str">
        <f>(VLOOKUP(F68,Formula!$C$6:$D$26,2,FALSE))</f>
        <v>Sedang Rendah (Moderate to Low)</v>
      </c>
      <c r="F68" s="3">
        <f t="shared" si="0"/>
        <v>10</v>
      </c>
      <c r="G68" s="3">
        <v>2</v>
      </c>
      <c r="H68" s="3">
        <v>2</v>
      </c>
      <c r="I68" s="3">
        <v>2</v>
      </c>
      <c r="J68" s="3">
        <v>2</v>
      </c>
      <c r="K68" s="3">
        <v>2</v>
      </c>
      <c r="L68" s="3"/>
      <c r="M68" s="3">
        <v>1</v>
      </c>
      <c r="N68" s="3"/>
    </row>
    <row r="69" spans="1:14">
      <c r="A69" s="1" t="s">
        <v>326</v>
      </c>
      <c r="B69" s="4">
        <v>9</v>
      </c>
      <c r="C69" s="3" t="s">
        <v>327</v>
      </c>
      <c r="D69" s="3" t="s">
        <v>340</v>
      </c>
      <c r="E69" s="90" t="str">
        <f>(VLOOKUP(F69,Formula!$C$6:$D$26,2,FALSE))</f>
        <v>Sedang (Medium)</v>
      </c>
      <c r="F69" s="3">
        <f t="shared" si="0"/>
        <v>12</v>
      </c>
      <c r="G69" s="3">
        <v>2</v>
      </c>
      <c r="H69" s="3">
        <v>2</v>
      </c>
      <c r="I69" s="3">
        <v>3</v>
      </c>
      <c r="J69" s="3">
        <v>3</v>
      </c>
      <c r="K69" s="3">
        <v>2</v>
      </c>
      <c r="L69" s="3"/>
      <c r="M69" s="3">
        <v>1</v>
      </c>
      <c r="N69" s="3"/>
    </row>
    <row r="70" spans="1:14" ht="24">
      <c r="A70" s="1" t="s">
        <v>326</v>
      </c>
      <c r="B70" s="4">
        <v>10</v>
      </c>
      <c r="C70" s="3" t="s">
        <v>341</v>
      </c>
      <c r="D70" s="3" t="s">
        <v>342</v>
      </c>
      <c r="E70" s="90" t="str">
        <f>(VLOOKUP(F70,Formula!$C$6:$D$26,2,FALSE))</f>
        <v>Sedang Rendah (Moderate to Low)</v>
      </c>
      <c r="F70" s="3">
        <f t="shared" ref="F70:F133" si="1">G70+H70+I70+J70+K70</f>
        <v>10</v>
      </c>
      <c r="G70" s="3">
        <v>2</v>
      </c>
      <c r="H70" s="3">
        <v>2</v>
      </c>
      <c r="I70" s="3">
        <v>2</v>
      </c>
      <c r="J70" s="3">
        <v>2</v>
      </c>
      <c r="K70" s="3">
        <v>2</v>
      </c>
      <c r="L70" s="3"/>
      <c r="M70" s="3">
        <v>1</v>
      </c>
      <c r="N70" s="3"/>
    </row>
    <row r="71" spans="1:14" ht="96">
      <c r="A71" s="1" t="s">
        <v>343</v>
      </c>
      <c r="B71" s="4">
        <v>1</v>
      </c>
      <c r="C71" s="69" t="s">
        <v>344</v>
      </c>
      <c r="D71" s="27" t="s">
        <v>345</v>
      </c>
      <c r="E71" s="90" t="str">
        <f>(VLOOKUP(F71,Formula!$C$6:$D$26,2,FALSE))</f>
        <v>Sangat Prioritas (Very High)</v>
      </c>
      <c r="F71" s="3">
        <f t="shared" si="1"/>
        <v>21</v>
      </c>
      <c r="G71" s="70">
        <v>4</v>
      </c>
      <c r="H71" s="70">
        <v>5</v>
      </c>
      <c r="I71" s="70">
        <v>4</v>
      </c>
      <c r="J71" s="70">
        <v>5</v>
      </c>
      <c r="K71" s="3">
        <v>3</v>
      </c>
      <c r="L71" s="27" t="s">
        <v>346</v>
      </c>
      <c r="M71" s="27" t="s">
        <v>347</v>
      </c>
      <c r="N71" s="27" t="s">
        <v>346</v>
      </c>
    </row>
    <row r="72" spans="1:14" ht="76.8">
      <c r="A72" s="1" t="s">
        <v>343</v>
      </c>
      <c r="B72" s="4">
        <v>2</v>
      </c>
      <c r="C72" s="69" t="s">
        <v>348</v>
      </c>
      <c r="D72" s="27" t="s">
        <v>349</v>
      </c>
      <c r="E72" s="90" t="str">
        <f>(VLOOKUP(F72,Formula!$C$6:$D$26,2,FALSE))</f>
        <v>Sangat Prioritas (Very High)</v>
      </c>
      <c r="F72" s="3">
        <f t="shared" si="1"/>
        <v>21</v>
      </c>
      <c r="G72" s="70">
        <v>5</v>
      </c>
      <c r="H72" s="70">
        <v>4</v>
      </c>
      <c r="I72" s="70">
        <v>4</v>
      </c>
      <c r="J72" s="70">
        <v>5</v>
      </c>
      <c r="K72" s="3">
        <v>3</v>
      </c>
      <c r="L72" s="27" t="s">
        <v>350</v>
      </c>
      <c r="M72" s="27" t="s">
        <v>351</v>
      </c>
      <c r="N72" s="27" t="s">
        <v>350</v>
      </c>
    </row>
    <row r="73" spans="1:14" ht="57.6">
      <c r="A73" s="1" t="s">
        <v>343</v>
      </c>
      <c r="B73" s="4">
        <v>3</v>
      </c>
      <c r="C73" s="69" t="s">
        <v>352</v>
      </c>
      <c r="D73" s="27" t="s">
        <v>353</v>
      </c>
      <c r="E73" s="90" t="str">
        <f>(VLOOKUP(F73,Formula!$C$6:$D$26,2,FALSE))</f>
        <v>Sedang Rendah (Moderate to Low)</v>
      </c>
      <c r="F73" s="3">
        <f t="shared" si="1"/>
        <v>10</v>
      </c>
      <c r="G73" s="70">
        <v>2</v>
      </c>
      <c r="H73" s="70">
        <v>2</v>
      </c>
      <c r="I73" s="70">
        <v>2</v>
      </c>
      <c r="J73" s="70">
        <v>1</v>
      </c>
      <c r="K73" s="3">
        <v>3</v>
      </c>
      <c r="L73" s="27" t="s">
        <v>354</v>
      </c>
      <c r="M73" s="27" t="s">
        <v>355</v>
      </c>
      <c r="N73" s="27" t="s">
        <v>354</v>
      </c>
    </row>
    <row r="74" spans="1:14" ht="76.8">
      <c r="A74" s="1" t="s">
        <v>343</v>
      </c>
      <c r="B74" s="4">
        <v>4</v>
      </c>
      <c r="C74" s="69" t="s">
        <v>356</v>
      </c>
      <c r="D74" s="27" t="s">
        <v>357</v>
      </c>
      <c r="E74" s="90" t="str">
        <f>(VLOOKUP(F74,Formula!$C$6:$D$26,2,FALSE))</f>
        <v>Sedang (Medium)</v>
      </c>
      <c r="F74" s="3">
        <f t="shared" si="1"/>
        <v>11</v>
      </c>
      <c r="G74" s="70">
        <v>2</v>
      </c>
      <c r="H74" s="70">
        <v>2</v>
      </c>
      <c r="I74" s="70">
        <v>2</v>
      </c>
      <c r="J74" s="70">
        <v>2</v>
      </c>
      <c r="K74" s="3">
        <v>3</v>
      </c>
      <c r="L74" s="27" t="s">
        <v>358</v>
      </c>
      <c r="M74" s="27" t="s">
        <v>359</v>
      </c>
      <c r="N74" s="27" t="s">
        <v>358</v>
      </c>
    </row>
    <row r="75" spans="1:14" ht="38.4">
      <c r="A75" s="1" t="s">
        <v>343</v>
      </c>
      <c r="B75" s="4">
        <v>5</v>
      </c>
      <c r="C75" s="3" t="s">
        <v>360</v>
      </c>
      <c r="D75" s="3" t="s">
        <v>361</v>
      </c>
      <c r="E75" s="90" t="str">
        <f>(VLOOKUP(F75,Formula!$C$6:$D$26,2,FALSE))</f>
        <v>Rendah (Low)</v>
      </c>
      <c r="F75" s="3">
        <f t="shared" si="1"/>
        <v>5</v>
      </c>
      <c r="G75" s="70">
        <v>1</v>
      </c>
      <c r="H75" s="70">
        <v>1</v>
      </c>
      <c r="I75" s="70">
        <v>1</v>
      </c>
      <c r="J75" s="70">
        <v>1</v>
      </c>
      <c r="K75" s="70">
        <v>1</v>
      </c>
      <c r="L75" s="27" t="s">
        <v>362</v>
      </c>
      <c r="M75" s="28" t="s">
        <v>363</v>
      </c>
      <c r="N75" s="27" t="s">
        <v>364</v>
      </c>
    </row>
    <row r="76" spans="1:14" ht="57.6">
      <c r="A76" s="1" t="s">
        <v>365</v>
      </c>
      <c r="B76" s="4">
        <v>1</v>
      </c>
      <c r="C76" s="27" t="s">
        <v>366</v>
      </c>
      <c r="D76" s="27" t="s">
        <v>367</v>
      </c>
      <c r="E76" s="90" t="str">
        <f>(VLOOKUP(F76,Formula!$C$6:$D$26,2,FALSE))</f>
        <v>Prioritas (High)</v>
      </c>
      <c r="F76" s="3">
        <f t="shared" si="1"/>
        <v>16</v>
      </c>
      <c r="G76" s="4">
        <v>4</v>
      </c>
      <c r="H76" s="4">
        <v>1</v>
      </c>
      <c r="I76" s="4">
        <v>4</v>
      </c>
      <c r="J76" s="4">
        <v>5</v>
      </c>
      <c r="K76" s="4">
        <v>2</v>
      </c>
      <c r="L76" s="27" t="s">
        <v>368</v>
      </c>
      <c r="M76" s="27" t="s">
        <v>369</v>
      </c>
      <c r="N76" s="27" t="s">
        <v>370</v>
      </c>
    </row>
    <row r="77" spans="1:14" ht="115.2">
      <c r="A77" s="1" t="s">
        <v>365</v>
      </c>
      <c r="B77" s="4">
        <v>2</v>
      </c>
      <c r="C77" s="27" t="s">
        <v>371</v>
      </c>
      <c r="D77" s="27" t="s">
        <v>372</v>
      </c>
      <c r="E77" s="90" t="str">
        <f>(VLOOKUP(F77,Formula!$C$6:$D$26,2,FALSE))</f>
        <v>Prioritas (High)</v>
      </c>
      <c r="F77" s="3">
        <f t="shared" si="1"/>
        <v>16</v>
      </c>
      <c r="G77" s="4">
        <v>4</v>
      </c>
      <c r="H77" s="4">
        <v>1</v>
      </c>
      <c r="I77" s="4">
        <v>4</v>
      </c>
      <c r="J77" s="4">
        <v>5</v>
      </c>
      <c r="K77" s="4">
        <v>2</v>
      </c>
      <c r="L77" s="27" t="s">
        <v>373</v>
      </c>
      <c r="M77" s="27" t="s">
        <v>374</v>
      </c>
      <c r="N77" s="27" t="s">
        <v>375</v>
      </c>
    </row>
    <row r="78" spans="1:14" ht="57.6">
      <c r="A78" s="1" t="s">
        <v>365</v>
      </c>
      <c r="B78" s="4">
        <v>3</v>
      </c>
      <c r="C78" s="27" t="s">
        <v>376</v>
      </c>
      <c r="D78" s="27" t="s">
        <v>377</v>
      </c>
      <c r="E78" s="90" t="str">
        <f>(VLOOKUP(F78,Formula!$C$6:$D$26,2,FALSE))</f>
        <v>Prioritas (High)</v>
      </c>
      <c r="F78" s="3">
        <f t="shared" si="1"/>
        <v>16</v>
      </c>
      <c r="G78" s="4">
        <v>4</v>
      </c>
      <c r="H78" s="4">
        <v>1</v>
      </c>
      <c r="I78" s="4">
        <v>4</v>
      </c>
      <c r="J78" s="4">
        <v>5</v>
      </c>
      <c r="K78" s="4">
        <v>2</v>
      </c>
      <c r="L78" s="27" t="s">
        <v>378</v>
      </c>
      <c r="M78" s="27" t="s">
        <v>379</v>
      </c>
      <c r="N78" s="27" t="s">
        <v>370</v>
      </c>
    </row>
    <row r="79" spans="1:14" ht="57.6">
      <c r="A79" s="1" t="s">
        <v>365</v>
      </c>
      <c r="B79" s="4">
        <v>4</v>
      </c>
      <c r="C79" s="27" t="s">
        <v>380</v>
      </c>
      <c r="D79" s="27" t="s">
        <v>381</v>
      </c>
      <c r="E79" s="90" t="str">
        <f>(VLOOKUP(F79,Formula!$C$6:$D$26,2,FALSE))</f>
        <v>Prioritas (High)</v>
      </c>
      <c r="F79" s="3">
        <f t="shared" si="1"/>
        <v>16</v>
      </c>
      <c r="G79" s="4">
        <v>4</v>
      </c>
      <c r="H79" s="4">
        <v>1</v>
      </c>
      <c r="I79" s="4">
        <v>4</v>
      </c>
      <c r="J79" s="4">
        <v>5</v>
      </c>
      <c r="K79" s="4">
        <v>2</v>
      </c>
      <c r="L79" s="27" t="s">
        <v>382</v>
      </c>
      <c r="M79" s="27" t="s">
        <v>379</v>
      </c>
      <c r="N79" s="27" t="s">
        <v>383</v>
      </c>
    </row>
    <row r="80" spans="1:14" ht="57.6">
      <c r="A80" s="1" t="s">
        <v>365</v>
      </c>
      <c r="B80" s="4">
        <v>5</v>
      </c>
      <c r="C80" s="27" t="s">
        <v>384</v>
      </c>
      <c r="D80" s="27" t="s">
        <v>385</v>
      </c>
      <c r="E80" s="90" t="str">
        <f>(VLOOKUP(F80,Formula!$C$6:$D$26,2,FALSE))</f>
        <v>Prioritas (High)</v>
      </c>
      <c r="F80" s="3">
        <f t="shared" si="1"/>
        <v>16</v>
      </c>
      <c r="G80" s="4">
        <v>4</v>
      </c>
      <c r="H80" s="4">
        <v>1</v>
      </c>
      <c r="I80" s="4">
        <v>4</v>
      </c>
      <c r="J80" s="4">
        <v>5</v>
      </c>
      <c r="K80" s="4">
        <v>2</v>
      </c>
      <c r="L80" s="27" t="s">
        <v>386</v>
      </c>
      <c r="M80" s="27" t="s">
        <v>379</v>
      </c>
      <c r="N80" s="27" t="s">
        <v>387</v>
      </c>
    </row>
    <row r="81" spans="1:14" ht="57.6">
      <c r="A81" s="1" t="s">
        <v>365</v>
      </c>
      <c r="B81" s="4">
        <v>6</v>
      </c>
      <c r="C81" s="27" t="s">
        <v>388</v>
      </c>
      <c r="D81" s="27" t="s">
        <v>389</v>
      </c>
      <c r="E81" s="90" t="str">
        <f>(VLOOKUP(F81,Formula!$C$6:$D$26,2,FALSE))</f>
        <v>Prioritas (High)</v>
      </c>
      <c r="F81" s="3">
        <f t="shared" si="1"/>
        <v>16</v>
      </c>
      <c r="G81" s="4">
        <v>4</v>
      </c>
      <c r="H81" s="4">
        <v>1</v>
      </c>
      <c r="I81" s="4">
        <v>4</v>
      </c>
      <c r="J81" s="4">
        <v>5</v>
      </c>
      <c r="K81" s="4">
        <v>2</v>
      </c>
      <c r="L81" s="27" t="s">
        <v>390</v>
      </c>
      <c r="M81" s="27" t="s">
        <v>379</v>
      </c>
      <c r="N81" s="27" t="s">
        <v>387</v>
      </c>
    </row>
    <row r="82" spans="1:14" ht="38.4">
      <c r="A82" s="1" t="s">
        <v>391</v>
      </c>
      <c r="B82" s="4">
        <v>1</v>
      </c>
      <c r="C82" s="72" t="s">
        <v>392</v>
      </c>
      <c r="D82" s="72" t="s">
        <v>393</v>
      </c>
      <c r="E82" s="90" t="str">
        <f>(VLOOKUP(F82,Formula!$C$6:$D$26,2,FALSE))</f>
        <v>Sedang (Medium)</v>
      </c>
      <c r="F82" s="3">
        <f t="shared" si="1"/>
        <v>12</v>
      </c>
      <c r="G82" s="73" t="s">
        <v>394</v>
      </c>
      <c r="H82" s="73" t="s">
        <v>395</v>
      </c>
      <c r="I82" s="73" t="s">
        <v>396</v>
      </c>
      <c r="J82" s="73" t="s">
        <v>396</v>
      </c>
      <c r="K82" s="73" t="s">
        <v>396</v>
      </c>
      <c r="L82" s="72" t="s">
        <v>397</v>
      </c>
      <c r="M82" s="72" t="s">
        <v>398</v>
      </c>
      <c r="N82" s="72" t="s">
        <v>399</v>
      </c>
    </row>
    <row r="83" spans="1:14" ht="38.4">
      <c r="A83" s="1" t="s">
        <v>400</v>
      </c>
      <c r="B83" s="4">
        <v>1</v>
      </c>
      <c r="C83" s="27" t="s">
        <v>401</v>
      </c>
      <c r="D83" s="27" t="s">
        <v>402</v>
      </c>
      <c r="E83" s="90" t="str">
        <f>(VLOOKUP(F83,Formula!$C$6:$D$26,2,FALSE))</f>
        <v>Prioritas (High)</v>
      </c>
      <c r="F83" s="3">
        <f t="shared" si="1"/>
        <v>17</v>
      </c>
      <c r="G83" s="3">
        <v>2</v>
      </c>
      <c r="H83" s="3">
        <v>2</v>
      </c>
      <c r="I83" s="3">
        <v>5</v>
      </c>
      <c r="J83" s="3">
        <v>5</v>
      </c>
      <c r="K83" s="3">
        <v>3</v>
      </c>
      <c r="L83" s="27" t="s">
        <v>403</v>
      </c>
      <c r="M83" s="3">
        <v>1</v>
      </c>
      <c r="N83" s="74" t="s">
        <v>404</v>
      </c>
    </row>
    <row r="84" spans="1:14" ht="38.4">
      <c r="A84" s="1" t="s">
        <v>400</v>
      </c>
      <c r="B84" s="4">
        <v>2</v>
      </c>
      <c r="C84" s="27" t="s">
        <v>405</v>
      </c>
      <c r="D84" s="27" t="s">
        <v>406</v>
      </c>
      <c r="E84" s="90" t="str">
        <f>(VLOOKUP(F84,Formula!$C$6:$D$26,2,FALSE))</f>
        <v>Sedang (Medium)</v>
      </c>
      <c r="F84" s="3">
        <f t="shared" si="1"/>
        <v>13</v>
      </c>
      <c r="G84" s="3">
        <v>2</v>
      </c>
      <c r="H84" s="3">
        <v>1</v>
      </c>
      <c r="I84" s="3">
        <v>3</v>
      </c>
      <c r="J84" s="3">
        <v>5</v>
      </c>
      <c r="K84" s="3">
        <v>2</v>
      </c>
      <c r="L84" s="27" t="s">
        <v>407</v>
      </c>
      <c r="M84" s="3">
        <v>1</v>
      </c>
      <c r="N84" s="74" t="s">
        <v>404</v>
      </c>
    </row>
    <row r="85" spans="1:14" ht="57.6">
      <c r="A85" s="1" t="s">
        <v>400</v>
      </c>
      <c r="B85" s="4">
        <v>3</v>
      </c>
      <c r="C85" s="27" t="s">
        <v>408</v>
      </c>
      <c r="D85" s="27" t="s">
        <v>409</v>
      </c>
      <c r="E85" s="90" t="str">
        <f>(VLOOKUP(F85,Formula!$C$6:$D$26,2,FALSE))</f>
        <v>Sedang (Medium)</v>
      </c>
      <c r="F85" s="3">
        <f t="shared" si="1"/>
        <v>13</v>
      </c>
      <c r="G85" s="3">
        <v>2</v>
      </c>
      <c r="H85" s="3">
        <v>2</v>
      </c>
      <c r="I85" s="3">
        <v>3</v>
      </c>
      <c r="J85" s="3">
        <v>4</v>
      </c>
      <c r="K85" s="3">
        <v>2</v>
      </c>
      <c r="L85" s="27" t="s">
        <v>410</v>
      </c>
      <c r="M85" s="3">
        <v>1</v>
      </c>
      <c r="N85" s="74" t="s">
        <v>411</v>
      </c>
    </row>
    <row r="86" spans="1:14" ht="38.4">
      <c r="A86" s="1" t="s">
        <v>400</v>
      </c>
      <c r="B86" s="4">
        <v>4</v>
      </c>
      <c r="C86" s="27" t="s">
        <v>412</v>
      </c>
      <c r="D86" s="27" t="s">
        <v>413</v>
      </c>
      <c r="E86" s="90" t="str">
        <f>(VLOOKUP(F86,Formula!$C$6:$D$26,2,FALSE))</f>
        <v>Sedang Rendah (Moderate to Low)</v>
      </c>
      <c r="F86" s="3">
        <f t="shared" si="1"/>
        <v>10</v>
      </c>
      <c r="G86" s="3">
        <v>1</v>
      </c>
      <c r="H86" s="3">
        <v>2</v>
      </c>
      <c r="I86" s="3">
        <v>2</v>
      </c>
      <c r="J86" s="3">
        <v>3</v>
      </c>
      <c r="K86" s="3">
        <v>2</v>
      </c>
      <c r="L86" s="27" t="s">
        <v>414</v>
      </c>
      <c r="M86" s="3">
        <v>1</v>
      </c>
      <c r="N86" s="74" t="s">
        <v>411</v>
      </c>
    </row>
    <row r="87" spans="1:14" ht="38.4">
      <c r="A87" s="1" t="s">
        <v>400</v>
      </c>
      <c r="B87" s="4">
        <v>5</v>
      </c>
      <c r="C87" s="27" t="s">
        <v>415</v>
      </c>
      <c r="D87" s="27" t="s">
        <v>416</v>
      </c>
      <c r="E87" s="90" t="str">
        <f>(VLOOKUP(F87,Formula!$C$6:$D$26,2,FALSE))</f>
        <v>Sedang Rendah (Moderate to Low)</v>
      </c>
      <c r="F87" s="3">
        <f t="shared" si="1"/>
        <v>8</v>
      </c>
      <c r="G87" s="3">
        <v>1</v>
      </c>
      <c r="H87" s="3">
        <v>1</v>
      </c>
      <c r="I87" s="3">
        <v>2</v>
      </c>
      <c r="J87" s="3">
        <v>2</v>
      </c>
      <c r="K87" s="3">
        <v>2</v>
      </c>
      <c r="L87" s="27" t="s">
        <v>417</v>
      </c>
      <c r="M87" s="3">
        <v>1</v>
      </c>
      <c r="N87" s="74" t="s">
        <v>411</v>
      </c>
    </row>
    <row r="88" spans="1:14" ht="115.2">
      <c r="A88" s="1" t="s">
        <v>418</v>
      </c>
      <c r="B88" s="4">
        <v>1</v>
      </c>
      <c r="C88" s="27" t="s">
        <v>419</v>
      </c>
      <c r="D88" s="27" t="s">
        <v>420</v>
      </c>
      <c r="E88" s="90" t="str">
        <f>(VLOOKUP(F88,Formula!$C$6:$D$26,2,FALSE))</f>
        <v>Sedang (Medium)</v>
      </c>
      <c r="F88" s="3">
        <f t="shared" si="1"/>
        <v>13</v>
      </c>
      <c r="G88" s="3">
        <v>3</v>
      </c>
      <c r="H88" s="3">
        <v>3</v>
      </c>
      <c r="I88" s="3">
        <v>2</v>
      </c>
      <c r="J88" s="3">
        <v>2</v>
      </c>
      <c r="K88" s="3">
        <v>3</v>
      </c>
      <c r="L88" s="3" t="s">
        <v>421</v>
      </c>
      <c r="M88" s="3">
        <v>5</v>
      </c>
      <c r="N88" s="27" t="s">
        <v>422</v>
      </c>
    </row>
    <row r="89" spans="1:14" ht="57.6">
      <c r="A89" s="1" t="s">
        <v>418</v>
      </c>
      <c r="B89" s="4">
        <v>2</v>
      </c>
      <c r="C89" s="27" t="s">
        <v>423</v>
      </c>
      <c r="D89" s="27" t="s">
        <v>424</v>
      </c>
      <c r="E89" s="90" t="str">
        <f>(VLOOKUP(F89,Formula!$C$6:$D$26,2,FALSE))</f>
        <v>Sedang Rendah (Moderate to Low)</v>
      </c>
      <c r="F89" s="3">
        <f t="shared" si="1"/>
        <v>9</v>
      </c>
      <c r="G89" s="3">
        <v>3</v>
      </c>
      <c r="H89" s="3">
        <v>3</v>
      </c>
      <c r="I89" s="3">
        <v>1</v>
      </c>
      <c r="J89" s="3">
        <v>1</v>
      </c>
      <c r="K89" s="3">
        <v>1</v>
      </c>
      <c r="L89" s="3" t="s">
        <v>421</v>
      </c>
      <c r="M89" s="3">
        <v>5</v>
      </c>
      <c r="N89" s="27" t="s">
        <v>425</v>
      </c>
    </row>
    <row r="90" spans="1:14" ht="57.6">
      <c r="A90" s="1" t="s">
        <v>418</v>
      </c>
      <c r="B90" s="4">
        <v>3</v>
      </c>
      <c r="C90" s="27" t="s">
        <v>426</v>
      </c>
      <c r="D90" s="27" t="s">
        <v>427</v>
      </c>
      <c r="E90" s="90" t="str">
        <f>(VLOOKUP(F90,Formula!$C$6:$D$26,2,FALSE))</f>
        <v>Sedang Rendah (Moderate to Low)</v>
      </c>
      <c r="F90" s="3">
        <f t="shared" si="1"/>
        <v>9</v>
      </c>
      <c r="G90" s="3">
        <v>3</v>
      </c>
      <c r="H90" s="3">
        <v>3</v>
      </c>
      <c r="I90" s="3">
        <v>1</v>
      </c>
      <c r="J90" s="3">
        <v>1</v>
      </c>
      <c r="K90" s="3">
        <v>1</v>
      </c>
      <c r="L90" s="3" t="s">
        <v>421</v>
      </c>
      <c r="M90" s="3">
        <v>3</v>
      </c>
      <c r="N90" s="27" t="s">
        <v>428</v>
      </c>
    </row>
    <row r="91" spans="1:14" ht="153.6">
      <c r="A91" s="1" t="s">
        <v>445</v>
      </c>
      <c r="B91" s="71">
        <v>1</v>
      </c>
      <c r="C91" s="61" t="s">
        <v>429</v>
      </c>
      <c r="D91" s="75" t="s">
        <v>430</v>
      </c>
      <c r="E91" s="90" t="str">
        <f>(VLOOKUP(F91,Formula!$C$6:$D$26,2,FALSE))</f>
        <v>Rendah (Low)</v>
      </c>
      <c r="F91" s="3">
        <f t="shared" si="1"/>
        <v>5</v>
      </c>
      <c r="G91" s="76">
        <v>1</v>
      </c>
      <c r="H91" s="76">
        <v>1</v>
      </c>
      <c r="I91" s="76">
        <v>1</v>
      </c>
      <c r="J91" s="76">
        <v>1</v>
      </c>
      <c r="K91" s="76">
        <v>1</v>
      </c>
      <c r="L91" s="27" t="s">
        <v>431</v>
      </c>
      <c r="M91" s="27" t="s">
        <v>432</v>
      </c>
      <c r="N91" s="27" t="s">
        <v>433</v>
      </c>
    </row>
    <row r="92" spans="1:14" ht="211.2">
      <c r="A92" s="1" t="s">
        <v>445</v>
      </c>
      <c r="B92" s="71">
        <v>2</v>
      </c>
      <c r="C92" s="61" t="s">
        <v>434</v>
      </c>
      <c r="D92" s="75" t="s">
        <v>435</v>
      </c>
      <c r="E92" s="90" t="str">
        <f>(VLOOKUP(F92,Formula!$C$6:$D$26,2,FALSE))</f>
        <v>Rendah (Low)</v>
      </c>
      <c r="F92" s="3">
        <f t="shared" si="1"/>
        <v>5</v>
      </c>
      <c r="G92" s="76">
        <v>1</v>
      </c>
      <c r="H92" s="76">
        <v>1</v>
      </c>
      <c r="I92" s="76">
        <v>1</v>
      </c>
      <c r="J92" s="76">
        <v>1</v>
      </c>
      <c r="K92" s="76">
        <v>1</v>
      </c>
      <c r="L92" s="27" t="s">
        <v>431</v>
      </c>
      <c r="M92" s="27" t="s">
        <v>432</v>
      </c>
      <c r="N92" s="27" t="s">
        <v>433</v>
      </c>
    </row>
    <row r="93" spans="1:14" ht="134.4">
      <c r="A93" s="1" t="s">
        <v>445</v>
      </c>
      <c r="B93" s="71">
        <v>3</v>
      </c>
      <c r="C93" s="61" t="s">
        <v>436</v>
      </c>
      <c r="D93" s="75" t="s">
        <v>437</v>
      </c>
      <c r="E93" s="90" t="str">
        <f>(VLOOKUP(F93,Formula!$C$6:$D$26,2,FALSE))</f>
        <v>Rendah (Low)</v>
      </c>
      <c r="F93" s="3">
        <f t="shared" si="1"/>
        <v>5</v>
      </c>
      <c r="G93" s="76">
        <v>1</v>
      </c>
      <c r="H93" s="76">
        <v>1</v>
      </c>
      <c r="I93" s="76">
        <v>1</v>
      </c>
      <c r="J93" s="76">
        <v>1</v>
      </c>
      <c r="K93" s="76">
        <v>1</v>
      </c>
      <c r="L93" s="27" t="s">
        <v>438</v>
      </c>
      <c r="M93" s="27" t="s">
        <v>439</v>
      </c>
      <c r="N93" s="27" t="s">
        <v>440</v>
      </c>
    </row>
    <row r="94" spans="1:14" ht="76.8">
      <c r="A94" s="1" t="s">
        <v>445</v>
      </c>
      <c r="B94" s="71">
        <v>4</v>
      </c>
      <c r="C94" s="77" t="s">
        <v>441</v>
      </c>
      <c r="D94" s="75" t="s">
        <v>442</v>
      </c>
      <c r="E94" s="90" t="str">
        <f>(VLOOKUP(F94,Formula!$C$6:$D$26,2,FALSE))</f>
        <v>Sedang Rendah (Moderate to Low)</v>
      </c>
      <c r="F94" s="3">
        <f t="shared" si="1"/>
        <v>10</v>
      </c>
      <c r="G94" s="76">
        <v>2</v>
      </c>
      <c r="H94" s="76">
        <v>2</v>
      </c>
      <c r="I94" s="76">
        <v>2</v>
      </c>
      <c r="J94" s="76">
        <v>2</v>
      </c>
      <c r="K94" s="76">
        <v>2</v>
      </c>
      <c r="L94" s="27" t="s">
        <v>438</v>
      </c>
      <c r="M94" s="27" t="s">
        <v>443</v>
      </c>
      <c r="N94" s="27" t="s">
        <v>444</v>
      </c>
    </row>
    <row r="95" spans="1:14" ht="230.4">
      <c r="A95" s="1" t="s">
        <v>446</v>
      </c>
      <c r="B95" s="4">
        <v>1</v>
      </c>
      <c r="C95" s="3" t="s">
        <v>246</v>
      </c>
      <c r="D95" s="78" t="s">
        <v>447</v>
      </c>
      <c r="E95" s="90" t="str">
        <f>(VLOOKUP(F95,Formula!$C$6:$D$26,2,FALSE))</f>
        <v>Sedang (Medium)</v>
      </c>
      <c r="F95" s="3">
        <f t="shared" si="1"/>
        <v>13</v>
      </c>
      <c r="G95" s="36">
        <v>2</v>
      </c>
      <c r="H95" s="36">
        <v>3</v>
      </c>
      <c r="I95" s="36">
        <v>3</v>
      </c>
      <c r="J95" s="36">
        <v>3</v>
      </c>
      <c r="K95" s="36">
        <v>2</v>
      </c>
      <c r="L95" s="37" t="s">
        <v>448</v>
      </c>
      <c r="M95" s="79" t="s">
        <v>449</v>
      </c>
      <c r="N95" s="27" t="s">
        <v>450</v>
      </c>
    </row>
    <row r="96" spans="1:14" ht="134.4">
      <c r="A96" s="1" t="s">
        <v>446</v>
      </c>
      <c r="B96" s="4">
        <v>2</v>
      </c>
      <c r="C96" s="78" t="s">
        <v>249</v>
      </c>
      <c r="D96" s="78" t="s">
        <v>451</v>
      </c>
      <c r="E96" s="90" t="str">
        <f>(VLOOKUP(F96,Formula!$C$6:$D$26,2,FALSE))</f>
        <v>Prioritas (High)</v>
      </c>
      <c r="F96" s="3">
        <f t="shared" si="1"/>
        <v>17</v>
      </c>
      <c r="G96" s="36">
        <v>2</v>
      </c>
      <c r="H96" s="36">
        <v>4</v>
      </c>
      <c r="I96" s="36">
        <v>3</v>
      </c>
      <c r="J96" s="36">
        <v>4</v>
      </c>
      <c r="K96" s="36">
        <v>4</v>
      </c>
      <c r="L96" s="79" t="s">
        <v>452</v>
      </c>
      <c r="M96" s="79" t="s">
        <v>453</v>
      </c>
      <c r="N96" s="79" t="s">
        <v>454</v>
      </c>
    </row>
    <row r="97" spans="1:14" ht="57.6">
      <c r="A97" s="1" t="s">
        <v>455</v>
      </c>
      <c r="B97" s="36">
        <v>1</v>
      </c>
      <c r="C97" s="39" t="s">
        <v>456</v>
      </c>
      <c r="D97" s="39" t="s">
        <v>457</v>
      </c>
      <c r="E97" s="90" t="str">
        <f>(VLOOKUP(F97,Formula!$C$6:$D$26,2,FALSE))</f>
        <v>Prioritas (High)</v>
      </c>
      <c r="F97" s="3">
        <f t="shared" si="1"/>
        <v>18</v>
      </c>
      <c r="G97" s="11">
        <v>5</v>
      </c>
      <c r="H97" s="13">
        <v>5</v>
      </c>
      <c r="I97" s="11">
        <v>3</v>
      </c>
      <c r="J97" s="13">
        <v>3</v>
      </c>
      <c r="K97" s="12">
        <v>2</v>
      </c>
      <c r="L97" s="38" t="s">
        <v>458</v>
      </c>
      <c r="M97" s="36" t="s">
        <v>459</v>
      </c>
      <c r="N97" s="76" t="s">
        <v>460</v>
      </c>
    </row>
    <row r="98" spans="1:14" ht="76.8">
      <c r="A98" s="1" t="s">
        <v>455</v>
      </c>
      <c r="B98" s="4">
        <v>2</v>
      </c>
      <c r="C98" s="27" t="s">
        <v>461</v>
      </c>
      <c r="D98" s="27" t="s">
        <v>462</v>
      </c>
      <c r="E98" s="90" t="str">
        <f>(VLOOKUP(F98,Formula!$C$6:$D$26,2,FALSE))</f>
        <v>Sedang (Medium)</v>
      </c>
      <c r="F98" s="3">
        <f t="shared" si="1"/>
        <v>13</v>
      </c>
      <c r="G98" s="11">
        <v>2</v>
      </c>
      <c r="H98" s="13">
        <v>5</v>
      </c>
      <c r="I98" s="11">
        <v>2</v>
      </c>
      <c r="J98" s="11">
        <v>2</v>
      </c>
      <c r="K98" s="12">
        <v>2</v>
      </c>
      <c r="L98" s="27" t="s">
        <v>463</v>
      </c>
      <c r="M98" s="71" t="s">
        <v>464</v>
      </c>
      <c r="N98" s="27" t="s">
        <v>465</v>
      </c>
    </row>
    <row r="99" spans="1:14" ht="57.6">
      <c r="A99" s="1" t="s">
        <v>466</v>
      </c>
      <c r="B99" s="71">
        <v>1</v>
      </c>
      <c r="C99" s="27" t="s">
        <v>467</v>
      </c>
      <c r="D99" s="27" t="s">
        <v>468</v>
      </c>
      <c r="E99" s="90" t="str">
        <f>(VLOOKUP(F99,Formula!$C$6:$D$26,2,FALSE))</f>
        <v>Sedang Rendah (Moderate to Low)</v>
      </c>
      <c r="F99" s="3">
        <f t="shared" si="1"/>
        <v>6</v>
      </c>
      <c r="G99" s="17">
        <v>1</v>
      </c>
      <c r="H99" s="17">
        <v>1</v>
      </c>
      <c r="I99" s="17">
        <v>1</v>
      </c>
      <c r="J99" s="11">
        <v>2</v>
      </c>
      <c r="K99" s="17">
        <v>1</v>
      </c>
      <c r="L99" s="27" t="s">
        <v>469</v>
      </c>
      <c r="M99" s="27" t="s">
        <v>470</v>
      </c>
      <c r="N99" s="27" t="s">
        <v>471</v>
      </c>
    </row>
    <row r="100" spans="1:14" ht="57.6">
      <c r="A100" s="1" t="s">
        <v>466</v>
      </c>
      <c r="B100" s="71">
        <v>2</v>
      </c>
      <c r="C100" s="27" t="s">
        <v>472</v>
      </c>
      <c r="D100" s="27" t="s">
        <v>473</v>
      </c>
      <c r="E100" s="90" t="str">
        <f>(VLOOKUP(F100,Formula!$C$6:$D$26,2,FALSE))</f>
        <v>Sedang Rendah (Moderate to Low)</v>
      </c>
      <c r="F100" s="3">
        <f t="shared" si="1"/>
        <v>6</v>
      </c>
      <c r="G100" s="17">
        <v>1</v>
      </c>
      <c r="H100" s="17">
        <v>1</v>
      </c>
      <c r="I100" s="17">
        <v>1</v>
      </c>
      <c r="J100" s="11">
        <v>2</v>
      </c>
      <c r="K100" s="17">
        <v>1</v>
      </c>
      <c r="L100" s="27" t="s">
        <v>474</v>
      </c>
      <c r="M100" s="27" t="s">
        <v>470</v>
      </c>
      <c r="N100" s="27" t="s">
        <v>475</v>
      </c>
    </row>
    <row r="101" spans="1:14" ht="57.6">
      <c r="A101" s="1" t="s">
        <v>466</v>
      </c>
      <c r="B101" s="71">
        <v>3</v>
      </c>
      <c r="C101" s="27" t="s">
        <v>476</v>
      </c>
      <c r="D101" s="27" t="s">
        <v>477</v>
      </c>
      <c r="E101" s="90" t="str">
        <f>(VLOOKUP(F101,Formula!$C$6:$D$26,2,FALSE))</f>
        <v>Sedang Rendah (Moderate to Low)</v>
      </c>
      <c r="F101" s="3">
        <f t="shared" si="1"/>
        <v>7</v>
      </c>
      <c r="G101" s="17">
        <v>1</v>
      </c>
      <c r="H101" s="17">
        <v>1</v>
      </c>
      <c r="I101" s="11">
        <v>2</v>
      </c>
      <c r="J101" s="11">
        <v>2</v>
      </c>
      <c r="K101" s="17">
        <v>1</v>
      </c>
      <c r="L101" s="27" t="s">
        <v>478</v>
      </c>
      <c r="M101" s="27" t="s">
        <v>479</v>
      </c>
      <c r="N101" s="27" t="s">
        <v>480</v>
      </c>
    </row>
    <row r="102" spans="1:14" ht="172.8">
      <c r="A102" s="1" t="s">
        <v>505</v>
      </c>
      <c r="B102" s="4">
        <v>1</v>
      </c>
      <c r="C102" s="27" t="s">
        <v>481</v>
      </c>
      <c r="D102" s="27" t="s">
        <v>482</v>
      </c>
      <c r="E102" s="90" t="str">
        <f>(VLOOKUP(F102,Formula!$C$6:$D$26,2,FALSE))</f>
        <v>Sedang (Medium)</v>
      </c>
      <c r="F102" s="3">
        <f t="shared" si="1"/>
        <v>11</v>
      </c>
      <c r="G102" s="4">
        <v>1</v>
      </c>
      <c r="H102" s="4">
        <v>2</v>
      </c>
      <c r="I102" s="4">
        <v>3</v>
      </c>
      <c r="J102" s="4">
        <v>2</v>
      </c>
      <c r="K102" s="4">
        <v>3</v>
      </c>
      <c r="L102" s="27" t="s">
        <v>483</v>
      </c>
      <c r="M102" s="27" t="s">
        <v>484</v>
      </c>
      <c r="N102" s="80" t="s">
        <v>485</v>
      </c>
    </row>
    <row r="103" spans="1:14" ht="153.6">
      <c r="A103" s="1" t="s">
        <v>505</v>
      </c>
      <c r="B103" s="4">
        <v>2</v>
      </c>
      <c r="C103" s="27" t="s">
        <v>486</v>
      </c>
      <c r="D103" s="27" t="s">
        <v>487</v>
      </c>
      <c r="E103" s="90" t="str">
        <f>(VLOOKUP(F103,Formula!$C$6:$D$26,2,FALSE))</f>
        <v>Sedang Rendah (Moderate to Low)</v>
      </c>
      <c r="F103" s="3">
        <f t="shared" si="1"/>
        <v>6</v>
      </c>
      <c r="G103" s="4">
        <v>1</v>
      </c>
      <c r="H103" s="4">
        <v>1</v>
      </c>
      <c r="I103" s="4">
        <v>1</v>
      </c>
      <c r="J103" s="4">
        <v>1</v>
      </c>
      <c r="K103" s="4">
        <v>2</v>
      </c>
      <c r="L103" s="27" t="s">
        <v>488</v>
      </c>
      <c r="M103" s="27" t="s">
        <v>489</v>
      </c>
      <c r="N103" s="27" t="s">
        <v>490</v>
      </c>
    </row>
    <row r="104" spans="1:14" ht="384">
      <c r="A104" s="1" t="s">
        <v>505</v>
      </c>
      <c r="B104" s="4">
        <v>3</v>
      </c>
      <c r="C104" s="27" t="s">
        <v>491</v>
      </c>
      <c r="D104" s="27" t="s">
        <v>492</v>
      </c>
      <c r="E104" s="90" t="str">
        <f>(VLOOKUP(F104,Formula!$C$6:$D$26,2,FALSE))</f>
        <v>Rendah (Low)</v>
      </c>
      <c r="F104" s="3">
        <f t="shared" si="1"/>
        <v>5</v>
      </c>
      <c r="G104" s="4">
        <v>1</v>
      </c>
      <c r="H104" s="4">
        <v>1</v>
      </c>
      <c r="I104" s="4">
        <v>1</v>
      </c>
      <c r="J104" s="4">
        <v>1</v>
      </c>
      <c r="K104" s="4">
        <v>1</v>
      </c>
      <c r="L104" s="27" t="s">
        <v>493</v>
      </c>
      <c r="M104" s="27" t="s">
        <v>494</v>
      </c>
      <c r="N104" s="80" t="s">
        <v>495</v>
      </c>
    </row>
    <row r="105" spans="1:14" ht="192">
      <c r="A105" s="1" t="s">
        <v>505</v>
      </c>
      <c r="B105" s="4">
        <v>4</v>
      </c>
      <c r="C105" s="27" t="s">
        <v>496</v>
      </c>
      <c r="D105" s="27" t="s">
        <v>497</v>
      </c>
      <c r="E105" s="90" t="str">
        <f>(VLOOKUP(F105,Formula!$C$6:$D$26,2,FALSE))</f>
        <v>Rendah (Low)</v>
      </c>
      <c r="F105" s="3">
        <f t="shared" si="1"/>
        <v>5</v>
      </c>
      <c r="G105" s="4">
        <v>1</v>
      </c>
      <c r="H105" s="4">
        <v>1</v>
      </c>
      <c r="I105" s="4">
        <v>1</v>
      </c>
      <c r="J105" s="4">
        <v>1</v>
      </c>
      <c r="K105" s="4">
        <v>1</v>
      </c>
      <c r="L105" s="27" t="s">
        <v>498</v>
      </c>
      <c r="M105" s="27" t="s">
        <v>499</v>
      </c>
      <c r="N105" s="27" t="s">
        <v>500</v>
      </c>
    </row>
    <row r="106" spans="1:14" ht="192">
      <c r="A106" s="1" t="s">
        <v>505</v>
      </c>
      <c r="B106" s="4">
        <v>5</v>
      </c>
      <c r="C106" s="27" t="s">
        <v>501</v>
      </c>
      <c r="D106" s="27" t="s">
        <v>502</v>
      </c>
      <c r="E106" s="90" t="str">
        <f>(VLOOKUP(F106,Formula!$C$6:$D$26,2,FALSE))</f>
        <v>Sedang Rendah (Moderate to Low)</v>
      </c>
      <c r="F106" s="3">
        <f t="shared" si="1"/>
        <v>6</v>
      </c>
      <c r="G106" s="4">
        <v>1</v>
      </c>
      <c r="H106" s="4">
        <v>1</v>
      </c>
      <c r="I106" s="4">
        <v>1</v>
      </c>
      <c r="J106" s="4">
        <v>1</v>
      </c>
      <c r="K106" s="4">
        <v>2</v>
      </c>
      <c r="L106" s="27" t="s">
        <v>503</v>
      </c>
      <c r="M106" s="27" t="s">
        <v>499</v>
      </c>
      <c r="N106" s="27" t="s">
        <v>504</v>
      </c>
    </row>
    <row r="107" spans="1:14" ht="172.8">
      <c r="A107" s="1" t="s">
        <v>506</v>
      </c>
      <c r="B107" s="71">
        <v>1</v>
      </c>
      <c r="C107" s="27" t="s">
        <v>507</v>
      </c>
      <c r="D107" s="27" t="s">
        <v>508</v>
      </c>
      <c r="E107" s="90" t="str">
        <f>(VLOOKUP(F107,Formula!$C$6:$D$26,2,FALSE))</f>
        <v>Sedang Rendah (Moderate to Low)</v>
      </c>
      <c r="F107" s="3">
        <f t="shared" si="1"/>
        <v>9</v>
      </c>
      <c r="G107" s="71">
        <v>3</v>
      </c>
      <c r="H107" s="71">
        <v>1</v>
      </c>
      <c r="I107" s="71">
        <v>1</v>
      </c>
      <c r="J107" s="71">
        <v>3</v>
      </c>
      <c r="K107" s="71">
        <v>1</v>
      </c>
      <c r="L107" s="27" t="s">
        <v>509</v>
      </c>
      <c r="M107" s="27" t="s">
        <v>510</v>
      </c>
      <c r="N107" s="27" t="s">
        <v>511</v>
      </c>
    </row>
    <row r="108" spans="1:14" ht="172.8">
      <c r="A108" s="1" t="s">
        <v>506</v>
      </c>
      <c r="B108" s="71">
        <v>2</v>
      </c>
      <c r="C108" s="27" t="s">
        <v>512</v>
      </c>
      <c r="D108" s="27" t="s">
        <v>513</v>
      </c>
      <c r="E108" s="90" t="str">
        <f>(VLOOKUP(F108,Formula!$C$6:$D$26,2,FALSE))</f>
        <v>Sedang Rendah (Moderate to Low)</v>
      </c>
      <c r="F108" s="3">
        <f t="shared" si="1"/>
        <v>7</v>
      </c>
      <c r="G108" s="71">
        <v>1</v>
      </c>
      <c r="H108" s="71">
        <v>1</v>
      </c>
      <c r="I108" s="71">
        <v>3</v>
      </c>
      <c r="J108" s="71">
        <v>1</v>
      </c>
      <c r="K108" s="71">
        <v>1</v>
      </c>
      <c r="L108" s="27" t="s">
        <v>509</v>
      </c>
      <c r="M108" s="27" t="s">
        <v>514</v>
      </c>
      <c r="N108" s="27" t="s">
        <v>511</v>
      </c>
    </row>
    <row r="109" spans="1:14" ht="172.8">
      <c r="A109" s="1" t="s">
        <v>506</v>
      </c>
      <c r="B109" s="71">
        <v>3</v>
      </c>
      <c r="C109" s="27" t="s">
        <v>515</v>
      </c>
      <c r="D109" s="27" t="s">
        <v>516</v>
      </c>
      <c r="E109" s="90" t="str">
        <f>(VLOOKUP(F109,Formula!$C$6:$D$26,2,FALSE))</f>
        <v>Sedang Rendah (Moderate to Low)</v>
      </c>
      <c r="F109" s="3">
        <f t="shared" si="1"/>
        <v>7</v>
      </c>
      <c r="G109" s="71">
        <v>1</v>
      </c>
      <c r="H109" s="71">
        <v>1</v>
      </c>
      <c r="I109" s="71">
        <v>3</v>
      </c>
      <c r="J109" s="71">
        <v>1</v>
      </c>
      <c r="K109" s="71">
        <v>1</v>
      </c>
      <c r="L109" s="27" t="s">
        <v>509</v>
      </c>
      <c r="M109" s="27" t="s">
        <v>517</v>
      </c>
      <c r="N109" s="27" t="s">
        <v>511</v>
      </c>
    </row>
    <row r="110" spans="1:14" ht="172.8">
      <c r="A110" s="1" t="s">
        <v>518</v>
      </c>
      <c r="B110" s="4">
        <v>1</v>
      </c>
      <c r="C110" s="27" t="s">
        <v>519</v>
      </c>
      <c r="D110" s="80" t="s">
        <v>520</v>
      </c>
      <c r="E110" s="90" t="str">
        <f>(VLOOKUP(F110,Formula!$C$6:$D$26,2,FALSE))</f>
        <v>Sedang Rendah (Moderate to Low)</v>
      </c>
      <c r="F110" s="3">
        <f t="shared" si="1"/>
        <v>6</v>
      </c>
      <c r="G110" s="4">
        <v>2</v>
      </c>
      <c r="H110" s="4">
        <v>1</v>
      </c>
      <c r="I110" s="71">
        <v>1</v>
      </c>
      <c r="J110" s="71">
        <v>1</v>
      </c>
      <c r="K110" s="71">
        <v>1</v>
      </c>
      <c r="L110" s="80" t="s">
        <v>521</v>
      </c>
      <c r="M110" s="27" t="s">
        <v>522</v>
      </c>
      <c r="N110" s="81" t="s">
        <v>523</v>
      </c>
    </row>
    <row r="111" spans="1:14" ht="192">
      <c r="A111" s="1" t="s">
        <v>518</v>
      </c>
      <c r="B111" s="4">
        <v>2</v>
      </c>
      <c r="C111" s="27" t="s">
        <v>524</v>
      </c>
      <c r="D111" s="80" t="s">
        <v>525</v>
      </c>
      <c r="E111" s="90" t="str">
        <f>(VLOOKUP(F111,Formula!$C$6:$D$26,2,FALSE))</f>
        <v>Sedang Rendah (Moderate to Low)</v>
      </c>
      <c r="F111" s="3">
        <f t="shared" si="1"/>
        <v>8</v>
      </c>
      <c r="G111" s="4">
        <v>3</v>
      </c>
      <c r="H111" s="4">
        <v>2</v>
      </c>
      <c r="I111" s="71">
        <v>1</v>
      </c>
      <c r="J111" s="71">
        <v>1</v>
      </c>
      <c r="K111" s="71">
        <v>1</v>
      </c>
      <c r="L111" s="80" t="s">
        <v>526</v>
      </c>
      <c r="M111" s="27" t="s">
        <v>522</v>
      </c>
      <c r="N111" s="81" t="s">
        <v>523</v>
      </c>
    </row>
    <row r="112" spans="1:14" ht="192">
      <c r="A112" s="1" t="s">
        <v>518</v>
      </c>
      <c r="B112" s="4">
        <v>3</v>
      </c>
      <c r="C112" s="27" t="s">
        <v>527</v>
      </c>
      <c r="D112" s="80" t="s">
        <v>528</v>
      </c>
      <c r="E112" s="90" t="str">
        <f>(VLOOKUP(F112,Formula!$C$6:$D$26,2,FALSE))</f>
        <v>Sedang Rendah (Moderate to Low)</v>
      </c>
      <c r="F112" s="3">
        <f t="shared" si="1"/>
        <v>9</v>
      </c>
      <c r="G112" s="4">
        <v>4</v>
      </c>
      <c r="H112" s="4">
        <v>2</v>
      </c>
      <c r="I112" s="71">
        <v>1</v>
      </c>
      <c r="J112" s="71">
        <v>1</v>
      </c>
      <c r="K112" s="71">
        <v>1</v>
      </c>
      <c r="L112" s="80" t="s">
        <v>529</v>
      </c>
      <c r="M112" s="27" t="s">
        <v>522</v>
      </c>
      <c r="N112" s="81" t="s">
        <v>523</v>
      </c>
    </row>
    <row r="113" spans="1:14" ht="76.8">
      <c r="A113" s="1" t="s">
        <v>518</v>
      </c>
      <c r="B113" s="4">
        <v>4</v>
      </c>
      <c r="C113" s="27" t="s">
        <v>530</v>
      </c>
      <c r="D113" s="80" t="s">
        <v>531</v>
      </c>
      <c r="E113" s="90" t="str">
        <f>(VLOOKUP(F113,Formula!$C$6:$D$26,2,FALSE))</f>
        <v>Sedang Rendah (Moderate to Low)</v>
      </c>
      <c r="F113" s="3">
        <f t="shared" si="1"/>
        <v>8</v>
      </c>
      <c r="G113" s="4">
        <v>3</v>
      </c>
      <c r="H113" s="4">
        <v>2</v>
      </c>
      <c r="I113" s="71">
        <v>1</v>
      </c>
      <c r="J113" s="71">
        <v>1</v>
      </c>
      <c r="K113" s="71">
        <v>1</v>
      </c>
      <c r="L113" s="80" t="s">
        <v>532</v>
      </c>
      <c r="M113" s="27" t="s">
        <v>522</v>
      </c>
      <c r="N113" s="81" t="s">
        <v>523</v>
      </c>
    </row>
    <row r="114" spans="1:14" ht="153.6">
      <c r="A114" s="1" t="s">
        <v>518</v>
      </c>
      <c r="B114" s="4">
        <v>5</v>
      </c>
      <c r="C114" s="27" t="s">
        <v>533</v>
      </c>
      <c r="D114" s="80" t="s">
        <v>534</v>
      </c>
      <c r="E114" s="90" t="str">
        <f>(VLOOKUP(F114,Formula!$C$6:$D$26,2,FALSE))</f>
        <v>Sedang Rendah (Moderate to Low)</v>
      </c>
      <c r="F114" s="3">
        <f t="shared" si="1"/>
        <v>8</v>
      </c>
      <c r="G114" s="4">
        <v>3</v>
      </c>
      <c r="H114" s="4">
        <v>2</v>
      </c>
      <c r="I114" s="71">
        <v>1</v>
      </c>
      <c r="J114" s="71">
        <v>1</v>
      </c>
      <c r="K114" s="71">
        <v>1</v>
      </c>
      <c r="L114" s="80" t="s">
        <v>535</v>
      </c>
      <c r="M114" s="27" t="s">
        <v>522</v>
      </c>
      <c r="N114" s="81" t="s">
        <v>523</v>
      </c>
    </row>
    <row r="115" spans="1:14" ht="34.200000000000003">
      <c r="A115" s="1" t="s">
        <v>536</v>
      </c>
      <c r="B115" s="4">
        <v>1</v>
      </c>
      <c r="C115" s="82" t="s">
        <v>537</v>
      </c>
      <c r="D115" s="83" t="s">
        <v>538</v>
      </c>
      <c r="E115" s="90" t="str">
        <f>(VLOOKUP(F115,Formula!$C$6:$D$26,2,FALSE))</f>
        <v>Sangat Prioritas (Very High)</v>
      </c>
      <c r="F115" s="3">
        <f t="shared" si="1"/>
        <v>21</v>
      </c>
      <c r="G115" s="84">
        <v>5</v>
      </c>
      <c r="H115" s="84">
        <v>4</v>
      </c>
      <c r="I115" s="84">
        <v>4</v>
      </c>
      <c r="J115" s="84">
        <v>4</v>
      </c>
      <c r="K115" s="84">
        <v>4</v>
      </c>
      <c r="L115" s="85" t="s">
        <v>539</v>
      </c>
      <c r="M115" s="85" t="s">
        <v>540</v>
      </c>
      <c r="N115" s="85" t="s">
        <v>541</v>
      </c>
    </row>
    <row r="116" spans="1:14" ht="24">
      <c r="A116" s="1" t="s">
        <v>536</v>
      </c>
      <c r="B116" s="4">
        <v>2</v>
      </c>
      <c r="C116" s="82" t="s">
        <v>542</v>
      </c>
      <c r="D116" s="83" t="s">
        <v>543</v>
      </c>
      <c r="E116" s="90" t="str">
        <f>(VLOOKUP(F116,Formula!$C$6:$D$26,2,FALSE))</f>
        <v>Sangat Prioritas (Very High)</v>
      </c>
      <c r="F116" s="3">
        <f t="shared" si="1"/>
        <v>21</v>
      </c>
      <c r="G116" s="84">
        <v>4</v>
      </c>
      <c r="H116" s="84">
        <v>4</v>
      </c>
      <c r="I116" s="84">
        <v>4</v>
      </c>
      <c r="J116" s="84">
        <v>4</v>
      </c>
      <c r="K116" s="84">
        <v>5</v>
      </c>
      <c r="L116" s="85" t="s">
        <v>544</v>
      </c>
      <c r="M116" s="85" t="s">
        <v>545</v>
      </c>
      <c r="N116" s="85" t="s">
        <v>546</v>
      </c>
    </row>
    <row r="117" spans="1:14" ht="22.8">
      <c r="A117" s="1" t="s">
        <v>536</v>
      </c>
      <c r="B117" s="4">
        <v>3</v>
      </c>
      <c r="C117" s="82" t="s">
        <v>547</v>
      </c>
      <c r="D117" s="83" t="s">
        <v>548</v>
      </c>
      <c r="E117" s="90" t="str">
        <f>(VLOOKUP(F117,Formula!$C$6:$D$26,2,FALSE))</f>
        <v>Sedang (Medium)</v>
      </c>
      <c r="F117" s="3">
        <f t="shared" si="1"/>
        <v>15</v>
      </c>
      <c r="G117" s="84">
        <v>3</v>
      </c>
      <c r="H117" s="84">
        <v>3</v>
      </c>
      <c r="I117" s="84">
        <v>3</v>
      </c>
      <c r="J117" s="84">
        <v>3</v>
      </c>
      <c r="K117" s="84">
        <v>3</v>
      </c>
      <c r="L117" s="85" t="s">
        <v>549</v>
      </c>
      <c r="M117" s="85" t="s">
        <v>550</v>
      </c>
      <c r="N117" s="85" t="s">
        <v>551</v>
      </c>
    </row>
    <row r="118" spans="1:14" ht="22.8">
      <c r="A118" s="1" t="s">
        <v>536</v>
      </c>
      <c r="B118" s="4">
        <v>4</v>
      </c>
      <c r="C118" s="82" t="s">
        <v>552</v>
      </c>
      <c r="D118" s="83" t="s">
        <v>553</v>
      </c>
      <c r="E118" s="90" t="str">
        <f>(VLOOKUP(F118,Formula!$C$6:$D$26,2,FALSE))</f>
        <v>Sedang (Medium)</v>
      </c>
      <c r="F118" s="3">
        <f t="shared" si="1"/>
        <v>13</v>
      </c>
      <c r="G118" s="84">
        <v>2</v>
      </c>
      <c r="H118" s="84">
        <v>3</v>
      </c>
      <c r="I118" s="84">
        <v>3</v>
      </c>
      <c r="J118" s="84">
        <v>2</v>
      </c>
      <c r="K118" s="84">
        <v>3</v>
      </c>
      <c r="L118" s="85" t="s">
        <v>554</v>
      </c>
      <c r="M118" s="85" t="s">
        <v>555</v>
      </c>
      <c r="N118" s="85" t="s">
        <v>556</v>
      </c>
    </row>
    <row r="119" spans="1:14" ht="22.8">
      <c r="A119" s="1" t="s">
        <v>536</v>
      </c>
      <c r="B119" s="4">
        <v>5</v>
      </c>
      <c r="C119" s="82" t="s">
        <v>557</v>
      </c>
      <c r="D119" s="83" t="s">
        <v>558</v>
      </c>
      <c r="E119" s="90" t="str">
        <f>(VLOOKUP(F119,Formula!$C$6:$D$26,2,FALSE))</f>
        <v>Prioritas (High)</v>
      </c>
      <c r="F119" s="3">
        <f t="shared" si="1"/>
        <v>16</v>
      </c>
      <c r="G119" s="84">
        <v>3</v>
      </c>
      <c r="H119" s="84">
        <v>3</v>
      </c>
      <c r="I119" s="84">
        <v>3</v>
      </c>
      <c r="J119" s="84">
        <v>3</v>
      </c>
      <c r="K119" s="84">
        <v>4</v>
      </c>
      <c r="L119" s="85" t="s">
        <v>559</v>
      </c>
      <c r="M119" s="85" t="s">
        <v>560</v>
      </c>
      <c r="N119" s="85" t="s">
        <v>561</v>
      </c>
    </row>
    <row r="120" spans="1:14">
      <c r="A120" s="1" t="s">
        <v>536</v>
      </c>
      <c r="B120" s="4">
        <v>6</v>
      </c>
      <c r="C120" s="82" t="s">
        <v>562</v>
      </c>
      <c r="D120" s="86" t="s">
        <v>563</v>
      </c>
      <c r="E120" s="90" t="str">
        <f>(VLOOKUP(F120,Formula!$C$6:$D$26,2,FALSE))</f>
        <v>Sedang (Medium)</v>
      </c>
      <c r="F120" s="3">
        <f t="shared" si="1"/>
        <v>11</v>
      </c>
      <c r="G120" s="84">
        <v>2</v>
      </c>
      <c r="H120" s="84">
        <v>2</v>
      </c>
      <c r="I120" s="84">
        <v>2</v>
      </c>
      <c r="J120" s="84">
        <v>2</v>
      </c>
      <c r="K120" s="84">
        <v>3</v>
      </c>
      <c r="L120" s="85" t="s">
        <v>564</v>
      </c>
      <c r="M120" s="85" t="s">
        <v>560</v>
      </c>
      <c r="N120" s="85" t="s">
        <v>565</v>
      </c>
    </row>
    <row r="121" spans="1:14" ht="24">
      <c r="A121" s="1" t="s">
        <v>536</v>
      </c>
      <c r="B121" s="4">
        <v>7</v>
      </c>
      <c r="C121" s="87" t="s">
        <v>566</v>
      </c>
      <c r="D121" s="85" t="s">
        <v>567</v>
      </c>
      <c r="E121" s="90" t="str">
        <f>(VLOOKUP(F121,Formula!$C$6:$D$26,2,FALSE))</f>
        <v>Sedang Rendah (Moderate to Low)</v>
      </c>
      <c r="F121" s="3">
        <f t="shared" si="1"/>
        <v>6</v>
      </c>
      <c r="G121" s="84">
        <v>1</v>
      </c>
      <c r="H121" s="84">
        <v>1</v>
      </c>
      <c r="I121" s="84">
        <v>1</v>
      </c>
      <c r="J121" s="84">
        <v>1</v>
      </c>
      <c r="K121" s="84">
        <v>2</v>
      </c>
      <c r="L121" s="85" t="s">
        <v>568</v>
      </c>
      <c r="M121" s="85" t="s">
        <v>560</v>
      </c>
      <c r="N121" s="85" t="s">
        <v>569</v>
      </c>
    </row>
    <row r="122" spans="1:14">
      <c r="A122" s="1" t="s">
        <v>536</v>
      </c>
      <c r="B122" s="4">
        <v>8</v>
      </c>
      <c r="C122" s="88" t="s">
        <v>570</v>
      </c>
      <c r="D122" s="85" t="s">
        <v>571</v>
      </c>
      <c r="E122" s="90" t="str">
        <f>(VLOOKUP(F122,Formula!$C$6:$D$26,2,FALSE))</f>
        <v>Sedang (Medium)</v>
      </c>
      <c r="F122" s="3">
        <f t="shared" si="1"/>
        <v>15</v>
      </c>
      <c r="G122" s="84">
        <v>3</v>
      </c>
      <c r="H122" s="84">
        <v>3</v>
      </c>
      <c r="I122" s="84">
        <v>2</v>
      </c>
      <c r="J122" s="84">
        <v>3</v>
      </c>
      <c r="K122" s="84">
        <v>4</v>
      </c>
      <c r="L122" s="85" t="s">
        <v>572</v>
      </c>
      <c r="M122" s="85" t="s">
        <v>560</v>
      </c>
      <c r="N122" s="85" t="s">
        <v>573</v>
      </c>
    </row>
    <row r="123" spans="1:14" ht="96">
      <c r="A123" s="1" t="s">
        <v>661</v>
      </c>
      <c r="B123" s="4">
        <v>1</v>
      </c>
      <c r="C123" s="27" t="s">
        <v>575</v>
      </c>
      <c r="D123" s="27" t="s">
        <v>576</v>
      </c>
      <c r="E123" s="90" t="str">
        <f>(VLOOKUP(F123,Formula!$C$6:$D$26,2,FALSE))</f>
        <v>Sangat Prioritas (Very High)</v>
      </c>
      <c r="F123" s="3">
        <f t="shared" si="1"/>
        <v>24</v>
      </c>
      <c r="G123" s="4">
        <v>5</v>
      </c>
      <c r="H123" s="4">
        <v>5</v>
      </c>
      <c r="I123" s="76">
        <v>5</v>
      </c>
      <c r="J123" s="4">
        <v>5</v>
      </c>
      <c r="K123" s="4">
        <v>4</v>
      </c>
      <c r="L123" s="27" t="s">
        <v>577</v>
      </c>
      <c r="M123" s="96" t="s">
        <v>578</v>
      </c>
      <c r="N123" s="27" t="s">
        <v>579</v>
      </c>
    </row>
    <row r="124" spans="1:14" ht="96">
      <c r="A124" s="1" t="s">
        <v>661</v>
      </c>
      <c r="B124" s="4">
        <v>2</v>
      </c>
      <c r="C124" s="27" t="s">
        <v>580</v>
      </c>
      <c r="D124" s="27" t="s">
        <v>581</v>
      </c>
      <c r="E124" s="90" t="str">
        <f>(VLOOKUP(F124,Formula!$C$6:$D$26,2,FALSE))</f>
        <v>Sangat Prioritas (Very High)</v>
      </c>
      <c r="F124" s="3">
        <f t="shared" si="1"/>
        <v>24</v>
      </c>
      <c r="G124" s="4">
        <v>5</v>
      </c>
      <c r="H124" s="76">
        <v>5</v>
      </c>
      <c r="I124" s="76">
        <v>5</v>
      </c>
      <c r="J124" s="4">
        <v>5</v>
      </c>
      <c r="K124" s="4">
        <v>4</v>
      </c>
      <c r="L124" s="27" t="s">
        <v>582</v>
      </c>
      <c r="M124" s="97" t="s">
        <v>583</v>
      </c>
      <c r="N124" s="27" t="s">
        <v>584</v>
      </c>
    </row>
    <row r="125" spans="1:14" ht="96">
      <c r="A125" s="1" t="s">
        <v>661</v>
      </c>
      <c r="B125" s="4">
        <v>3</v>
      </c>
      <c r="C125" s="27" t="s">
        <v>585</v>
      </c>
      <c r="D125" s="27" t="s">
        <v>586</v>
      </c>
      <c r="E125" s="90" t="str">
        <f>(VLOOKUP(F125,Formula!$C$6:$D$26,2,FALSE))</f>
        <v>Sangat Prioritas (Very High)</v>
      </c>
      <c r="F125" s="3">
        <f t="shared" si="1"/>
        <v>24</v>
      </c>
      <c r="G125" s="4">
        <v>5</v>
      </c>
      <c r="H125" s="4">
        <v>5</v>
      </c>
      <c r="I125" s="76">
        <v>5</v>
      </c>
      <c r="J125" s="4">
        <v>5</v>
      </c>
      <c r="K125" s="4">
        <v>4</v>
      </c>
      <c r="L125" s="27" t="s">
        <v>587</v>
      </c>
      <c r="M125" s="97" t="s">
        <v>588</v>
      </c>
      <c r="N125" s="27" t="s">
        <v>589</v>
      </c>
    </row>
    <row r="126" spans="1:14" ht="211.2">
      <c r="A126" s="1" t="s">
        <v>661</v>
      </c>
      <c r="B126" s="4">
        <v>4</v>
      </c>
      <c r="C126" s="27" t="s">
        <v>590</v>
      </c>
      <c r="D126" s="27" t="s">
        <v>591</v>
      </c>
      <c r="E126" s="90" t="str">
        <f>(VLOOKUP(F126,Formula!$C$6:$D$26,2,FALSE))</f>
        <v>Sangat Prioritas (Very High)</v>
      </c>
      <c r="F126" s="3">
        <f t="shared" si="1"/>
        <v>24</v>
      </c>
      <c r="G126" s="4">
        <v>5</v>
      </c>
      <c r="H126" s="4">
        <v>5</v>
      </c>
      <c r="I126" s="4">
        <v>5</v>
      </c>
      <c r="J126" s="4">
        <v>5</v>
      </c>
      <c r="K126" s="4">
        <v>4</v>
      </c>
      <c r="L126" s="27" t="s">
        <v>592</v>
      </c>
      <c r="M126" s="97" t="s">
        <v>593</v>
      </c>
      <c r="N126" s="27" t="s">
        <v>594</v>
      </c>
    </row>
    <row r="127" spans="1:14" ht="172.8">
      <c r="A127" s="1" t="s">
        <v>661</v>
      </c>
      <c r="B127" s="4">
        <v>5</v>
      </c>
      <c r="C127" s="27" t="s">
        <v>595</v>
      </c>
      <c r="D127" s="3" t="s">
        <v>596</v>
      </c>
      <c r="E127" s="90" t="str">
        <f>(VLOOKUP(F127,Formula!$C$6:$D$26,2,FALSE))</f>
        <v>Sangat Prioritas (Very High)</v>
      </c>
      <c r="F127" s="3">
        <f t="shared" si="1"/>
        <v>24</v>
      </c>
      <c r="G127" s="4">
        <v>5</v>
      </c>
      <c r="H127" s="4">
        <v>5</v>
      </c>
      <c r="I127" s="4">
        <v>5</v>
      </c>
      <c r="J127" s="4">
        <v>5</v>
      </c>
      <c r="K127" s="4">
        <v>4</v>
      </c>
      <c r="L127" s="27" t="s">
        <v>597</v>
      </c>
      <c r="M127" s="97" t="s">
        <v>598</v>
      </c>
      <c r="N127" s="27" t="s">
        <v>599</v>
      </c>
    </row>
    <row r="128" spans="1:14" ht="153.6">
      <c r="A128" s="1" t="s">
        <v>661</v>
      </c>
      <c r="B128" s="4">
        <v>6</v>
      </c>
      <c r="C128" s="3" t="s">
        <v>600</v>
      </c>
      <c r="D128" s="3" t="s">
        <v>601</v>
      </c>
      <c r="E128" s="90" t="str">
        <f>(VLOOKUP(F128,Formula!$C$6:$D$26,2,FALSE))</f>
        <v>Sangat Prioritas (Very High)</v>
      </c>
      <c r="F128" s="3">
        <f t="shared" si="1"/>
        <v>24</v>
      </c>
      <c r="G128" s="4">
        <v>5</v>
      </c>
      <c r="H128" s="4">
        <v>5</v>
      </c>
      <c r="I128" s="4">
        <v>5</v>
      </c>
      <c r="J128" s="4">
        <v>5</v>
      </c>
      <c r="K128" s="4">
        <v>4</v>
      </c>
      <c r="L128" s="27" t="s">
        <v>602</v>
      </c>
      <c r="M128" s="97" t="s">
        <v>603</v>
      </c>
      <c r="N128" s="27" t="s">
        <v>604</v>
      </c>
    </row>
    <row r="129" spans="1:14" ht="153.6">
      <c r="A129" s="1" t="s">
        <v>661</v>
      </c>
      <c r="B129" s="4">
        <v>7</v>
      </c>
      <c r="C129" s="3" t="s">
        <v>605</v>
      </c>
      <c r="D129" s="3" t="s">
        <v>606</v>
      </c>
      <c r="E129" s="90" t="str">
        <f>(VLOOKUP(F129,Formula!$C$6:$D$26,2,FALSE))</f>
        <v>Sangat Prioritas (Very High)</v>
      </c>
      <c r="F129" s="3">
        <f t="shared" si="1"/>
        <v>24</v>
      </c>
      <c r="G129" s="4">
        <v>5</v>
      </c>
      <c r="H129" s="4">
        <v>5</v>
      </c>
      <c r="I129" s="4">
        <v>5</v>
      </c>
      <c r="J129" s="4">
        <v>5</v>
      </c>
      <c r="K129" s="4">
        <v>4</v>
      </c>
      <c r="L129" s="27" t="s">
        <v>607</v>
      </c>
      <c r="M129" s="97" t="s">
        <v>608</v>
      </c>
      <c r="N129" s="27" t="s">
        <v>609</v>
      </c>
    </row>
    <row r="130" spans="1:14" ht="172.8">
      <c r="A130" s="1" t="s">
        <v>661</v>
      </c>
      <c r="B130" s="4">
        <v>8</v>
      </c>
      <c r="C130" s="3" t="s">
        <v>610</v>
      </c>
      <c r="D130" s="3" t="s">
        <v>611</v>
      </c>
      <c r="E130" s="90" t="str">
        <f>(VLOOKUP(F130,Formula!$C$6:$D$26,2,FALSE))</f>
        <v>Sangat Prioritas (Very High)</v>
      </c>
      <c r="F130" s="3">
        <f t="shared" si="1"/>
        <v>24</v>
      </c>
      <c r="G130" s="4">
        <v>5</v>
      </c>
      <c r="H130" s="4">
        <v>5</v>
      </c>
      <c r="I130" s="4">
        <v>5</v>
      </c>
      <c r="J130" s="4">
        <v>5</v>
      </c>
      <c r="K130" s="4">
        <v>4</v>
      </c>
      <c r="L130" s="37" t="s">
        <v>612</v>
      </c>
      <c r="M130" s="97" t="s">
        <v>613</v>
      </c>
      <c r="N130" s="27" t="s">
        <v>614</v>
      </c>
    </row>
    <row r="131" spans="1:14" ht="153.6">
      <c r="A131" s="1" t="s">
        <v>661</v>
      </c>
      <c r="B131" s="4">
        <v>9</v>
      </c>
      <c r="C131" s="3" t="s">
        <v>615</v>
      </c>
      <c r="D131" s="3" t="s">
        <v>616</v>
      </c>
      <c r="E131" s="90" t="str">
        <f>(VLOOKUP(F131,Formula!$C$6:$D$26,2,FALSE))</f>
        <v>Sedang (Medium)</v>
      </c>
      <c r="F131" s="3">
        <f t="shared" si="1"/>
        <v>15</v>
      </c>
      <c r="G131" s="4">
        <v>3</v>
      </c>
      <c r="H131" s="4">
        <v>4</v>
      </c>
      <c r="I131" s="4">
        <v>4</v>
      </c>
      <c r="J131" s="4">
        <v>3</v>
      </c>
      <c r="K131" s="4">
        <v>1</v>
      </c>
      <c r="L131" s="97" t="s">
        <v>617</v>
      </c>
      <c r="M131" s="97" t="s">
        <v>618</v>
      </c>
      <c r="N131" s="27" t="s">
        <v>619</v>
      </c>
    </row>
    <row r="132" spans="1:14" ht="96">
      <c r="A132" s="1" t="s">
        <v>661</v>
      </c>
      <c r="B132" s="4">
        <v>10</v>
      </c>
      <c r="C132" s="27" t="s">
        <v>620</v>
      </c>
      <c r="D132" s="27" t="s">
        <v>621</v>
      </c>
      <c r="E132" s="90" t="str">
        <f>(VLOOKUP(F132,Formula!$C$6:$D$26,2,FALSE))</f>
        <v>Prioritas (High)</v>
      </c>
      <c r="F132" s="3">
        <f t="shared" si="1"/>
        <v>20</v>
      </c>
      <c r="G132" s="71">
        <v>4</v>
      </c>
      <c r="H132" s="71">
        <v>4</v>
      </c>
      <c r="I132" s="71">
        <v>4</v>
      </c>
      <c r="J132" s="71">
        <v>4</v>
      </c>
      <c r="K132" s="71">
        <v>4</v>
      </c>
      <c r="L132" s="27" t="s">
        <v>622</v>
      </c>
      <c r="M132" s="71" t="s">
        <v>623</v>
      </c>
      <c r="N132" s="27" t="s">
        <v>624</v>
      </c>
    </row>
    <row r="133" spans="1:14" ht="57.6">
      <c r="A133" s="1" t="s">
        <v>661</v>
      </c>
      <c r="B133" s="4">
        <v>11</v>
      </c>
      <c r="C133" s="27" t="s">
        <v>625</v>
      </c>
      <c r="D133" s="27" t="s">
        <v>626</v>
      </c>
      <c r="E133" s="90" t="str">
        <f>(VLOOKUP(F133,Formula!$C$6:$D$26,2,FALSE))</f>
        <v>Prioritas (High)</v>
      </c>
      <c r="F133" s="3">
        <f t="shared" si="1"/>
        <v>20</v>
      </c>
      <c r="G133" s="71">
        <v>4</v>
      </c>
      <c r="H133" s="71">
        <v>4</v>
      </c>
      <c r="I133" s="71">
        <v>4</v>
      </c>
      <c r="J133" s="71">
        <v>4</v>
      </c>
      <c r="K133" s="71">
        <v>4</v>
      </c>
      <c r="L133" s="27" t="s">
        <v>627</v>
      </c>
      <c r="M133" s="71" t="s">
        <v>628</v>
      </c>
      <c r="N133" s="27" t="s">
        <v>629</v>
      </c>
    </row>
    <row r="134" spans="1:14" ht="57.6">
      <c r="A134" s="1" t="s">
        <v>661</v>
      </c>
      <c r="B134" s="4">
        <v>12</v>
      </c>
      <c r="C134" s="27" t="s">
        <v>630</v>
      </c>
      <c r="D134" s="27" t="s">
        <v>631</v>
      </c>
      <c r="E134" s="90" t="str">
        <f>(VLOOKUP(F134,Formula!$C$6:$D$26,2,FALSE))</f>
        <v>Prioritas (High)</v>
      </c>
      <c r="F134" s="3">
        <f t="shared" ref="F134:F149" si="2">G134+H134+I134+J134+K134</f>
        <v>20</v>
      </c>
      <c r="G134" s="71">
        <v>4</v>
      </c>
      <c r="H134" s="71">
        <v>4</v>
      </c>
      <c r="I134" s="71">
        <v>4</v>
      </c>
      <c r="J134" s="71">
        <v>4</v>
      </c>
      <c r="K134" s="71">
        <v>4</v>
      </c>
      <c r="L134" s="27" t="s">
        <v>627</v>
      </c>
      <c r="M134" s="71" t="s">
        <v>632</v>
      </c>
      <c r="N134" s="27" t="s">
        <v>629</v>
      </c>
    </row>
    <row r="135" spans="1:14" ht="38.4">
      <c r="A135" s="1" t="s">
        <v>661</v>
      </c>
      <c r="B135" s="4">
        <v>13</v>
      </c>
      <c r="C135" s="27" t="s">
        <v>633</v>
      </c>
      <c r="D135" s="27" t="s">
        <v>634</v>
      </c>
      <c r="E135" s="90" t="str">
        <f>(VLOOKUP(F135,Formula!$C$6:$D$26,2,FALSE))</f>
        <v>Prioritas (High)</v>
      </c>
      <c r="F135" s="3">
        <f t="shared" si="2"/>
        <v>20</v>
      </c>
      <c r="G135" s="71">
        <v>4</v>
      </c>
      <c r="H135" s="71">
        <v>4</v>
      </c>
      <c r="I135" s="71">
        <v>4</v>
      </c>
      <c r="J135" s="71">
        <v>4</v>
      </c>
      <c r="K135" s="71">
        <v>4</v>
      </c>
      <c r="L135" s="27" t="s">
        <v>635</v>
      </c>
      <c r="M135" s="71" t="s">
        <v>632</v>
      </c>
      <c r="N135" s="27" t="s">
        <v>629</v>
      </c>
    </row>
    <row r="136" spans="1:14" ht="96">
      <c r="A136" s="1" t="s">
        <v>661</v>
      </c>
      <c r="B136" s="4">
        <v>14</v>
      </c>
      <c r="C136" s="39" t="s">
        <v>636</v>
      </c>
      <c r="D136" s="39" t="s">
        <v>637</v>
      </c>
      <c r="E136" s="90" t="str">
        <f>(VLOOKUP(F136,Formula!$C$6:$D$26,2,FALSE))</f>
        <v>Sangat Prioritas (Very High)</v>
      </c>
      <c r="F136" s="3">
        <f t="shared" si="2"/>
        <v>24</v>
      </c>
      <c r="G136" s="76">
        <v>5</v>
      </c>
      <c r="H136" s="76">
        <v>5</v>
      </c>
      <c r="I136" s="76">
        <v>5</v>
      </c>
      <c r="J136" s="76">
        <v>5</v>
      </c>
      <c r="K136" s="76">
        <v>4</v>
      </c>
      <c r="L136" s="39" t="s">
        <v>638</v>
      </c>
      <c r="M136" s="39" t="s">
        <v>639</v>
      </c>
      <c r="N136" s="39" t="s">
        <v>640</v>
      </c>
    </row>
    <row r="137" spans="1:14" ht="57.6">
      <c r="A137" s="1" t="s">
        <v>661</v>
      </c>
      <c r="B137" s="4">
        <v>15</v>
      </c>
      <c r="C137" s="39" t="s">
        <v>641</v>
      </c>
      <c r="D137" s="39" t="s">
        <v>642</v>
      </c>
      <c r="E137" s="90" t="str">
        <f>(VLOOKUP(F137,Formula!$C$6:$D$26,2,FALSE))</f>
        <v>Sangat Prioritas (Very High)</v>
      </c>
      <c r="F137" s="3">
        <f t="shared" si="2"/>
        <v>24</v>
      </c>
      <c r="G137" s="76">
        <v>5</v>
      </c>
      <c r="H137" s="76">
        <v>5</v>
      </c>
      <c r="I137" s="76">
        <v>5</v>
      </c>
      <c r="J137" s="76">
        <v>5</v>
      </c>
      <c r="K137" s="76">
        <v>4</v>
      </c>
      <c r="L137" s="39" t="s">
        <v>643</v>
      </c>
      <c r="M137" s="39" t="s">
        <v>644</v>
      </c>
      <c r="N137" s="39" t="s">
        <v>645</v>
      </c>
    </row>
    <row r="138" spans="1:14" ht="76.8">
      <c r="A138" s="1" t="s">
        <v>661</v>
      </c>
      <c r="B138" s="4">
        <v>16</v>
      </c>
      <c r="C138" s="39" t="s">
        <v>646</v>
      </c>
      <c r="D138" s="39" t="s">
        <v>647</v>
      </c>
      <c r="E138" s="90" t="str">
        <f>(VLOOKUP(F138,Formula!$C$6:$D$26,2,FALSE))</f>
        <v>Sangat Prioritas (Very High)</v>
      </c>
      <c r="F138" s="3">
        <f t="shared" si="2"/>
        <v>24</v>
      </c>
      <c r="G138" s="76">
        <v>5</v>
      </c>
      <c r="H138" s="76">
        <v>5</v>
      </c>
      <c r="I138" s="76">
        <v>5</v>
      </c>
      <c r="J138" s="76">
        <v>5</v>
      </c>
      <c r="K138" s="76">
        <v>4</v>
      </c>
      <c r="L138" s="39" t="s">
        <v>648</v>
      </c>
      <c r="M138" s="39" t="s">
        <v>649</v>
      </c>
      <c r="N138" s="39" t="s">
        <v>650</v>
      </c>
    </row>
    <row r="139" spans="1:14" ht="57.6">
      <c r="A139" s="1" t="s">
        <v>661</v>
      </c>
      <c r="B139" s="4">
        <v>17</v>
      </c>
      <c r="C139" s="39" t="s">
        <v>651</v>
      </c>
      <c r="D139" s="39" t="s">
        <v>652</v>
      </c>
      <c r="E139" s="90" t="str">
        <f>(VLOOKUP(F139,Formula!$C$6:$D$26,2,FALSE))</f>
        <v>Sangat Prioritas (Very High)</v>
      </c>
      <c r="F139" s="3">
        <f t="shared" si="2"/>
        <v>24</v>
      </c>
      <c r="G139" s="76">
        <v>5</v>
      </c>
      <c r="H139" s="76">
        <v>5</v>
      </c>
      <c r="I139" s="76">
        <v>5</v>
      </c>
      <c r="J139" s="76">
        <v>5</v>
      </c>
      <c r="K139" s="76">
        <v>4</v>
      </c>
      <c r="L139" s="39" t="s">
        <v>653</v>
      </c>
      <c r="M139" s="39" t="s">
        <v>654</v>
      </c>
      <c r="N139" s="39" t="s">
        <v>655</v>
      </c>
    </row>
    <row r="140" spans="1:14" ht="57.6">
      <c r="A140" s="1" t="s">
        <v>661</v>
      </c>
      <c r="B140" s="4">
        <v>18</v>
      </c>
      <c r="C140" s="39" t="s">
        <v>656</v>
      </c>
      <c r="D140" s="39" t="s">
        <v>657</v>
      </c>
      <c r="E140" s="90" t="str">
        <f>(VLOOKUP(F140,Formula!$C$6:$D$26,2,FALSE))</f>
        <v>Prioritas (High)</v>
      </c>
      <c r="F140" s="3">
        <f t="shared" si="2"/>
        <v>20</v>
      </c>
      <c r="G140" s="76">
        <v>4</v>
      </c>
      <c r="H140" s="76">
        <v>4</v>
      </c>
      <c r="I140" s="76">
        <v>4</v>
      </c>
      <c r="J140" s="76">
        <v>4</v>
      </c>
      <c r="K140" s="76">
        <v>4</v>
      </c>
      <c r="L140" s="39" t="s">
        <v>658</v>
      </c>
      <c r="M140" s="39" t="s">
        <v>659</v>
      </c>
      <c r="N140" s="39" t="s">
        <v>660</v>
      </c>
    </row>
    <row r="141" spans="1:14" ht="38.4">
      <c r="A141" s="1" t="s">
        <v>687</v>
      </c>
      <c r="B141" s="1">
        <v>1</v>
      </c>
      <c r="C141" s="67" t="s">
        <v>666</v>
      </c>
      <c r="D141" s="61" t="s">
        <v>667</v>
      </c>
      <c r="E141" s="90" t="str">
        <f>(VLOOKUP(F141,Formula!$C$6:$D$26,2,FALSE))</f>
        <v>Rendah (Low)</v>
      </c>
      <c r="F141" s="3">
        <f t="shared" si="2"/>
        <v>5</v>
      </c>
      <c r="G141" s="102">
        <v>1</v>
      </c>
      <c r="H141" s="102">
        <v>1</v>
      </c>
      <c r="I141" s="102">
        <v>1</v>
      </c>
      <c r="J141" s="102">
        <v>1</v>
      </c>
      <c r="K141" s="102">
        <v>1</v>
      </c>
      <c r="L141" s="103" t="s">
        <v>668</v>
      </c>
    </row>
    <row r="142" spans="1:14" ht="38.4">
      <c r="A142" s="1" t="s">
        <v>687</v>
      </c>
      <c r="B142" s="1">
        <v>2</v>
      </c>
      <c r="C142" s="67" t="s">
        <v>669</v>
      </c>
      <c r="D142" s="61" t="s">
        <v>670</v>
      </c>
      <c r="E142" s="90" t="str">
        <f>(VLOOKUP(F142,Formula!$C$6:$D$26,2,FALSE))</f>
        <v>Sedang Rendah (Moderate to Low)</v>
      </c>
      <c r="F142" s="3">
        <f t="shared" si="2"/>
        <v>10</v>
      </c>
      <c r="G142" s="104">
        <v>2</v>
      </c>
      <c r="H142" s="104">
        <v>2</v>
      </c>
      <c r="I142" s="104">
        <v>2</v>
      </c>
      <c r="J142" s="104">
        <v>2</v>
      </c>
      <c r="K142" s="104">
        <v>2</v>
      </c>
      <c r="L142" s="103" t="s">
        <v>671</v>
      </c>
    </row>
    <row r="143" spans="1:14" ht="38.4">
      <c r="A143" s="1" t="s">
        <v>687</v>
      </c>
      <c r="B143" s="1">
        <v>3</v>
      </c>
      <c r="C143" s="67" t="s">
        <v>672</v>
      </c>
      <c r="D143" s="61" t="s">
        <v>673</v>
      </c>
      <c r="E143" s="90" t="str">
        <f>(VLOOKUP(F143,Formula!$C$6:$D$26,2,FALSE))</f>
        <v>Sedang Rendah (Moderate to Low)</v>
      </c>
      <c r="F143" s="3">
        <f t="shared" si="2"/>
        <v>10</v>
      </c>
      <c r="G143" s="104">
        <v>2</v>
      </c>
      <c r="H143" s="104">
        <v>2</v>
      </c>
      <c r="I143" s="104">
        <v>2</v>
      </c>
      <c r="J143" s="104">
        <v>2</v>
      </c>
      <c r="K143" s="104">
        <v>2</v>
      </c>
      <c r="L143" s="103" t="s">
        <v>668</v>
      </c>
    </row>
    <row r="144" spans="1:14" ht="38.4">
      <c r="A144" s="1" t="s">
        <v>687</v>
      </c>
      <c r="B144" s="1">
        <v>4</v>
      </c>
      <c r="C144" s="61" t="s">
        <v>674</v>
      </c>
      <c r="D144" s="61" t="s">
        <v>675</v>
      </c>
      <c r="E144" s="90" t="str">
        <f>(VLOOKUP(F144,Formula!$C$6:$D$26,2,FALSE))</f>
        <v>Sedang Rendah (Moderate to Low)</v>
      </c>
      <c r="F144" s="3">
        <f t="shared" si="2"/>
        <v>10</v>
      </c>
      <c r="G144" s="104">
        <v>2</v>
      </c>
      <c r="H144" s="104">
        <v>2</v>
      </c>
      <c r="I144" s="104">
        <v>2</v>
      </c>
      <c r="J144" s="104">
        <v>2</v>
      </c>
      <c r="K144" s="104">
        <v>2</v>
      </c>
      <c r="L144" s="103" t="s">
        <v>676</v>
      </c>
    </row>
    <row r="145" spans="1:12">
      <c r="A145" s="1" t="s">
        <v>687</v>
      </c>
      <c r="B145" s="1">
        <v>5</v>
      </c>
      <c r="C145" s="67" t="s">
        <v>677</v>
      </c>
      <c r="D145" s="61" t="s">
        <v>678</v>
      </c>
      <c r="E145" s="90" t="str">
        <f>(VLOOKUP(F145,Formula!$C$6:$D$26,2,FALSE))</f>
        <v>Sedang (Medium)</v>
      </c>
      <c r="F145" s="3">
        <f t="shared" si="2"/>
        <v>15</v>
      </c>
      <c r="G145" s="104">
        <v>3</v>
      </c>
      <c r="H145" s="104">
        <v>3</v>
      </c>
      <c r="I145" s="104">
        <v>3</v>
      </c>
      <c r="J145" s="104">
        <v>3</v>
      </c>
      <c r="K145" s="105">
        <v>3</v>
      </c>
      <c r="L145" s="67"/>
    </row>
    <row r="146" spans="1:12" ht="24">
      <c r="A146" s="1" t="s">
        <v>687</v>
      </c>
      <c r="B146" s="1">
        <v>6</v>
      </c>
      <c r="C146" s="67" t="s">
        <v>679</v>
      </c>
      <c r="D146" s="61" t="s">
        <v>680</v>
      </c>
      <c r="E146" s="90" t="str">
        <f>(VLOOKUP(F146,Formula!$C$6:$D$26,2,FALSE))</f>
        <v>Sedang Rendah (Moderate to Low)</v>
      </c>
      <c r="F146" s="3">
        <f t="shared" si="2"/>
        <v>10</v>
      </c>
      <c r="G146" s="104">
        <v>2</v>
      </c>
      <c r="H146" s="104">
        <v>2</v>
      </c>
      <c r="I146" s="104">
        <v>2</v>
      </c>
      <c r="J146" s="104">
        <v>2</v>
      </c>
      <c r="K146" s="105">
        <v>2</v>
      </c>
      <c r="L146" s="67"/>
    </row>
    <row r="147" spans="1:12">
      <c r="A147" s="1" t="s">
        <v>687</v>
      </c>
      <c r="B147" s="1">
        <v>7</v>
      </c>
      <c r="C147" s="67" t="s">
        <v>681</v>
      </c>
      <c r="D147" s="61" t="s">
        <v>682</v>
      </c>
      <c r="E147" s="90" t="str">
        <f>(VLOOKUP(F147,Formula!$C$6:$D$26,2,FALSE))</f>
        <v>Rendah (Low)</v>
      </c>
      <c r="F147" s="3">
        <f t="shared" si="2"/>
        <v>5</v>
      </c>
      <c r="G147" s="102">
        <v>1</v>
      </c>
      <c r="H147" s="102">
        <v>1</v>
      </c>
      <c r="I147" s="102">
        <v>1</v>
      </c>
      <c r="J147" s="102">
        <v>1</v>
      </c>
      <c r="K147" s="106">
        <v>1</v>
      </c>
      <c r="L147" s="67"/>
    </row>
    <row r="148" spans="1:12" ht="24">
      <c r="A148" s="1" t="s">
        <v>687</v>
      </c>
      <c r="B148" s="1">
        <v>8</v>
      </c>
      <c r="C148" s="67" t="s">
        <v>683</v>
      </c>
      <c r="D148" s="61" t="s">
        <v>684</v>
      </c>
      <c r="E148" s="90" t="str">
        <f>(VLOOKUP(F148,Formula!$C$6:$D$26,2,FALSE))</f>
        <v>Sedang Rendah (Moderate to Low)</v>
      </c>
      <c r="F148" s="3">
        <f t="shared" si="2"/>
        <v>10</v>
      </c>
      <c r="G148" s="104">
        <v>2</v>
      </c>
      <c r="H148" s="104">
        <v>2</v>
      </c>
      <c r="I148" s="104">
        <v>2</v>
      </c>
      <c r="J148" s="104">
        <v>2</v>
      </c>
      <c r="K148" s="105">
        <v>2</v>
      </c>
      <c r="L148" s="67"/>
    </row>
    <row r="149" spans="1:12" ht="38.4">
      <c r="A149" s="1" t="s">
        <v>687</v>
      </c>
      <c r="B149" s="1">
        <v>9</v>
      </c>
      <c r="C149" s="67" t="s">
        <v>685</v>
      </c>
      <c r="D149" s="61" t="s">
        <v>686</v>
      </c>
      <c r="E149" s="90" t="str">
        <f>(VLOOKUP(F149,Formula!$C$6:$D$26,2,FALSE))</f>
        <v>Sedang Rendah (Moderate to Low)</v>
      </c>
      <c r="F149" s="3">
        <f t="shared" si="2"/>
        <v>10</v>
      </c>
      <c r="G149" s="104">
        <v>2</v>
      </c>
      <c r="H149" s="104">
        <v>2</v>
      </c>
      <c r="I149" s="104">
        <v>2</v>
      </c>
      <c r="J149" s="104">
        <v>2</v>
      </c>
      <c r="K149" s="105">
        <v>2</v>
      </c>
      <c r="L149" s="67"/>
    </row>
    <row r="150" spans="1:12" ht="38.4">
      <c r="A150" s="1" t="s">
        <v>688</v>
      </c>
      <c r="C150" s="30" t="s">
        <v>689</v>
      </c>
    </row>
  </sheetData>
  <autoFilter ref="A4:N150" xr:uid="{030A29D5-2F64-43CC-B87E-417BF1E45516}"/>
  <mergeCells count="1">
    <mergeCell ref="G3:K3"/>
  </mergeCells>
  <conditionalFormatting sqref="E5:E149">
    <cfRule type="containsText" dxfId="4" priority="1" stopIfTrue="1" operator="containsText" text="SEDANG-RENDAH">
      <formula>NOT(ISERROR(SEARCH("SEDANG-RENDAH",E5)))</formula>
    </cfRule>
    <cfRule type="containsText" dxfId="3" priority="2" stopIfTrue="1" operator="containsText" text="SEDANG-TINGGI">
      <formula>NOT(ISERROR(SEARCH("SEDANG-TINGGI",E5)))</formula>
    </cfRule>
    <cfRule type="containsText" dxfId="2" priority="3" stopIfTrue="1" operator="containsText" text="SEDANG">
      <formula>NOT(ISERROR(SEARCH("SEDANG",E5)))</formula>
    </cfRule>
    <cfRule type="containsText" dxfId="1" priority="4" stopIfTrue="1" operator="containsText" text="TINGGI">
      <formula>NOT(ISERROR(SEARCH("TINGGI",E5)))</formula>
    </cfRule>
    <cfRule type="containsText" dxfId="0" priority="5" stopIfTrue="1" operator="containsText" text="RENDAH">
      <formula>NOT(ISERROR(SEARCH("RENDAH",E5)))</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C275-EB1C-C34D-BCD4-F214F838D02E}">
  <dimension ref="A1:N14"/>
  <sheetViews>
    <sheetView zoomScale="70" zoomScaleNormal="70" workbookViewId="0">
      <pane xSplit="3" ySplit="9" topLeftCell="D10" activePane="bottomRight" state="frozen"/>
      <selection pane="topRight" activeCell="D1" sqref="D1"/>
      <selection pane="bottomLeft" activeCell="A10" sqref="A10"/>
      <selection pane="bottomRight" activeCell="K5" sqref="K5"/>
    </sheetView>
  </sheetViews>
  <sheetFormatPr defaultColWidth="10.796875" defaultRowHeight="19.95" customHeight="1"/>
  <cols>
    <col min="1" max="1" width="10.796875" style="1"/>
    <col min="2" max="2" width="35.5" style="1" customWidth="1"/>
    <col min="3" max="3" width="65.09765625" style="1" bestFit="1" customWidth="1"/>
    <col min="4" max="4" width="15.296875" style="1" customWidth="1"/>
    <col min="5" max="6" width="10.69921875" style="1" customWidth="1"/>
    <col min="7" max="7" width="12.796875" style="1" customWidth="1"/>
    <col min="8" max="8" width="10.69921875" style="1" customWidth="1"/>
    <col min="9" max="11" width="12.19921875" style="1" customWidth="1"/>
    <col min="12" max="12" width="43" style="1" bestFit="1" customWidth="1"/>
    <col min="13" max="13" width="31.09765625" style="1" bestFit="1" customWidth="1"/>
    <col min="14" max="14" width="92.09765625" style="1" bestFit="1" customWidth="1"/>
    <col min="15" max="16384" width="10.796875" style="1"/>
  </cols>
  <sheetData>
    <row r="1" spans="1:14" ht="31.95" customHeight="1">
      <c r="A1" s="2" t="s">
        <v>14</v>
      </c>
    </row>
    <row r="3" spans="1:14" ht="58.5" customHeight="1">
      <c r="A3" s="112" t="s">
        <v>5</v>
      </c>
      <c r="B3" s="112" t="s">
        <v>6</v>
      </c>
      <c r="C3" s="112" t="s">
        <v>7</v>
      </c>
      <c r="D3" s="110" t="s">
        <v>93</v>
      </c>
      <c r="E3" s="107" t="s">
        <v>33</v>
      </c>
      <c r="F3" s="108"/>
      <c r="G3" s="108"/>
      <c r="H3" s="108"/>
      <c r="I3" s="109"/>
      <c r="J3" s="34"/>
      <c r="K3" s="34"/>
      <c r="L3" s="110" t="s">
        <v>8</v>
      </c>
      <c r="M3" s="110" t="s">
        <v>34</v>
      </c>
      <c r="N3" s="110" t="s">
        <v>9</v>
      </c>
    </row>
    <row r="4" spans="1:14" ht="38.4">
      <c r="A4" s="113"/>
      <c r="B4" s="113"/>
      <c r="C4" s="113"/>
      <c r="D4" s="111"/>
      <c r="E4" s="7" t="s">
        <v>91</v>
      </c>
      <c r="F4" s="7" t="s">
        <v>92</v>
      </c>
      <c r="G4" s="7" t="s">
        <v>59</v>
      </c>
      <c r="H4" s="7" t="s">
        <v>51</v>
      </c>
      <c r="I4" s="7" t="s">
        <v>83</v>
      </c>
      <c r="J4" s="32"/>
      <c r="K4" s="32"/>
      <c r="L4" s="111"/>
      <c r="M4" s="111"/>
      <c r="N4" s="111"/>
    </row>
    <row r="5" spans="1:14" ht="19.95" customHeight="1">
      <c r="A5" s="4">
        <v>1</v>
      </c>
      <c r="B5" s="3" t="s">
        <v>104</v>
      </c>
      <c r="C5" s="3" t="s">
        <v>105</v>
      </c>
      <c r="D5" s="3"/>
      <c r="E5" s="3">
        <v>2</v>
      </c>
      <c r="F5" s="3">
        <v>2</v>
      </c>
      <c r="G5" s="3">
        <v>2</v>
      </c>
      <c r="H5" s="3">
        <v>2</v>
      </c>
      <c r="I5" s="3">
        <v>2</v>
      </c>
      <c r="J5" s="3">
        <f t="shared" ref="J5:J12" si="0">SUM(E5:I5)</f>
        <v>10</v>
      </c>
      <c r="K5" s="3"/>
      <c r="L5" s="3" t="s">
        <v>116</v>
      </c>
      <c r="M5" s="3" t="s">
        <v>120</v>
      </c>
      <c r="N5" s="3" t="s">
        <v>128</v>
      </c>
    </row>
    <row r="6" spans="1:14" ht="19.95" customHeight="1">
      <c r="A6" s="4">
        <v>2</v>
      </c>
      <c r="B6" s="3" t="s">
        <v>106</v>
      </c>
      <c r="C6" s="3" t="s">
        <v>108</v>
      </c>
      <c r="D6" s="3"/>
      <c r="E6" s="3">
        <v>2</v>
      </c>
      <c r="F6" s="3">
        <v>3</v>
      </c>
      <c r="G6" s="3">
        <v>2</v>
      </c>
      <c r="H6" s="3">
        <v>2</v>
      </c>
      <c r="I6" s="3">
        <v>2</v>
      </c>
      <c r="J6" s="3">
        <f t="shared" si="0"/>
        <v>11</v>
      </c>
      <c r="K6" s="3"/>
      <c r="L6" s="3" t="s">
        <v>117</v>
      </c>
      <c r="M6" s="3" t="s">
        <v>124</v>
      </c>
      <c r="N6" s="3" t="s">
        <v>129</v>
      </c>
    </row>
    <row r="7" spans="1:14" ht="19.95" customHeight="1">
      <c r="A7" s="4">
        <v>3</v>
      </c>
      <c r="B7" s="3" t="s">
        <v>107</v>
      </c>
      <c r="C7" s="3" t="s">
        <v>136</v>
      </c>
      <c r="D7" s="3"/>
      <c r="E7" s="3">
        <v>2</v>
      </c>
      <c r="F7" s="3">
        <v>2</v>
      </c>
      <c r="G7" s="3">
        <v>3</v>
      </c>
      <c r="H7" s="3">
        <v>2</v>
      </c>
      <c r="I7" s="3">
        <v>1</v>
      </c>
      <c r="J7" s="3">
        <f t="shared" si="0"/>
        <v>10</v>
      </c>
      <c r="K7" s="3"/>
      <c r="L7" s="3" t="s">
        <v>118</v>
      </c>
      <c r="M7" s="3" t="s">
        <v>123</v>
      </c>
      <c r="N7" s="3" t="s">
        <v>130</v>
      </c>
    </row>
    <row r="8" spans="1:14" ht="19.95" customHeight="1">
      <c r="A8" s="4">
        <v>4</v>
      </c>
      <c r="B8" s="3" t="s">
        <v>109</v>
      </c>
      <c r="C8" s="3" t="s">
        <v>137</v>
      </c>
      <c r="D8" s="3"/>
      <c r="E8" s="3">
        <v>2</v>
      </c>
      <c r="F8" s="3">
        <v>2</v>
      </c>
      <c r="G8" s="3">
        <v>2</v>
      </c>
      <c r="H8" s="3">
        <v>2</v>
      </c>
      <c r="I8" s="3">
        <v>2</v>
      </c>
      <c r="J8" s="3">
        <f t="shared" si="0"/>
        <v>10</v>
      </c>
      <c r="K8" s="3"/>
      <c r="L8" s="3" t="s">
        <v>119</v>
      </c>
      <c r="M8" s="3" t="s">
        <v>125</v>
      </c>
      <c r="N8" s="3" t="s">
        <v>138</v>
      </c>
    </row>
    <row r="9" spans="1:14" ht="19.95" customHeight="1">
      <c r="A9" s="4">
        <v>5</v>
      </c>
      <c r="B9" s="3" t="s">
        <v>110</v>
      </c>
      <c r="C9" s="3" t="s">
        <v>111</v>
      </c>
      <c r="D9" s="3"/>
      <c r="E9" s="3">
        <v>3</v>
      </c>
      <c r="F9" s="3">
        <v>3</v>
      </c>
      <c r="G9" s="3">
        <v>3</v>
      </c>
      <c r="H9" s="3">
        <v>3</v>
      </c>
      <c r="I9" s="3">
        <v>3</v>
      </c>
      <c r="J9" s="3">
        <f t="shared" si="0"/>
        <v>15</v>
      </c>
      <c r="K9" s="3"/>
      <c r="L9" s="3" t="s">
        <v>127</v>
      </c>
      <c r="M9" s="3" t="s">
        <v>126</v>
      </c>
      <c r="N9" s="3" t="s">
        <v>131</v>
      </c>
    </row>
    <row r="10" spans="1:14" ht="19.95" customHeight="1">
      <c r="A10" s="4">
        <v>6</v>
      </c>
      <c r="B10" s="3" t="s">
        <v>112</v>
      </c>
      <c r="C10" s="3" t="s">
        <v>113</v>
      </c>
      <c r="D10" s="3"/>
      <c r="E10" s="3">
        <v>2</v>
      </c>
      <c r="F10" s="3">
        <v>2</v>
      </c>
      <c r="G10" s="3">
        <v>2</v>
      </c>
      <c r="H10" s="3">
        <v>2</v>
      </c>
      <c r="I10" s="3">
        <v>2</v>
      </c>
      <c r="J10" s="3">
        <f t="shared" si="0"/>
        <v>10</v>
      </c>
      <c r="K10" s="3"/>
      <c r="L10" s="3" t="s">
        <v>127</v>
      </c>
      <c r="M10" s="3" t="s">
        <v>126</v>
      </c>
      <c r="N10" s="3" t="s">
        <v>133</v>
      </c>
    </row>
    <row r="11" spans="1:14" ht="19.95" customHeight="1">
      <c r="A11" s="4">
        <v>7</v>
      </c>
      <c r="B11" s="3" t="s">
        <v>114</v>
      </c>
      <c r="C11" s="3" t="s">
        <v>115</v>
      </c>
      <c r="D11" s="3"/>
      <c r="E11" s="3">
        <v>3</v>
      </c>
      <c r="F11" s="3">
        <v>3</v>
      </c>
      <c r="G11" s="3">
        <v>3</v>
      </c>
      <c r="H11" s="3">
        <v>3</v>
      </c>
      <c r="I11" s="3">
        <v>5</v>
      </c>
      <c r="J11" s="3">
        <f t="shared" si="0"/>
        <v>17</v>
      </c>
      <c r="K11" s="3"/>
      <c r="L11" s="3" t="s">
        <v>141</v>
      </c>
      <c r="M11" s="3" t="s">
        <v>142</v>
      </c>
      <c r="N11" s="3" t="s">
        <v>132</v>
      </c>
    </row>
    <row r="12" spans="1:14" ht="19.95" customHeight="1">
      <c r="A12" s="4">
        <v>8</v>
      </c>
      <c r="B12" s="3" t="s">
        <v>134</v>
      </c>
      <c r="C12" s="3" t="s">
        <v>135</v>
      </c>
      <c r="D12" s="3"/>
      <c r="E12" s="3">
        <v>3</v>
      </c>
      <c r="F12" s="3">
        <v>2</v>
      </c>
      <c r="G12" s="3">
        <v>3</v>
      </c>
      <c r="H12" s="3">
        <v>4</v>
      </c>
      <c r="I12" s="3">
        <v>5</v>
      </c>
      <c r="J12" s="3">
        <f t="shared" si="0"/>
        <v>17</v>
      </c>
      <c r="K12" s="3"/>
      <c r="L12" s="3" t="s">
        <v>140</v>
      </c>
      <c r="M12" s="3" t="s">
        <v>122</v>
      </c>
      <c r="N12" s="3" t="s">
        <v>139</v>
      </c>
    </row>
    <row r="13" spans="1:14" ht="19.95" customHeight="1">
      <c r="A13" s="4">
        <v>9</v>
      </c>
      <c r="B13" s="3"/>
      <c r="C13" s="3"/>
      <c r="D13" s="3"/>
      <c r="E13" s="3"/>
      <c r="F13" s="3"/>
      <c r="G13" s="3"/>
      <c r="H13" s="3"/>
      <c r="I13" s="3"/>
      <c r="J13" s="3"/>
      <c r="K13" s="3"/>
      <c r="L13" s="3"/>
      <c r="M13" s="3"/>
      <c r="N13" s="3"/>
    </row>
    <row r="14" spans="1:14" ht="19.95" customHeight="1">
      <c r="A14" s="4">
        <v>10</v>
      </c>
      <c r="B14" s="3"/>
      <c r="C14" s="3"/>
      <c r="D14" s="3"/>
      <c r="E14" s="3"/>
      <c r="F14" s="3"/>
      <c r="G14" s="3"/>
      <c r="H14" s="3"/>
      <c r="I14" s="3"/>
      <c r="J14" s="3"/>
      <c r="K14" s="3"/>
      <c r="L14" s="3"/>
      <c r="M14" s="3"/>
      <c r="N14" s="3"/>
    </row>
  </sheetData>
  <mergeCells count="8">
    <mergeCell ref="M3:M4"/>
    <mergeCell ref="N3:N4"/>
    <mergeCell ref="E3:I3"/>
    <mergeCell ref="L3:L4"/>
    <mergeCell ref="A3:A4"/>
    <mergeCell ref="B3:B4"/>
    <mergeCell ref="C3:C4"/>
    <mergeCell ref="D3:D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C995-3E6C-6140-9E1F-76297F2BEB4A}">
  <dimension ref="A1:G13"/>
  <sheetViews>
    <sheetView workbookViewId="0">
      <selection activeCell="A4" sqref="A4"/>
    </sheetView>
  </sheetViews>
  <sheetFormatPr defaultColWidth="10.796875" defaultRowHeight="19.95" customHeight="1"/>
  <cols>
    <col min="1" max="1" width="10.796875" style="1"/>
    <col min="2" max="2" width="44.19921875" style="1" bestFit="1" customWidth="1"/>
    <col min="3" max="3" width="43.5" style="1" customWidth="1"/>
    <col min="4" max="5" width="36.796875" style="1" customWidth="1"/>
    <col min="6" max="6" width="20" style="1" customWidth="1"/>
    <col min="7" max="7" width="53" style="1" customWidth="1"/>
    <col min="8" max="16384" width="10.796875" style="1"/>
  </cols>
  <sheetData>
    <row r="1" spans="1:7" ht="31.95" customHeight="1">
      <c r="A1" s="2" t="s">
        <v>15</v>
      </c>
    </row>
    <row r="3" spans="1:7" ht="58.05" customHeight="1">
      <c r="A3" s="6" t="s">
        <v>5</v>
      </c>
      <c r="B3" s="6" t="s">
        <v>6</v>
      </c>
      <c r="C3" s="6" t="s">
        <v>11</v>
      </c>
      <c r="D3" s="7" t="s">
        <v>12</v>
      </c>
      <c r="E3" s="7" t="s">
        <v>13</v>
      </c>
      <c r="F3" s="7" t="s">
        <v>10</v>
      </c>
      <c r="G3" s="7" t="s">
        <v>70</v>
      </c>
    </row>
    <row r="4" spans="1:7" ht="76.8">
      <c r="A4" s="3">
        <v>1</v>
      </c>
      <c r="B4" s="3" t="s">
        <v>143</v>
      </c>
      <c r="C4" s="3" t="s">
        <v>144</v>
      </c>
      <c r="D4" s="27" t="s">
        <v>145</v>
      </c>
      <c r="E4" s="31" t="s">
        <v>149</v>
      </c>
      <c r="F4" s="3"/>
      <c r="G4" s="27" t="s">
        <v>154</v>
      </c>
    </row>
    <row r="5" spans="1:7" s="30" customFormat="1" ht="38.4">
      <c r="A5" s="27">
        <v>2</v>
      </c>
      <c r="B5" s="27" t="s">
        <v>147</v>
      </c>
      <c r="C5" s="27" t="s">
        <v>148</v>
      </c>
      <c r="D5" s="27" t="s">
        <v>146</v>
      </c>
      <c r="E5" s="31" t="s">
        <v>150</v>
      </c>
      <c r="F5" s="27"/>
      <c r="G5" s="27" t="s">
        <v>154</v>
      </c>
    </row>
    <row r="6" spans="1:7" ht="46.8">
      <c r="A6" s="3">
        <v>3</v>
      </c>
      <c r="B6" s="27" t="s">
        <v>151</v>
      </c>
      <c r="C6" s="27" t="s">
        <v>152</v>
      </c>
      <c r="D6" s="3"/>
      <c r="E6" s="31" t="s">
        <v>153</v>
      </c>
      <c r="F6" s="3"/>
      <c r="G6" s="3"/>
    </row>
    <row r="7" spans="1:7" ht="19.95" customHeight="1">
      <c r="A7" s="3">
        <v>4</v>
      </c>
      <c r="B7" s="3"/>
      <c r="C7" s="3"/>
      <c r="D7" s="3"/>
      <c r="E7" s="3"/>
      <c r="F7" s="3"/>
      <c r="G7" s="3"/>
    </row>
    <row r="8" spans="1:7" ht="19.95" customHeight="1">
      <c r="A8" s="3">
        <v>5</v>
      </c>
      <c r="B8" s="3"/>
      <c r="C8" s="3"/>
      <c r="D8" s="3"/>
      <c r="E8" s="3"/>
      <c r="F8" s="3"/>
      <c r="G8" s="3"/>
    </row>
    <row r="9" spans="1:7" ht="19.95" customHeight="1">
      <c r="A9" s="3">
        <v>6</v>
      </c>
      <c r="B9" s="3"/>
      <c r="C9" s="3"/>
      <c r="D9" s="3"/>
      <c r="E9" s="3"/>
      <c r="F9" s="3"/>
      <c r="G9" s="3"/>
    </row>
    <row r="10" spans="1:7" ht="19.95" customHeight="1">
      <c r="A10" s="3">
        <v>7</v>
      </c>
      <c r="B10" s="3"/>
      <c r="C10" s="3"/>
      <c r="D10" s="3"/>
      <c r="E10" s="3"/>
      <c r="F10" s="3"/>
      <c r="G10" s="3"/>
    </row>
    <row r="11" spans="1:7" ht="19.95" customHeight="1">
      <c r="A11" s="3">
        <v>8</v>
      </c>
      <c r="B11" s="3"/>
      <c r="C11" s="3"/>
      <c r="D11" s="3"/>
      <c r="E11" s="3"/>
      <c r="F11" s="3"/>
      <c r="G11" s="3"/>
    </row>
    <row r="12" spans="1:7" ht="19.95" customHeight="1">
      <c r="A12" s="3">
        <v>9</v>
      </c>
      <c r="B12" s="3"/>
      <c r="C12" s="3"/>
      <c r="D12" s="3"/>
      <c r="E12" s="3"/>
      <c r="F12" s="3"/>
      <c r="G12" s="3"/>
    </row>
    <row r="13" spans="1:7" ht="19.95" customHeight="1">
      <c r="A13" s="3">
        <v>10</v>
      </c>
      <c r="B13" s="3"/>
      <c r="C13" s="3"/>
      <c r="D13" s="3"/>
      <c r="E13" s="3"/>
      <c r="F13" s="3"/>
      <c r="G13" s="3"/>
    </row>
  </sheetData>
  <hyperlinks>
    <hyperlink ref="E4" r:id="rId1" xr:uid="{D9EC38BD-E51C-4BCB-83BB-E26FA7C80BCE}"/>
    <hyperlink ref="E5" r:id="rId2" display="shlim@dynafront.com" xr:uid="{86818B4C-861E-4CA3-A15E-43B489F0CAD6}"/>
    <hyperlink ref="E6" r:id="rId3" display="customercare-chatsupport@adobe.com" xr:uid="{86CD0D09-7918-4103-A083-E754D9698EA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93BAC-14C6-4801-8CEF-CB2B30A7BF41}">
  <dimension ref="B4:L23"/>
  <sheetViews>
    <sheetView showGridLines="0" topLeftCell="A12" zoomScale="80" zoomScaleNormal="80" workbookViewId="0">
      <selection activeCell="D16" sqref="D16"/>
    </sheetView>
  </sheetViews>
  <sheetFormatPr defaultRowHeight="15.6"/>
  <cols>
    <col min="1" max="1" width="1.69921875" customWidth="1"/>
    <col min="2" max="2" width="6.19921875" bestFit="1" customWidth="1"/>
    <col min="3" max="3" width="24.69921875" customWidth="1"/>
    <col min="4" max="4" width="70.8984375" customWidth="1"/>
    <col min="5" max="5" width="2.8984375" customWidth="1"/>
    <col min="8" max="8" width="12.3984375" customWidth="1"/>
    <col min="9" max="10" width="15" customWidth="1"/>
    <col min="11" max="11" width="19.19921875" customWidth="1"/>
    <col min="12" max="12" width="25.69921875" bestFit="1" customWidth="1"/>
  </cols>
  <sheetData>
    <row r="4" spans="2:12">
      <c r="B4" s="26" t="s">
        <v>21</v>
      </c>
      <c r="C4" s="8" t="s">
        <v>19</v>
      </c>
      <c r="D4" s="8" t="s">
        <v>20</v>
      </c>
      <c r="F4" s="119" t="s">
        <v>57</v>
      </c>
      <c r="G4" s="119"/>
      <c r="H4" s="119"/>
      <c r="I4" s="119"/>
      <c r="J4" s="119"/>
      <c r="K4" s="119"/>
      <c r="L4" s="119"/>
    </row>
    <row r="5" spans="2:12">
      <c r="B5" s="114" t="s">
        <v>23</v>
      </c>
      <c r="C5" s="25" t="s">
        <v>24</v>
      </c>
      <c r="D5" s="9" t="s">
        <v>26</v>
      </c>
      <c r="F5" s="19" t="s">
        <v>40</v>
      </c>
      <c r="G5" s="20" t="s">
        <v>38</v>
      </c>
      <c r="H5" s="20" t="s">
        <v>39</v>
      </c>
      <c r="I5" s="20" t="s">
        <v>71</v>
      </c>
      <c r="J5" s="20" t="s">
        <v>59</v>
      </c>
      <c r="K5" s="20" t="s">
        <v>51</v>
      </c>
      <c r="L5" s="20" t="s">
        <v>83</v>
      </c>
    </row>
    <row r="6" spans="2:12" ht="55.2">
      <c r="B6" s="115"/>
      <c r="C6" s="25" t="s">
        <v>2</v>
      </c>
      <c r="D6" s="9" t="s">
        <v>25</v>
      </c>
      <c r="F6" s="16">
        <v>1</v>
      </c>
      <c r="G6" s="17" t="s">
        <v>41</v>
      </c>
      <c r="H6" s="17" t="s">
        <v>61</v>
      </c>
      <c r="I6" s="17" t="s">
        <v>64</v>
      </c>
      <c r="J6" s="17" t="s">
        <v>76</v>
      </c>
      <c r="K6" s="17" t="s">
        <v>52</v>
      </c>
      <c r="L6" s="18" t="s">
        <v>46</v>
      </c>
    </row>
    <row r="7" spans="2:12" ht="69">
      <c r="B7" s="115"/>
      <c r="C7" s="25" t="s">
        <v>1</v>
      </c>
      <c r="D7" s="9" t="s">
        <v>27</v>
      </c>
      <c r="F7" s="15">
        <v>2</v>
      </c>
      <c r="G7" s="11" t="s">
        <v>42</v>
      </c>
      <c r="H7" s="11" t="s">
        <v>62</v>
      </c>
      <c r="I7" s="11" t="s">
        <v>72</v>
      </c>
      <c r="J7" s="11" t="s">
        <v>77</v>
      </c>
      <c r="K7" s="11" t="s">
        <v>53</v>
      </c>
      <c r="L7" s="12" t="s">
        <v>47</v>
      </c>
    </row>
    <row r="8" spans="2:12" ht="69">
      <c r="B8" s="115"/>
      <c r="C8" s="25" t="s">
        <v>17</v>
      </c>
      <c r="D8" s="9" t="s">
        <v>28</v>
      </c>
      <c r="F8" s="15">
        <v>3</v>
      </c>
      <c r="G8" s="11" t="s">
        <v>43</v>
      </c>
      <c r="H8" s="11" t="s">
        <v>63</v>
      </c>
      <c r="I8" s="11" t="s">
        <v>73</v>
      </c>
      <c r="J8" s="11" t="s">
        <v>78</v>
      </c>
      <c r="K8" s="11" t="s">
        <v>54</v>
      </c>
      <c r="L8" s="12" t="s">
        <v>48</v>
      </c>
    </row>
    <row r="9" spans="2:12" ht="69">
      <c r="B9" s="115"/>
      <c r="C9" s="25" t="s">
        <v>18</v>
      </c>
      <c r="D9" s="9" t="s">
        <v>29</v>
      </c>
      <c r="F9" s="15">
        <v>4</v>
      </c>
      <c r="G9" s="11" t="s">
        <v>44</v>
      </c>
      <c r="H9" s="11" t="s">
        <v>81</v>
      </c>
      <c r="I9" s="11" t="s">
        <v>74</v>
      </c>
      <c r="J9" s="11" t="s">
        <v>79</v>
      </c>
      <c r="K9" s="11" t="s">
        <v>55</v>
      </c>
      <c r="L9" s="12" t="s">
        <v>49</v>
      </c>
    </row>
    <row r="10" spans="2:12" ht="69">
      <c r="B10" s="115"/>
      <c r="C10" s="25" t="s">
        <v>3</v>
      </c>
      <c r="D10" s="9" t="s">
        <v>30</v>
      </c>
      <c r="F10" s="15">
        <v>5</v>
      </c>
      <c r="G10" s="13" t="s">
        <v>45</v>
      </c>
      <c r="H10" s="11" t="s">
        <v>82</v>
      </c>
      <c r="I10" s="13" t="s">
        <v>75</v>
      </c>
      <c r="J10" s="11" t="s">
        <v>80</v>
      </c>
      <c r="K10" s="13" t="s">
        <v>56</v>
      </c>
      <c r="L10" s="14" t="s">
        <v>50</v>
      </c>
    </row>
    <row r="11" spans="2:12" ht="86.4">
      <c r="B11" s="116" t="s">
        <v>31</v>
      </c>
      <c r="C11" s="24" t="s">
        <v>6</v>
      </c>
      <c r="D11" s="10" t="s">
        <v>60</v>
      </c>
    </row>
    <row r="12" spans="2:12" ht="28.8">
      <c r="B12" s="116"/>
      <c r="C12" s="24" t="s">
        <v>7</v>
      </c>
      <c r="D12" s="10" t="s">
        <v>35</v>
      </c>
    </row>
    <row r="13" spans="2:12" ht="86.4">
      <c r="B13" s="116"/>
      <c r="C13" s="24" t="s">
        <v>36</v>
      </c>
      <c r="D13" s="10" t="s">
        <v>37</v>
      </c>
    </row>
    <row r="14" spans="2:12" ht="100.8">
      <c r="B14" s="116"/>
      <c r="C14" s="24" t="s">
        <v>58</v>
      </c>
      <c r="D14" s="10" t="s">
        <v>97</v>
      </c>
    </row>
    <row r="15" spans="2:12" ht="28.8">
      <c r="B15" s="116"/>
      <c r="C15" s="24" t="s">
        <v>8</v>
      </c>
      <c r="D15" s="10" t="s">
        <v>22</v>
      </c>
    </row>
    <row r="16" spans="2:12" ht="72">
      <c r="B16" s="116"/>
      <c r="C16" s="24" t="s">
        <v>34</v>
      </c>
      <c r="D16" s="10" t="s">
        <v>98</v>
      </c>
    </row>
    <row r="17" spans="2:4" ht="57.6">
      <c r="B17" s="116"/>
      <c r="C17" s="24" t="s">
        <v>9</v>
      </c>
      <c r="D17" s="10" t="s">
        <v>94</v>
      </c>
    </row>
    <row r="18" spans="2:4" ht="100.8">
      <c r="B18" s="117" t="s">
        <v>32</v>
      </c>
      <c r="C18" s="24" t="s">
        <v>6</v>
      </c>
      <c r="D18" s="9" t="s">
        <v>99</v>
      </c>
    </row>
    <row r="19" spans="2:4" ht="28.8">
      <c r="B19" s="118"/>
      <c r="C19" s="24" t="s">
        <v>65</v>
      </c>
      <c r="D19" s="9" t="s">
        <v>66</v>
      </c>
    </row>
    <row r="20" spans="2:4" ht="28.8">
      <c r="B20" s="118"/>
      <c r="C20" s="24" t="s">
        <v>12</v>
      </c>
      <c r="D20" s="9" t="s">
        <v>67</v>
      </c>
    </row>
    <row r="21" spans="2:4" ht="28.8">
      <c r="B21" s="118"/>
      <c r="C21" s="24" t="s">
        <v>13</v>
      </c>
      <c r="D21" s="9" t="s">
        <v>68</v>
      </c>
    </row>
    <row r="22" spans="2:4" ht="28.8">
      <c r="B22" s="118"/>
      <c r="C22" s="24" t="s">
        <v>10</v>
      </c>
      <c r="D22" s="9" t="s">
        <v>95</v>
      </c>
    </row>
    <row r="23" spans="2:4" ht="28.8">
      <c r="B23" s="118"/>
      <c r="C23" s="24" t="s">
        <v>69</v>
      </c>
      <c r="D23" s="9" t="s">
        <v>96</v>
      </c>
    </row>
  </sheetData>
  <mergeCells count="4">
    <mergeCell ref="B5:B10"/>
    <mergeCell ref="B11:B17"/>
    <mergeCell ref="B18:B23"/>
    <mergeCell ref="F4:L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C542-4059-413D-B681-A4CC1E602D0B}">
  <dimension ref="B4:D26"/>
  <sheetViews>
    <sheetView showGridLines="0" workbookViewId="0">
      <selection activeCell="D5" sqref="D5"/>
    </sheetView>
  </sheetViews>
  <sheetFormatPr defaultRowHeight="15.6"/>
  <cols>
    <col min="2" max="2" width="10.69921875" bestFit="1" customWidth="1"/>
    <col min="4" max="4" width="29.69921875" bestFit="1" customWidth="1"/>
  </cols>
  <sheetData>
    <row r="4" spans="2:4">
      <c r="B4" t="s">
        <v>84</v>
      </c>
    </row>
    <row r="5" spans="2:4">
      <c r="B5" s="23" t="s">
        <v>89</v>
      </c>
      <c r="C5" s="23" t="s">
        <v>90</v>
      </c>
      <c r="D5" s="23" t="s">
        <v>20</v>
      </c>
    </row>
    <row r="6" spans="2:4">
      <c r="B6" s="120">
        <v>1</v>
      </c>
      <c r="C6" s="21">
        <v>25</v>
      </c>
      <c r="D6" s="95" t="s">
        <v>155</v>
      </c>
    </row>
    <row r="7" spans="2:4">
      <c r="B7" s="121"/>
      <c r="C7" s="21">
        <v>24</v>
      </c>
      <c r="D7" s="95" t="s">
        <v>155</v>
      </c>
    </row>
    <row r="8" spans="2:4">
      <c r="B8" s="121"/>
      <c r="C8" s="21">
        <v>23</v>
      </c>
      <c r="D8" s="95" t="s">
        <v>155</v>
      </c>
    </row>
    <row r="9" spans="2:4">
      <c r="B9" s="121"/>
      <c r="C9" s="21">
        <v>22</v>
      </c>
      <c r="D9" s="95" t="s">
        <v>155</v>
      </c>
    </row>
    <row r="10" spans="2:4">
      <c r="B10" s="122"/>
      <c r="C10" s="21">
        <v>21</v>
      </c>
      <c r="D10" s="95" t="s">
        <v>155</v>
      </c>
    </row>
    <row r="11" spans="2:4">
      <c r="B11" s="120">
        <v>2</v>
      </c>
      <c r="C11" s="22">
        <v>20</v>
      </c>
      <c r="D11" s="93" t="s">
        <v>86</v>
      </c>
    </row>
    <row r="12" spans="2:4">
      <c r="B12" s="121"/>
      <c r="C12" s="22">
        <v>19</v>
      </c>
      <c r="D12" s="93" t="s">
        <v>86</v>
      </c>
    </row>
    <row r="13" spans="2:4">
      <c r="B13" s="121"/>
      <c r="C13" s="22">
        <v>18</v>
      </c>
      <c r="D13" s="93" t="s">
        <v>86</v>
      </c>
    </row>
    <row r="14" spans="2:4">
      <c r="B14" s="121"/>
      <c r="C14" s="22">
        <v>17</v>
      </c>
      <c r="D14" s="93" t="s">
        <v>86</v>
      </c>
    </row>
    <row r="15" spans="2:4">
      <c r="B15" s="122"/>
      <c r="C15" s="22">
        <v>16</v>
      </c>
      <c r="D15" s="93" t="s">
        <v>86</v>
      </c>
    </row>
    <row r="16" spans="2:4">
      <c r="B16" s="120">
        <v>3</v>
      </c>
      <c r="C16" s="22">
        <v>15</v>
      </c>
      <c r="D16" s="94" t="s">
        <v>85</v>
      </c>
    </row>
    <row r="17" spans="2:4">
      <c r="B17" s="121"/>
      <c r="C17" s="22">
        <v>14</v>
      </c>
      <c r="D17" s="94" t="s">
        <v>85</v>
      </c>
    </row>
    <row r="18" spans="2:4">
      <c r="B18" s="121"/>
      <c r="C18" s="22">
        <v>13</v>
      </c>
      <c r="D18" s="94" t="s">
        <v>85</v>
      </c>
    </row>
    <row r="19" spans="2:4">
      <c r="B19" s="121"/>
      <c r="C19" s="22">
        <v>12</v>
      </c>
      <c r="D19" s="94" t="s">
        <v>85</v>
      </c>
    </row>
    <row r="20" spans="2:4">
      <c r="B20" s="122"/>
      <c r="C20" s="22">
        <v>11</v>
      </c>
      <c r="D20" s="94" t="s">
        <v>85</v>
      </c>
    </row>
    <row r="21" spans="2:4">
      <c r="B21" s="120">
        <v>4</v>
      </c>
      <c r="C21" s="22">
        <v>10</v>
      </c>
      <c r="D21" s="92" t="s">
        <v>87</v>
      </c>
    </row>
    <row r="22" spans="2:4">
      <c r="B22" s="121"/>
      <c r="C22" s="22">
        <v>9</v>
      </c>
      <c r="D22" s="92" t="s">
        <v>87</v>
      </c>
    </row>
    <row r="23" spans="2:4">
      <c r="B23" s="121"/>
      <c r="C23" s="22">
        <v>8</v>
      </c>
      <c r="D23" s="92" t="s">
        <v>87</v>
      </c>
    </row>
    <row r="24" spans="2:4">
      <c r="B24" s="121"/>
      <c r="C24" s="22">
        <v>7</v>
      </c>
      <c r="D24" s="92" t="s">
        <v>87</v>
      </c>
    </row>
    <row r="25" spans="2:4">
      <c r="B25" s="122"/>
      <c r="C25" s="22">
        <v>6</v>
      </c>
      <c r="D25" s="92" t="s">
        <v>87</v>
      </c>
    </row>
    <row r="26" spans="2:4">
      <c r="B26" s="21">
        <v>5</v>
      </c>
      <c r="C26" s="21">
        <v>5</v>
      </c>
      <c r="D26" s="91" t="s">
        <v>88</v>
      </c>
    </row>
  </sheetData>
  <mergeCells count="4">
    <mergeCell ref="B6:B10"/>
    <mergeCell ref="B11:B15"/>
    <mergeCell ref="B16:B20"/>
    <mergeCell ref="B21:B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Informasi Unit Kerja</vt:lpstr>
      <vt:lpstr>Rekap</vt:lpstr>
      <vt:lpstr>(2) Bisnis Proses System</vt:lpstr>
      <vt:lpstr>Penilaian</vt:lpstr>
      <vt:lpstr>(3) Keterlibatan Pihak Ketiga</vt:lpstr>
      <vt:lpstr>Panduan</vt:lpstr>
      <vt:lpstr>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Endiaz Ludia Arsanto</dc:creator>
  <cp:lastModifiedBy>Endiaz Ludia Arsanto</cp:lastModifiedBy>
  <dcterms:created xsi:type="dcterms:W3CDTF">2024-01-07T13:26:46Z</dcterms:created>
  <dcterms:modified xsi:type="dcterms:W3CDTF">2026-03-26T03:58:14Z</dcterms:modified>
</cp:coreProperties>
</file>