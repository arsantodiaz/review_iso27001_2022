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https://equitylife-my.sharepoint.com/personal/endiaz_arsanto_equitylife_onmicrosoft_com/Documents/ELI_InformationTechnology_/IT_HC__CompentencyMatrix/Competency_Assessment_2025/"/>
    </mc:Choice>
  </mc:AlternateContent>
  <xr:revisionPtr revIDLastSave="2288" documentId="11_AE282D3037818E42C95BB1D500AEE63D0E10CA05" xr6:coauthVersionLast="47" xr6:coauthVersionMax="47" xr10:uidLastSave="{CCFA5DE3-1CB1-E747-AD23-EDD673A3802A}"/>
  <bookViews>
    <workbookView xWindow="33600" yWindow="500" windowWidth="38400" windowHeight="21100" tabRatio="884" activeTab="5" xr2:uid="{00000000-000D-0000-FFFF-FFFF00000000}"/>
  </bookViews>
  <sheets>
    <sheet name="Scoring Criteria" sheetId="36" r:id="rId1"/>
    <sheet name="8 Jun" sheetId="15" state="hidden" r:id="rId2"/>
    <sheet name="dr Pak Irvan 14 Jun" sheetId="33" state="hidden" r:id="rId3"/>
    <sheet name="References" sheetId="37" r:id="rId4"/>
    <sheet name="Referencess - 2" sheetId="38" r:id="rId5"/>
    <sheet name="Competency" sheetId="35" r:id="rId6"/>
    <sheet name="KOMPETENSI" sheetId="32" r:id="rId7"/>
    <sheet name="COBIT 19" sheetId="34" r:id="rId8"/>
  </sheets>
  <definedNames>
    <definedName name="_xlnm.Print_Area" localSheetId="1">'8 Jun'!$A$1:$H$15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53" i="35" l="1"/>
  <c r="AP50" i="35"/>
  <c r="AP47" i="35"/>
  <c r="AP44" i="35"/>
  <c r="AP39" i="35"/>
  <c r="AP36" i="35"/>
  <c r="AP33" i="35"/>
  <c r="AP24" i="35"/>
  <c r="AP21" i="35"/>
  <c r="AP18" i="35"/>
  <c r="AP5" i="35"/>
  <c r="AP8" i="35"/>
  <c r="AP11" i="35"/>
  <c r="AP14" i="35"/>
  <c r="C57" i="32"/>
  <c r="C56" i="32"/>
  <c r="S51" i="32"/>
  <c r="R51" i="32"/>
  <c r="Q51" i="32"/>
  <c r="P51" i="32"/>
  <c r="O51" i="32"/>
  <c r="C54" i="32"/>
  <c r="C53" i="32"/>
  <c r="AG51" i="32"/>
  <c r="AF51" i="32"/>
  <c r="AE51" i="32"/>
  <c r="AD51" i="32"/>
  <c r="AP51" i="32"/>
  <c r="AO51" i="32"/>
  <c r="AN51" i="32"/>
  <c r="AM51" i="32"/>
  <c r="AL51" i="32"/>
  <c r="AK51" i="32"/>
  <c r="AJ51" i="32"/>
  <c r="AI51" i="32"/>
  <c r="AH51" i="32"/>
  <c r="AC51" i="32"/>
  <c r="AB51" i="32"/>
  <c r="AA51" i="32"/>
  <c r="Z51" i="32"/>
  <c r="Y51" i="32"/>
  <c r="X51" i="32"/>
  <c r="W51" i="32"/>
  <c r="V51" i="32"/>
  <c r="U51" i="32"/>
  <c r="T51" i="32"/>
  <c r="N51" i="32"/>
  <c r="M51" i="32"/>
  <c r="L51" i="32"/>
  <c r="K51" i="32"/>
  <c r="J51" i="32"/>
  <c r="I51" i="32"/>
  <c r="H51" i="32"/>
  <c r="G51" i="32"/>
  <c r="F51" i="32"/>
  <c r="E51" i="32"/>
  <c r="A20" i="32"/>
  <c r="A41" i="32"/>
  <c r="A42" i="32"/>
  <c r="A43" i="32"/>
  <c r="A44" i="32"/>
  <c r="A45" i="32"/>
  <c r="A46" i="32"/>
  <c r="A47" i="32"/>
  <c r="A48" i="32"/>
  <c r="A49" i="32"/>
  <c r="A40" i="32"/>
  <c r="A34" i="32"/>
  <c r="A35" i="32"/>
  <c r="A36" i="32"/>
  <c r="A37" i="32"/>
  <c r="A38" i="32"/>
  <c r="A33" i="32"/>
  <c r="A29" i="32"/>
  <c r="A30" i="32"/>
  <c r="A31" i="32"/>
  <c r="A28" i="32"/>
  <c r="A24" i="32"/>
  <c r="A25" i="32"/>
  <c r="A26" i="32"/>
  <c r="A23" i="32"/>
  <c r="A13" i="32"/>
  <c r="A14" i="32"/>
  <c r="A15" i="32"/>
  <c r="A16" i="32"/>
  <c r="A17" i="32"/>
  <c r="A18" i="32"/>
  <c r="A19" i="32"/>
  <c r="A21" i="32"/>
  <c r="A12" i="32"/>
  <c r="Q30" i="33"/>
  <c r="P30" i="33"/>
  <c r="O30" i="33"/>
  <c r="N30" i="33"/>
  <c r="M30" i="33"/>
  <c r="L30" i="33"/>
  <c r="K30" i="33"/>
  <c r="J30" i="33"/>
  <c r="I30" i="33"/>
  <c r="H30" i="33"/>
  <c r="G30" i="33"/>
  <c r="F30" i="33"/>
  <c r="E30" i="33"/>
  <c r="W17" i="15" l="1"/>
  <c r="V17" i="15"/>
  <c r="U17" i="15"/>
  <c r="T17" i="15"/>
  <c r="S17" i="15"/>
  <c r="R17" i="15"/>
  <c r="Q17" i="15"/>
  <c r="P17" i="15"/>
  <c r="N17" i="15"/>
  <c r="M17" i="15"/>
  <c r="K17" i="15"/>
  <c r="J17" i="15"/>
  <c r="I17" i="15"/>
  <c r="H17" i="15"/>
  <c r="G17" i="15"/>
  <c r="F17" i="15"/>
  <c r="E17"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tc={051C7FF0-BB78-1246-801A-915107235480}</author>
    <author>tc={EEB48890-0E5B-E746-8AB9-7B266FB0D67C}</author>
  </authors>
  <commentList>
    <comment ref="O56" authorId="0" shapeId="0" xr:uid="{051C7FF0-BB78-1246-801A-915107235480}">
      <text>
        <t xml:space="preserve">[Threaded comment]
Your version of Excel allows you to read this threaded comment; however, any edits to it will get removed if the file is opened in a newer version of Excel. Learn more: https://go.microsoft.com/fwlink/?linkid=870924
Comment:
    Regenerasi Leader (Pak Waton)
</t>
      </text>
    </comment>
    <comment ref="AM56" authorId="1" shapeId="0" xr:uid="{EEB48890-0E5B-E746-8AB9-7B266FB0D67C}">
      <text>
        <t xml:space="preserve">[Threaded comment]
Your version of Excel allows you to read this threaded comment; however, any edits to it will get removed if the file is opened in a newer version of Excel. Learn more: https://go.microsoft.com/fwlink/?linkid=870924
Comment:
    Regenerasi Pak Noor
</t>
      </text>
    </comment>
  </commentList>
</comments>
</file>

<file path=xl/sharedStrings.xml><?xml version="1.0" encoding="utf-8"?>
<sst xmlns="http://schemas.openxmlformats.org/spreadsheetml/2006/main" count="1482" uniqueCount="981">
  <si>
    <t>TARGET NILAI</t>
  </si>
  <si>
    <t>No.</t>
  </si>
  <si>
    <r>
      <t xml:space="preserve">KOMPETENSI 
</t>
    </r>
    <r>
      <rPr>
        <b/>
        <sz val="14"/>
        <color indexed="8"/>
        <rFont val="Arial"/>
        <family val="2"/>
      </rPr>
      <t>(HARD SKILL)</t>
    </r>
  </si>
  <si>
    <t>DEFINISI 
KOMPETENSI</t>
  </si>
  <si>
    <t>SILABUS KOMPETENSI</t>
  </si>
  <si>
    <t>Posisi sesuai Struktur Organisasi</t>
  </si>
  <si>
    <t>HEAD OF IT</t>
  </si>
  <si>
    <t>MANAGER APP.DEV &amp; SUPPORT</t>
  </si>
  <si>
    <t>ASS.MANAGER APP.DEV</t>
  </si>
  <si>
    <t>STAFF. APP &amp; DEVELOPMENT</t>
  </si>
  <si>
    <t>ASS.MANAGER MAINTENANCE SUPPORT</t>
  </si>
  <si>
    <t>STAFF.MAINTENANCE SUPPORT</t>
  </si>
  <si>
    <t>MANAGER.BIZ ANALYST &amp; PROJECT MANAGEMENT</t>
  </si>
  <si>
    <t>STAFF.BIZ ANALYST &amp; PROJECT MANAGEMENT</t>
  </si>
  <si>
    <t>MANAGER.DBA &amp; BIZ PARTNER SUPPORT</t>
  </si>
  <si>
    <t>STAFF.DATABASE</t>
  </si>
  <si>
    <t>STAFF.BIZ SUPPORT</t>
  </si>
  <si>
    <t>MANAGER INFRASTRUCTURE &amp; OPR SUPPORT</t>
  </si>
  <si>
    <t>ASST MRG. INFRASTRUCTURE &amp; NETWORK SECURITY MGNT</t>
  </si>
  <si>
    <t>STAFF. NETWORK SECURITY MGNT</t>
  </si>
  <si>
    <t xml:space="preserve">ASS.MANAGER OPR SUPPORT </t>
  </si>
  <si>
    <t>STAFF.SYSTEM &amp; APLICATION SUPPORT</t>
  </si>
  <si>
    <t>HELPDESK &amp; ADMIN</t>
  </si>
  <si>
    <t>Principles of Information Technology</t>
  </si>
  <si>
    <t>Knowledge of Information Technologies (fundamental concepts, systems, platforms, tools, and technologies), IT industries (hardware, software, and services), the widespread application of IT in other industries, and the common roles of IT professionals</t>
  </si>
  <si>
    <t>Databases and Applications</t>
  </si>
  <si>
    <t>The use of technology to control and safeguard the collection, organization, structure, processing and delivery of data</t>
  </si>
  <si>
    <t>Networks, Telecommunication, Wireless and Mobility</t>
  </si>
  <si>
    <t>The processes, hardware, and software employed to facilitate communication between people, computer systems and devices</t>
  </si>
  <si>
    <t>Software Development and Management</t>
  </si>
  <si>
    <t>The process of designing, writing, testing, debugging/troubleshooting, and maintaining the source code of computer programs and of managing and maintaining software in an organization.</t>
  </si>
  <si>
    <t>User and Customer Support</t>
  </si>
  <si>
    <t>The range of services providing assistance and technical support to help users implement and solve problems related to information technology.</t>
  </si>
  <si>
    <t>Engagement
Helpdesk Functions</t>
  </si>
  <si>
    <t>Compliance</t>
  </si>
  <si>
    <t>The standards, processes, and procedures in place to ensure products, services, and practices comply with legal and regulatory requirements.</t>
  </si>
  <si>
    <t xml:space="preserve">Compliance Standards     Important Topics                            Public Policy
</t>
  </si>
  <si>
    <t>Risk Management, Security, and Information Assurance</t>
  </si>
  <si>
    <t>The standards, issues, and applications used to protect the confidentiality, integrity and availability of information and information systems.</t>
  </si>
  <si>
    <t>Security and Information Assurance Fundamentals
Security Operations
Business Resiliency
Incident Management
Secure Information System Development                                Program Management                     Data Accessibility                        Data Integrity                                Data Protection                            Development                                  Operations                                   Legal, Regulations, Investigations and Compliance                           Security Classification                   Network and Communications       Physical Security                         Threats                                         Forensics</t>
  </si>
  <si>
    <t>ASSISTANT MANAGER.BIZ ANALYST &amp; PROJECT MANAGEMENT</t>
  </si>
  <si>
    <t>ASSISTANT MANAGER.DBA &amp; BIZ PARTNER SUPPORT</t>
  </si>
  <si>
    <t>1. Fundamental IT Concepts
2. The Role of IT in Business
3. Computers
4. Information Processing Cycle
5. Types of Information Processing
6. Platform Technologies
7. IT Organizational Structure
8. Systems Sourcing and Installation
9. Systems Administration and Maintenance
10. Systems Integration and Architecture</t>
  </si>
  <si>
    <r>
      <rPr>
        <b/>
        <sz val="12"/>
        <color theme="1"/>
        <rFont val="Arial"/>
        <family val="2"/>
      </rPr>
      <t>1. Fundamentals of Networking and Telecommunication</t>
    </r>
    <r>
      <rPr>
        <sz val="12"/>
        <color theme="1"/>
        <rFont val="Arial"/>
        <family val="2"/>
      </rPr>
      <t xml:space="preserve">
2</t>
    </r>
    <r>
      <rPr>
        <b/>
        <sz val="12"/>
        <color theme="1"/>
        <rFont val="Arial"/>
        <family val="2"/>
      </rPr>
      <t>. Network Security (include wireless)</t>
    </r>
    <r>
      <rPr>
        <sz val="12"/>
        <color theme="1"/>
        <rFont val="Arial"/>
        <family val="2"/>
      </rPr>
      <t xml:space="preserve">
3</t>
    </r>
    <r>
      <rPr>
        <b/>
        <sz val="12"/>
        <color theme="1"/>
        <rFont val="Arial"/>
        <family val="2"/>
      </rPr>
      <t>. Virtualization and Cloud Computing
4. Data Storage Systems</t>
    </r>
    <r>
      <rPr>
        <sz val="12"/>
        <color theme="1"/>
        <rFont val="Arial"/>
        <family val="2"/>
      </rPr>
      <t xml:space="preserve">
5</t>
    </r>
    <r>
      <rPr>
        <b/>
        <sz val="12"/>
        <color theme="1"/>
        <rFont val="Arial"/>
        <family val="2"/>
      </rPr>
      <t>. Web Management</t>
    </r>
    <r>
      <rPr>
        <sz val="12"/>
        <color theme="1"/>
        <rFont val="Arial"/>
        <family val="2"/>
      </rPr>
      <t xml:space="preserve">
</t>
    </r>
    <r>
      <rPr>
        <b/>
        <sz val="12"/>
        <color theme="1"/>
        <rFont val="Arial"/>
        <family val="2"/>
      </rPr>
      <t xml:space="preserve">
</t>
    </r>
    <r>
      <rPr>
        <sz val="12"/>
        <color theme="1"/>
        <rFont val="Arial"/>
        <family val="2"/>
      </rPr>
      <t>Next:
1. Wireless and Mobility
2. Foundations of Networking
3. Internet Services
4. Common Mobile Technologies
5. Mobile Communication Technologies
6. Mobile Operating Systms
7. Data Storage Systems Concepts</t>
    </r>
  </si>
  <si>
    <t>1. Data Administration
2. Database Management
3. Data Models
Next:
1. Business Intelligence
2. Data Protection</t>
  </si>
  <si>
    <t>1. Software Development
2. Programming
3. Software Acquisition, Management and Maintenance
4. Application Architecture
5. Development/Programming Fundamentals
6. Development/Programming Technologies
7. Software Development Life Cycle Models
8. Web Development</t>
  </si>
  <si>
    <t>Fundamental IT Concepts</t>
  </si>
  <si>
    <t>Knowledge of fundamental IT concepts</t>
  </si>
  <si>
    <t>1. Role of Information Technology in business
2. Fundamental understanding of operating systems, software applications, and programming language
3. Concepts of server, desktop, application, and virtualization</t>
  </si>
  <si>
    <t xml:space="preserve">Database Concept and Design </t>
  </si>
  <si>
    <t>Knowledge of Database Concept and Design</t>
  </si>
  <si>
    <t>1. Concept of Data Storage
2. Concepts of database design
3. Structured Query Language (SQL)</t>
  </si>
  <si>
    <t>Database Programming</t>
  </si>
  <si>
    <t>Knowlegde of Database Programming</t>
  </si>
  <si>
    <t>1. DDL (Data Definition Language)
2. DML (Data Manipulation Language) 
3. Transactions and concurrent connections management
4. SQL Advance</t>
  </si>
  <si>
    <t>Database Administration and Maintenance</t>
  </si>
  <si>
    <t>Knowledge of Database Administration and Maintenance</t>
  </si>
  <si>
    <t>1. Database installation &amp; configuration
2. Database Security
3. Performance Tuning &amp; Monitoring 
4. Backup and recovery 
5. Data Integration</t>
  </si>
  <si>
    <t>Project Management</t>
  </si>
  <si>
    <t>Planning and prioritizing to manage project effectively and accomplish assigned tasks</t>
  </si>
  <si>
    <r>
      <rPr>
        <sz val="12"/>
        <color theme="1"/>
        <rFont val="Arial"/>
        <family val="2"/>
      </rPr>
      <t xml:space="preserve">1. Scoping
2. Scheduling
3. Budgeting
</t>
    </r>
    <r>
      <rPr>
        <sz val="12"/>
        <rFont val="Arial"/>
        <family val="2"/>
      </rPr>
      <t>4. Procurement</t>
    </r>
  </si>
  <si>
    <t>Requirement</t>
  </si>
  <si>
    <t>Analyze user needs and software requirements and accessibility functions</t>
  </si>
  <si>
    <t>1. Gathering
2. Functional Modeling
3. User Interface</t>
  </si>
  <si>
    <t>Software Modeling</t>
  </si>
  <si>
    <t>Design a software solution that fits within time and cost constraints</t>
  </si>
  <si>
    <t>1. Sequence Diagram
2. Class Diagram
3. ERD (Entity Relation Diagram)</t>
  </si>
  <si>
    <t>Software Quality Assurance</t>
  </si>
  <si>
    <t>Test and administrate software, make necessary modifications and assure its quality, accessibility, and usability</t>
  </si>
  <si>
    <t>1. Testing (UT, SIT, UAT &amp; PenTest)
2. Administration
3. Project Documentation (Technical Writer)
4. Product Documentation</t>
  </si>
  <si>
    <t xml:space="preserve">Software Development Life Cycle </t>
  </si>
  <si>
    <t xml:space="preserve">Methodology of Software Development Life Cycle </t>
  </si>
  <si>
    <t>1. Waterfall
2. Scrum
3. Agile</t>
  </si>
  <si>
    <t>Infrastructure</t>
  </si>
  <si>
    <t>the composite hardware, software, network resources and services required for the existence, operation and management of an enterprise IT environment.</t>
  </si>
  <si>
    <t>1. Infrastructure Fundamental
2. Hardware
3. Operating System
4. Virtual Machine</t>
  </si>
  <si>
    <t>Service</t>
  </si>
  <si>
    <t>the application of business and technical expertise to enable organizations in the creation, management and optimization of or access to information and business processes.</t>
  </si>
  <si>
    <t>1. Mail Server
2. Printer Server
3. File Server
4. Database Server
5. DRC Server
6. Fax Server
7. Video Conference
8. SMS Gateway
9. VOIP
10. IP PBX
11. CCTV</t>
  </si>
  <si>
    <t>Monitoring &amp; Audit System</t>
  </si>
  <si>
    <t>Software and Hardware Asset Inventory Management and Network Monitoring.</t>
  </si>
  <si>
    <t>1. Inventory
2. Network</t>
  </si>
  <si>
    <t>Security</t>
  </si>
  <si>
    <t>Systematic evaluation of the security of a company's information system by measuring how well it conforms to a set of established criteria.</t>
  </si>
  <si>
    <t>1. Firewall Security
2. Network Security
3. Application Security
4. Physical Security</t>
  </si>
  <si>
    <t>Networking</t>
  </si>
  <si>
    <t>Design &amp; Configuration of Networking</t>
  </si>
  <si>
    <t>1. Firewall
2. TCP/IP
3. DNS
4. DHCP
5. Routing
6. VPN
7. Mobile Connection
8. Wireless</t>
  </si>
  <si>
    <t>System Support</t>
  </si>
  <si>
    <t>Technical providing to end users concerning hardware, operating systems, and programs.</t>
  </si>
  <si>
    <t>1. Business Application
2. Troubleshooting</t>
  </si>
  <si>
    <t>Programming Concept</t>
  </si>
  <si>
    <t>Knowledge of Programming Concept</t>
  </si>
  <si>
    <t>1. Algorithm
2. Data Management
3. User Interface / Presentation
4. Interfacing / Pipelining</t>
  </si>
  <si>
    <t>Web Programming</t>
  </si>
  <si>
    <t>Programming skill</t>
  </si>
  <si>
    <t>1. PHP
2. .Net
3. Javascript</t>
  </si>
  <si>
    <t>Desktop Programming</t>
  </si>
  <si>
    <t>1. Delphi
2. Visual Basic</t>
  </si>
  <si>
    <t>Framework (Programming)</t>
  </si>
  <si>
    <r>
      <rPr>
        <sz val="12"/>
        <color theme="1"/>
        <rFont val="Arial"/>
        <family val="2"/>
      </rPr>
      <t>1. Java
2</t>
    </r>
    <r>
      <rPr>
        <sz val="12"/>
        <rFont val="Arial"/>
        <family val="2"/>
      </rPr>
      <t>. Visual Studio</t>
    </r>
  </si>
  <si>
    <r>
      <rPr>
        <b/>
        <sz val="11"/>
        <color indexed="8"/>
        <rFont val="Arial"/>
        <family val="2"/>
      </rPr>
      <t xml:space="preserve">KOMPETENSI 
</t>
    </r>
    <r>
      <rPr>
        <b/>
        <sz val="14"/>
        <color indexed="8"/>
        <rFont val="Arial"/>
        <family val="2"/>
      </rPr>
      <t>(HARD SKILL)</t>
    </r>
  </si>
  <si>
    <t>VP</t>
  </si>
  <si>
    <t>Application Development</t>
  </si>
  <si>
    <t>Business Analyst</t>
  </si>
  <si>
    <t>Data Analyst and BP Support</t>
  </si>
  <si>
    <t>Infrastruktur &amp; IT Support</t>
  </si>
  <si>
    <t>Manager</t>
  </si>
  <si>
    <t>Asst. Manager</t>
  </si>
  <si>
    <t>Staff</t>
  </si>
  <si>
    <t>KOMPETENSI 
(HARD SKILL)</t>
  </si>
  <si>
    <t>IT INFRASTRUCTURE</t>
  </si>
  <si>
    <t>ASSISTANT MANAGER</t>
  </si>
  <si>
    <t>SENIOR OFFICER</t>
  </si>
  <si>
    <t>OFFICER</t>
  </si>
  <si>
    <t>STAFF</t>
  </si>
  <si>
    <t>INFORMATION TECHNOLOGI</t>
  </si>
  <si>
    <t>AVP
(DIV HEAD)</t>
  </si>
  <si>
    <t>IT APPLICATION DEVELOPER PRODUCTION SUPPORT</t>
  </si>
  <si>
    <t>IT DATA INTEGRATION</t>
  </si>
  <si>
    <t>Dasar Konsep Teknologi Informasi</t>
  </si>
  <si>
    <t>Mengetahui dasar pengetahuan terkait dengan teknologi informasi dan terapannya.</t>
  </si>
  <si>
    <t>1. Peran Teknologi Informasi dalam Organisasi
2. Pengetahuan dasar mengenai Operating System, Instalasi Software, Konsep Jaringan komunikasi, perangkat jaringan
3. Pengetahuan dasar mengenai logika dasar pemrograman.
4. Pengetahuan dasar mengenai pengelolaan data.
5. Pengetahuan dasar mengenai dasar keamanan informasi.</t>
  </si>
  <si>
    <t>Tata Kelola Teknologi Informasi</t>
  </si>
  <si>
    <t>Analisa dan Desain Sistem Informasi</t>
  </si>
  <si>
    <t>Pengelolaan Project</t>
  </si>
  <si>
    <t>Pengelolaan Layanan Operasional</t>
  </si>
  <si>
    <t>Siklus Pengembangan Sistem dan Aplikasi</t>
  </si>
  <si>
    <t>Pengembangan Aplikasi</t>
  </si>
  <si>
    <t>Database Administrator</t>
  </si>
  <si>
    <t>Pengujian Kualitas Sistem Informasi</t>
  </si>
  <si>
    <t>Pengelolaan Perangkat Jaringan</t>
  </si>
  <si>
    <t>Audit</t>
  </si>
  <si>
    <t>INFRASTRUKTUR</t>
  </si>
  <si>
    <t>TATA KELOLA</t>
  </si>
  <si>
    <t>PENGEMBANGAN PERANGKAT LUNAK</t>
  </si>
  <si>
    <t>KEAMANAN INFORMASI</t>
  </si>
  <si>
    <t>SOFT SKILL</t>
  </si>
  <si>
    <t>Kepemimpinan</t>
  </si>
  <si>
    <t>Komunikasi</t>
  </si>
  <si>
    <t>Analisa Risiko</t>
  </si>
  <si>
    <t>Keamanan Data</t>
  </si>
  <si>
    <t>Forensik Digital</t>
  </si>
  <si>
    <t>Pengelolaan Insiden Keamanan</t>
  </si>
  <si>
    <t>Sosialisasi&amp;Awareness</t>
  </si>
  <si>
    <t>Keamanan Jaringan</t>
  </si>
  <si>
    <t>Keamanan Aplikasi</t>
  </si>
  <si>
    <t>Keamanan Personil</t>
  </si>
  <si>
    <t>Keamanan Lokasi Fisik</t>
  </si>
  <si>
    <t>Standar Keamanan dan Regulasi</t>
  </si>
  <si>
    <t>Inovasi</t>
  </si>
  <si>
    <t>Pengelolaan Waktu</t>
  </si>
  <si>
    <t>Pengelolaan Konflik</t>
  </si>
  <si>
    <t>Kemampuan menganalisa dan membuat rencana pengembangan produk mulai dari tahapan arsitektur, penggunaan teknologi, keamanan, dan penentuan teknologi serta penjabaran waktu pengerjaan.</t>
  </si>
  <si>
    <t>1. Waterfall
2. Agile</t>
  </si>
  <si>
    <t>Kemampuan untuk mengimplementasikan kerangka siklus pengembangan mulai dari tahapan permintaan solusi dari pengguna, analisa permintaan, proses pengembangan, ujicoba sampai dengan implementasi dan pemantauan serta evaluasi.</t>
  </si>
  <si>
    <t>1. Algoritma Perangkat Lunak
2. Implementasi Bahasa Pemrograman</t>
  </si>
  <si>
    <t>1. User Experience
2. User Design (Desain grafis)
3. Prototyping</t>
  </si>
  <si>
    <t>1. Transact SQL
2. Data Manipulation Language
3. Data Definition Language</t>
  </si>
  <si>
    <t>Data Center</t>
  </si>
  <si>
    <t>1. Operasional Data Center Utama
2. Operasional Data Center Cadangan
3. Konfigurasi Perangkat Keras Server
4. Virtualisasi</t>
  </si>
  <si>
    <t>1. Functional Testing
2. Performance Testing
3. Dokumen Teknis</t>
  </si>
  <si>
    <t>1. Aristektur Aplikasi dan Jaringan
2. Desain Database dan Modeling
3. Kerangka Bahasa Pemrograman (Framework)
4. Implementasi Keamanan Informasi
5. Use Case Diagram
6. Sequence Diagram</t>
  </si>
  <si>
    <t>Customer Sentris</t>
  </si>
  <si>
    <t>Pengelolaan Risiko Siber</t>
  </si>
  <si>
    <t>SM / MANAGER</t>
  </si>
  <si>
    <t>1. Instalasi Perangkat Lunak
2. Instalasi Perangkat Kerja (Laptop + PC)
3. Troubleshooting permasalahan</t>
  </si>
  <si>
    <t>1. Instalasi Database
2. Konfigurasi Database
3. Pengelolaan Hak Akses
4. Backup &amp; Restore
5. Replikasi Database
6. Pengelolaan Penyimpanan</t>
  </si>
  <si>
    <t>KOMPETENSI DIVISI TEKNOLOGI INFORMASI</t>
  </si>
  <si>
    <t>1. Forensik pada Operating System &amp; Server
2. Forensik pada perangkat mobile
3. Forensik pada perangkat workstation</t>
  </si>
  <si>
    <t>1. Implementasi Perlindungan Data Pribadi
2. Data Ownership
3. Data Security</t>
  </si>
  <si>
    <t>1. Vulnerability Assessment
2. Analisa Risiko
3. Rencana Tindak Lanjut</t>
  </si>
  <si>
    <t>1. Clean Desk
2. Email Phising
3. Social Engineering</t>
  </si>
  <si>
    <t>1. Analisa Kerentanan Jaringan
2. Remediasi Kerentanan Jaringan</t>
  </si>
  <si>
    <t>1. Analisa Kerentanan Aplikasi
2. Remediasi Kerentanan Aplikasi</t>
  </si>
  <si>
    <t>1. ISO 27001
2. NIST
3. CIS</t>
  </si>
  <si>
    <t>1. Analisa Risiko
2. Tindak Lanjut Risiko</t>
  </si>
  <si>
    <t>Penyelesaian Masalah</t>
  </si>
  <si>
    <t>Pemikiran Kritis</t>
  </si>
  <si>
    <t>Pendelegasian Tugas</t>
  </si>
  <si>
    <t>Kemampuan dalam menemukan, menggali, mengatur, menghubungkan, menyatukan, mengasah, menggandakan, dan memaksimalkan talenta, karakter, dan tujuan untuk suatu pencapaian terbaik.</t>
  </si>
  <si>
    <t>Kemampuan untuk mengekspresikan pemikiran, perasaan, keinginan, intuisi, hasrat melalui cara verbal atau non verbal untuk mendapatkan pengertian orang lain.</t>
  </si>
  <si>
    <t>Kemampuan untuk membedakan antara konflik data, nilai, kepentingan, struktur, dan hubungan dan mengantisipasinya dengan respon yang benar dan dewasa.</t>
  </si>
  <si>
    <t>Kemampuan berpikir secara keluar dari kotak, kebiasaan, rutinitas, untuk mendapatkan hal baru, pencerahan, ide baru dan solusi</t>
  </si>
  <si>
    <t>Kemampuan dalam menetapkan, mengatur, memilih, dan memutuskan antara kualitas dan tenaga (sumber daya) untuk efektifitas dan produktifitas waktu .</t>
  </si>
  <si>
    <t>Kemampuan untuk melayani orang lain dengan hati, sikap, perkataan dan perbuatan melalui tingkatan pelayanan standar, personifikasi dan ekselen.</t>
  </si>
  <si>
    <t>Kemampuan untuk mengukur suatu risiko dalam pengambilan keputusan, sehingga segala sesuatunya bisa dipersiapkan untuk langkah langkah penanggulangannya jika terjadi sesuatu.</t>
  </si>
  <si>
    <t>Kemampuan untuk memberikan solusi pada permasalahan yang didapatkan tim nya dan mampu untuk mengembangkan kemampuan tim agar kedepannya bisa menyelesaikan permasalahan yang sama.</t>
  </si>
  <si>
    <t>Kemampuan untuk bisa mengeluarkan ide atau pendapat terhadap suatu pemikiran, sehingga bisa didapatkan pendapat lain dalam pengambilan keputusan.</t>
  </si>
  <si>
    <t>Kemapuan untuk mendelegasikan tugas tugas teknis kepada timnya, sehingga saat menjadi pemimpin tidak selalu memegang hal hal teknis dan bisa lebih berfikir secara strategis.</t>
  </si>
  <si>
    <t>Mengetahui konsep pengelolaan teknologi informasi mulai dari pengaturan, perencanaan, implementasi, support, evaluasi dan pengembangan suatu proses yang ada di divisi teknologi informasi.</t>
  </si>
  <si>
    <t>Kemampuan untuk melakukan evaluasi secara objective terhadap suatu proses berdasarkan standarisasi yang sudah dibuat.</t>
  </si>
  <si>
    <t>Kemampuan untuk mengelola project dan memastikan tersedianya sumber daya dalam pelaksanaannya serta bisa memastikan terselesaikannya project sesuai dengan waktu, biaya yang sudah disepakati sebelumnya.</t>
  </si>
  <si>
    <t>IT INFRASTRUCTURE
DISASTER RECOVERY&amp; SUPPORT</t>
  </si>
  <si>
    <t>UI/UX</t>
  </si>
  <si>
    <t>1. COBIT 2019</t>
  </si>
  <si>
    <t>IT GOV&amp;SECURITY</t>
  </si>
  <si>
    <t>IT INFRASTRUCTURE
SYSADMIN - NETWORK</t>
  </si>
  <si>
    <t>IT DATA INTEGRATION - DBA</t>
  </si>
  <si>
    <t>IT DATA INTEGRATION - DATA ENGINNER</t>
  </si>
  <si>
    <t>1. ISO 27001
2. NIST</t>
  </si>
  <si>
    <t>MAN POWER (Outsource)</t>
  </si>
  <si>
    <t>MAN POWER (Permanent)</t>
  </si>
  <si>
    <t>IT APPLICATION CORE DEVELOPER</t>
  </si>
  <si>
    <t>IT APPLICATION 
APP DEVELOPER</t>
  </si>
  <si>
    <t>MAN POWER (NEW)</t>
  </si>
  <si>
    <t>MAN POWER (NEW OUTS)</t>
  </si>
  <si>
    <t>Level</t>
  </si>
  <si>
    <t>Label</t>
  </si>
  <si>
    <t>Description</t>
  </si>
  <si>
    <t>Follow</t>
  </si>
  <si>
    <t>Melakukan tugas rutin perlu pendampingan, membutuhkan bimbingan, sebatas menjalankan instruksi, dan mengetahui pengetahuan dasarnya.</t>
  </si>
  <si>
    <t>Assist</t>
  </si>
  <si>
    <t>Dapat memberikan bantuan kepada orang lain, bisa memberikan solusi terhadap permasalahan, serta aktif dalam proses pembelajaran melalui pelatihan atau pekerjaan harian di tempat kerja.</t>
  </si>
  <si>
    <t>Apply</t>
  </si>
  <si>
    <t>Bekerja sesuai dengan metode dan standar baik dilakukan rutin ataupun tidak rutin, serta mampu mengelola pekerjaan secara mandir, dan secara proaktif mengingkatkan keterampilan serta memberikan dampak di tempat kerja.</t>
  </si>
  <si>
    <t>Enable</t>
  </si>
  <si>
    <t>Melakukan beragam aktivatas kompleks, mendukung dan membimbing orang lain, dapat mendelegasikan tugas sesuai tingkat urgensi, berpartisipasi aktif menyumbangkan ide dan inovasi untuk mencapai tujuan tim.</t>
  </si>
  <si>
    <t>Ensure, Advice</t>
  </si>
  <si>
    <t>Melakukan pekerjaan mulai dari analisa kemudian dilakukan eksekusi sampai dengan melakukan evaluasi dengan memberikan tanggung jawab atas hasil kerjanya. Serta bisa memberikan panduan sesuai dengan keahlian di bidangnya secara detail.</t>
  </si>
  <si>
    <t>Initiate, Influence</t>
  </si>
  <si>
    <t>Memiliki pengaruh yang signifikan, dapat membuat keputusan tingkat tinggi, membentuk kebijakan, menunjukan kepemimpinan, serta dapat berkolaborasi antar bidang dalam organisasi sesuai dengan akuntabilitasnya.</t>
  </si>
  <si>
    <t>Set Strategy, Inspire</t>
  </si>
  <si>
    <t>Menentukan visi dan strategi organisasi secara keseluruhan, dan melakukan pengawasan dan evaluasi akuntabilitas kesuksesan secara keseluruhan.</t>
  </si>
  <si>
    <t>Enterprise IT Governance</t>
  </si>
  <si>
    <t>Skills</t>
  </si>
  <si>
    <t>GOVERNANCE &amp; LEADERSHIP</t>
  </si>
  <si>
    <t>Tata kelola dapat diterapkan pada aktivitas tertentu atau dapat berupa kerangka kerja terpadu di seluruh organisasi.</t>
  </si>
  <si>
    <t>a</t>
  </si>
  <si>
    <t>-</t>
  </si>
  <si>
    <t>Menerapkan kerangka kerja tata kelola untuk memungkinkan aktivitas tata kelola dilakukan.</t>
  </si>
  <si>
    <t>Dalam area akuntabilitas yang telah ditentukan, menentukan persyaratan untuk tata kelola yang tepat yang mencerminkan nilai-nilai organisasi, etika, selera risiko, dan kerangka kerja tata kelola yang lebih luas. Mengkomunikasikan wewenang, manfaat, peluang, biaya, dan risiko yang didelegasikan.</t>
  </si>
  <si>
    <t>Memimpin tinjauan terhadap praktik-praktik tata kelola dengan independensi yang tepat dan memadai dari aktivitas manajemen.</t>
  </si>
  <si>
    <t>Bertindak sebagai penghubung organisasi dengan pihak berwenang yang relevan dan memastikan hubungan yang tepat antara organisasi dan pemangku kepentingan eksternal.</t>
  </si>
  <si>
    <t>Mengarahkan definisi, implementasi, dan pemantauan kerangka kerja tata kelola untuk memenuhi kewajiban organisasi berdasarkan peraturan, hukum, atau kontrak.</t>
  </si>
  <si>
    <t>Memberikan kepemimpinan, arahan, dan pengawasan untuk kegiatan tata kelola. Mengintegrasikan manajemen risiko ke dalam kerangka kerja, menyelaraskannya dengan tujuan strategis dan selera risiko.</t>
  </si>
  <si>
    <t>Mengamankan sumber daya yang diperlukan untuk melaksanakan kegiatan guna mencapai tujuan tata kelola organisasi dengan transparansi yang efektif.</t>
  </si>
  <si>
    <t>Memberikan jaminan kepada para pemangku kepentingan bahwa organisasi dapat memenuhi kewajibannya dengan keseimbangan yang disepakati antara manfaat, peluang, biaya, dan risiko.</t>
  </si>
  <si>
    <t xml:space="preserve"> </t>
  </si>
  <si>
    <t>Strategic Planning</t>
  </si>
  <si>
    <t>Keahlian ini terutama difokuskan pada perencanaan dan manajemen strategis di seluruh perusahaan, daripada mengembangkan strategi untuk bidang teknis atau fungsional tertentu. Untuk manajer senior atau individu yang bekerja pada strategi teknis atau fungsional mereka sendiri, keterampilan ini mungkin terlalu luas dan tingkat tinggi. Sebaliknya, mereka mungkin memerlukan keterampilan yang lebih spesifik terkait dengan domain atau bidang keahlian mereka.</t>
  </si>
  <si>
    <t>Berkontribusi pada pengumpulan dan analisis informasi untuk mendukung pengembangan strategi.</t>
  </si>
  <si>
    <t>Membantu dalam persiapan laporan dan wawasan untuk perencanaan strategis.</t>
  </si>
  <si>
    <t>Mendukung komunikasi rencana strategis dan inisiatif perubahan terkait kepada para pemangku kepentingan yang relevan.</t>
  </si>
  <si>
    <t>Membantu memantau kemajuan terhadap tujuan strategis dan memberikan umpan balik.</t>
  </si>
  <si>
    <t>Mengumpulkan informasi dan membuat laporan dan wawasan untuk mendukung proses manajemen strategi.</t>
  </si>
  <si>
    <t>Mengembangkan dan mengkomunikasikan rencana untuk memajukan strategi dan perencanaan perubahan terkait.</t>
  </si>
  <si>
    <t>Berkontribusi pada pengembangan kebijakan, standar, dan pedoman untuk pengembangan dan perencanaan strategi.</t>
  </si>
  <si>
    <t>Menetapkan kebijakan, standar dan pedoman tentang bagaimana organisasi melakukan pengembangan dan perencanaan strategi.</t>
  </si>
  <si>
    <t>Memimpin dan mengelola pembuatan atau peninjauan ulang strategi yang memenuhi persyaratan bisnis.</t>
  </si>
  <si>
    <t>Mengembangkan, mengomunikasikan, mengimplementasikan, dan meninjau proses yang menanamkan manajemen strategis dalam manajemen operasional organisasi.</t>
  </si>
  <si>
    <t>Memimpin definisi, implementasi, dan komunikasi kerangka kerja manajemen strategis organisasi.</t>
  </si>
  <si>
    <t>Mengarahkan pembuatan dan peninjauan strategi dan rencana untuk mendukung persyaratan strategis bisnis.</t>
  </si>
  <si>
    <t>Risk Management</t>
  </si>
  <si>
    <t>Manajemen risiko dapat diterapkan pada banyak fungsi perusahaan serta spesialisasi teknis dan teknik, seperti, namun tidak terbatas pada, sistem informasi dan teknologi, operasi, lingkungan, informasi dan keamanan siber, keselamatan, pasokan energi.</t>
  </si>
  <si>
    <t>Membantu mengumpulkan dan melaporkan data untuk mendukung aktivitas manajemen risiko di bawah pengawasan rutin.</t>
  </si>
  <si>
    <t>Membantu membuat dan memelihara dokumentasi risiko dan aktivitas manajemen risiko.</t>
  </si>
  <si>
    <t>Membantu mengidentifikasi dan melaporkan masalah dan ketidaksesuaian.</t>
  </si>
  <si>
    <t>Melaksanakan kegiatan manajemen risiko dasar.</t>
  </si>
  <si>
    <t>Memelihara dokumentasi risiko, ancaman, kerentanan, dan tindakan mitigasi.</t>
  </si>
  <si>
    <t>Melakukan aktivitas manajemen risiko dalam fungsi, area teknis, atau proyek tertentu dengan kompleksitas menengah.</t>
  </si>
  <si>
    <t>Mengidentifikasi risiko dan kerentanan, menilai dampak dan probabilitasnya, mengembangkan strategi mitigasi, dan melaporkannya kepada bisnis.</t>
  </si>
  <si>
    <t>Melibatkan spesialis dan ahli domain yang diperlukan.</t>
  </si>
  <si>
    <t>Merencanakan dan mengimplementasikan aktivitas manajemen risiko yang kompleks dan substansial dalam fungsi, area teknis, proyek, atau program tertentu.</t>
  </si>
  <si>
    <t>Menetapkan proses manajemen risiko yang konsisten dan mekanisme pelaporan yang selaras dengan kerangka kerja tata kelola.</t>
  </si>
  <si>
    <t>Memberikan saran mengenai pendekatan organisasi terhadap manajemen risiko.</t>
  </si>
  <si>
    <t>Merencanakan dan mengelola implementasi proses manajemen risiko di seluruh organisasi, mengintegrasikan alat dan teknik yang selaras dengan kerangka kerja tata kelola.</t>
  </si>
  <si>
    <t>Mempertimbangkan risiko di seluruh organisasi dan aktivitas mitigasi dalam konteks risiko bisnis secara keseluruhan dan selera risiko organisasi.</t>
  </si>
  <si>
    <t>Memberikan kepemimpinan dalam manajemen risiko, memastikan praktik-praktik yang dilakukan mendukung pengambilan keputusan strategis dan kepatuhan terhadap kebijakan organisasi.</t>
  </si>
  <si>
    <t>Menetapkan strategi manajemen risiko organisasi, mendefinisikan dan mengkomunikasikan selera risiko yang selaras dengan tata kelola dan tujuan strategis.</t>
  </si>
  <si>
    <t>Mendefinisikan dan mengkomunikasikan selera risiko organisasi.</t>
  </si>
  <si>
    <t>Menyediakan sumber daya untuk mengimplementasikan strategi risiko organisasi.</t>
  </si>
  <si>
    <t>Mendelegasikan wewenang untuk perencanaan dan pelaksanaan kegiatan manajemen risiko secara terperinci di seluruh organisasi.</t>
  </si>
  <si>
    <t>Contract Management</t>
  </si>
  <si>
    <t>mengawasi kontrak mulai dari inisiasi dan negosiasi hingga pembaruan atau pemutusan kontrak dan memastikan komunikasi dan kolaborasi yang efektif dengan tim internal, pemasok, dan klien.</t>
  </si>
  <si>
    <t>Membantu mengumpulkan data kinerja kontrak.</t>
  </si>
  <si>
    <t>Menghasilkan laporan standar tentang kinerja kontrak di bawah pengawasan rutin.</t>
  </si>
  <si>
    <t>Bertindak sebagai titik kontak rutin antara organisasi dan rekanan terkait manajemen kontrak.</t>
  </si>
  <si>
    <t>Mendukung pengumpulan data kinerja kontrak.</t>
  </si>
  <si>
    <t>Membuat laporan standar tentang kinerja kontrak.</t>
  </si>
  <si>
    <t>Mencari dan mengumpulkan data kinerja kontrak (seperti harga dan biaya rantai pasokan), dan memantau kinerja terhadap indikator kinerja utama.</t>
  </si>
  <si>
    <t>Memantau kemajuan terhadap tujuan bisnis yang ditentukan dalam kasus bisnis. Secara proaktif mengelola mekanisme risiko dan imbalan dalam kontrak.</t>
  </si>
  <si>
    <t>Mengidentifikasi dan melaporkan kinerja di bawah standar dan mengembangkan peluang untuk perbaikan. Memantau kepatuhan terhadap syarat dan ketentuan dan mengambil langkah yang tepat untuk mengatasi ketidakpatuhan.</t>
  </si>
  <si>
    <t>Mengidentifikasi di mana perubahan diperlukan dan merencanakan variasi. Memastikan, melalui konsultasi dengan para pemangku kepentingan, bahwa protokol manajemen perubahan diterapkan.</t>
  </si>
  <si>
    <t>Mengawasi dan mengukur pemenuhan kewajiban kontrak.</t>
  </si>
  <si>
    <t>Menggunakan indikator kinerja utama untuk memantau dan menantang kinerja serta mengidentifikasi peluang untuk peningkatan berkelanjutan. Mengembangkan strategi untuk mengatasi kinerja yang kurang baik dan kegagalan kepatuhan, termasuk penerapan persyaratan kontrak.</t>
  </si>
  <si>
    <t>Mengidentifikasi di mana perubahan diperlukan, mengevaluasi dampaknya, dan memberi saran kepada para pemangku kepentingan tentang implikasi dan konsekuensinya. Menegosiasikan variasi dan mencari otorisasi yang sesuai.</t>
  </si>
  <si>
    <t>Secara aktif mendukung dan melibatkan para ahli dan pemangku kepentingan untuk memastikan peningkatan berkelanjutan diidentifikasi melalui proses peninjauan dan pembandingan. Mengembangkan dan menerapkan protokol manajemen perubahan.</t>
  </si>
  <si>
    <t>Menegosiasikan dan menyelesaikan masalah kontrak, termasuk kegagalan untuk memenuhi kewajiban kontrak.</t>
  </si>
  <si>
    <t>Mempromosikan proses pengendalian perubahan dan memimpin negosiasi variasi bila diperlukan. Memimpin program peningkatan berkelanjutan, bersama-sama mengembangkan strategi dan insentif untuk meningkatkan kinerja. Melakukan evaluasi keuangan yang komprehensif.</t>
  </si>
  <si>
    <t>Memastikan uji tuntas dan pemeriksaan hukum mendukung semua proses pengadaan, menegaskan penilaian risiko dan kepatuhan dalam kontrak. Memastikan pelajaran yang dipetik dari tinjauan didokumentasikan dan disebarluaskan kepada semua pemangku kepentingan.</t>
  </si>
  <si>
    <t>Memimpin kemajuan dan penerapan praktik manajemen kontrak yang efektif dalam domain atau kategori bisnis tertentu.</t>
  </si>
  <si>
    <t>Memimpin arahan strategis dan tata kelola proses manajemen kontrak di seluruh organisasi.</t>
  </si>
  <si>
    <t>Memberikan saran kepada pimpinan eksekutif tentang risiko dan strategi manajemen kontrak. Menerapkan strategi manajemen kontrak yang selaras dengan tujuan organisasi dan dinamika pasar, termasuk pengawasan terhadap kontrak-kontrak yang signifikan dan risiko hukum yang terkait. Bertindak sebagai titik eskalasi untuk perselisihan besar.</t>
  </si>
  <si>
    <t>Mempromosikan keunggulan operasional dalam manajemen kontrak, mendorong peningkatan dan inovasi kontrak rantai pasokan.</t>
  </si>
  <si>
    <t>Membangun kemitraan strategis, menyelaraskan tujuan organisasi dan pemasok. Mewakili organisasi dalam negosiasi penting, memastikan hasil yang strategis dan sesuai dengan peraturan.</t>
  </si>
  <si>
    <t>Supplier Management</t>
  </si>
  <si>
    <t>membangun hubungan kerja yang didasarkan pada kolaborasi, kepercayaan, dan komunikasi yang terbuka, mendorong inovasi bersama dan peningkatan layanan dengan pemasok dan secara proaktif terlibat dengan pemasok untuk menyelesaikan insiden operasional, masalah, kinerja yang tidak memuaskan, dan sumber konflik lainnya</t>
  </si>
  <si>
    <t>Membantu pengumpulan dan pelaporan data kinerja pemasok.</t>
  </si>
  <si>
    <t>Membantu komunikasi rutin sehari-hari antara organisasi dan pemasok.</t>
  </si>
  <si>
    <t>Bertindak sebagai titik kontak rutin antara organisasi dan pemasok.</t>
  </si>
  <si>
    <t>Mendukung penyelesaian insiden, masalah, atau kinerja yang tidak memuaskan terkait pemasok.</t>
  </si>
  <si>
    <t>Mengumpulkan dan melaporkan data kinerja pemasok.</t>
  </si>
  <si>
    <t>Mengumpulkan data kinerja pemasok dan menyelidiki masalah.</t>
  </si>
  <si>
    <t>Memantau dan melaporkan kinerja pemasok, kepuasan pelanggan, kepatuhan terhadap persyaratan keamanan, dan intelijen pasar. Memvalidasi bahwa kinerja pemasok sesuai dengan persyaratan kontrak.</t>
  </si>
  <si>
    <t>Terlibat secara proaktif dan kolaboratif dengan pemasok untuk menyelesaikan insiden, masalah, atau kinerja yang tidak memuaskan.</t>
  </si>
  <si>
    <t>Menerapkan inisiatif dan program peningkatan layanan yang terkait dengan manajemen pemasok.</t>
  </si>
  <si>
    <t>Mengelola pemasok untuk memenuhi indikator kinerja utama dan target yang disepakati.</t>
  </si>
  <si>
    <t>Mengelola hubungan operasional antara pemasok dan memastikan potensi perselisihan atau konflik diangkat dan diselesaikan.</t>
  </si>
  <si>
    <t>Melakukan tolok ukur dan menggunakan data kinerja pemasok untuk memastikan kinerja dipantau secara memadai dan ditinjau secara berkala. Menggunakan keahlian pemasok untuk mendukung dan menginformasikan peta jalan pengembangan.</t>
  </si>
  <si>
    <t>Mengelola implementasi tindakan peningkatan layanan pemasok. Mengidentifikasi kendala dan peluang saat melakukan negosiasi atau negosiasi ulang kontrak.</t>
  </si>
  <si>
    <t>Mengembangkan kebijakan, standar, dan pedoman organisasi untuk memastikan manajemen pemasok yang efektif di seluruh rantai pasokan yang terintegrasi.</t>
  </si>
  <si>
    <t>Mendefinisikan pendekatan untuk komunikasi komersial dan pengelolaan hubungan dengan pemasok. Menciptakan lingkungan kerja yang positif dan efektif dengan pemasok demi keuntungan bersama.</t>
  </si>
  <si>
    <t>Memastikan sumber daya dan alat yang tersedia untuk melakukan benchmarking. Meninjau analisis pemasok dan menilai efektivitas di seluruh rantai pasokan.</t>
  </si>
  <si>
    <t>Mengelola risiko dan memastikan kualitas layanan yang diberikan oleh pemasok.</t>
  </si>
  <si>
    <t>Menentukan strategi manajemen pemasok secara keseluruhan, dengan merangkul manajemen yang efektif dan hubungan operasional di semua tingkatan.</t>
  </si>
  <si>
    <t>Memimpin kemitraan pemasok yang kolaboratif. Menyelaraskan kinerja pemasok dan manajemen hubungan dengan tujuan bisnis dan strategi pengadaan.</t>
  </si>
  <si>
    <t>Menetapkan kerangka kerja untuk tata kelola pemasok dan pemantauan layanan.</t>
  </si>
  <si>
    <t>Memastikan nilai komersial dari kontrak dan mewakili organisasi dalam perselisihan pemasok yang signifikan.</t>
  </si>
  <si>
    <t>Organisational Change Management</t>
  </si>
  <si>
    <t>Manajemen perubahan organisasi berfokus pada aspek-aspek terstruktur dan prosedural dalam mentransisikan sebuah organisasi menuju kondisi masa depan yang diinginkan. Hal ini mencakup perencanaan, perancangan dan pelaksanaan inisiatif perubahan yang selaras dengan tujuan organisasi. Keahlian ini bertanggung jawab atas komponen teknis dan proses perubahan, termasuk komunikasi pemangku kepentingan yang berfokus pada pembaruan prosedural dan menilai kesiapan dari perspektif implementasi perubahan terstruktur.</t>
  </si>
  <si>
    <t>Membantu tugas-tugas manajemen perubahan organisasi di bawah pengawasan rutin.</t>
  </si>
  <si>
    <t>Mendukung pengumpulan dan analisis data yang terkait dengan kesiapan dan dampak perubahan.</t>
  </si>
  <si>
    <t>Membantu mendokumentasikan dan mengomunikasikan rencana dan aktivitas manajemen perubahan.</t>
  </si>
  <si>
    <t>Mengikuti teknik standar untuk menyelidiki dan menganalisis ukuran, sifat, dan dampak perubahan terhadap kegiatan operasional.</t>
  </si>
  <si>
    <t>Berkontribusi pada rencana dan tindakan manajemen perubahan, dengan fokus pada pelaksanaan perubahan secara prosedural.</t>
  </si>
  <si>
    <t>Mendukung implementasi dan terlibat dengan para pemangku kepentingan di bawah arahan.</t>
  </si>
  <si>
    <t>Melakukan penilaian kesiapan untuk menilai ukuran, sifat, dan dampak perubahan organisasi.</t>
  </si>
  <si>
    <t>Menentukan taktik yang akan digunakan dengan mempertimbangkan tantangan yang akan dihadapi. Memberikan panduan dan memberikan saran untuk mendukung individu yang bertanggung jawab atas pelaksanaan operasional kegiatan manajemen perubahan.</t>
  </si>
  <si>
    <t>Mengumpulkan umpan balik untuk menganalisis dampak dan efektivitas kegiatan manajemen perubahan yang diterapkan. Mengambil tindakan korektif yang diperlukan.</t>
  </si>
  <si>
    <t>Mengembangkan dan mengkomunikasikan rencana manajemen perubahan yang disesuaikan. Menjalin dan membangun hubungan dengan sponsor proyek dan pemangku kepentingan utama.</t>
  </si>
  <si>
    <t>Mengembangkan pendekatan manajemen perubahan dan rencana manajemen perubahan bekerja sama dengan sponsor, pengguna, dan tim proyek.</t>
  </si>
  <si>
    <t>Membuat dan mengimplementasikan rencana tindakan untuk memastikan kesiapan perubahan sebelum ditayangkan. Mendapatkan sumber daya manajemen perubahan dan mengembangkan kemampuan mereka untuk mewujudkan perubahan yang diperlukan.</t>
  </si>
  <si>
    <t>Mengumpulkan umpan balik untuk memungkinkan perbaikan tepat waktu terhadap rencana dan pendekatan manajemen perubahan. Menilai risiko dan mengambil tindakan pencegahan.</t>
  </si>
  <si>
    <t>Mengembangkan dan mengkomunikasikan rencana manajemen perubahan yang disesuaikan untuk kelompok pemangku kepentingan senior. Memberikan panduan untuk mendukung sponsor perubahan.</t>
  </si>
  <si>
    <t>Mendefinisikan dan mengkomunikasikan pendekatan manajemen perubahan untuk bagian yang signifikan dari organisasi.</t>
  </si>
  <si>
    <t>Memulai, merencanakan dan memimpin inisiatif manajemen perubahan yang strategis, besar dan kompleks. Memberikan panduan kepada para pemimpin perubahan, dengan menekankan aspek teknis dan prosedural perubahan.</t>
  </si>
  <si>
    <t>Menetapkan proses umpan balik dan memimpin analisis keberhasilan manajemen perubahan.</t>
  </si>
  <si>
    <t>Memungkinkan peningkatan berkelanjutan pada metodologi, alat, dan pelatihan manajemen perubahan yang diperlukan untuk meningkatkan kematangan di seluruh organisasi.</t>
  </si>
  <si>
    <t xml:space="preserve">Financial Management (Planning &amp; Budgeting) </t>
  </si>
  <si>
    <t>Mengumpulkan dan menganalisis data keuangan untuk menyiapkan anggaran dan prakiraan, memilih dan menerapkan metodologi dan alat bantu penganggaran dan prakiraan yang tepat dan memasukkan perencanaan skenario, analisis sensitivitas dan penilaian risiko ke dalam proses penganggaran dan prakiraan.</t>
  </si>
  <si>
    <t>Membantu mengumpulkan data keuangan dan menyiapkan templat anggaran dasar di bawah pengawasan.</t>
  </si>
  <si>
    <t>Mendukung proses penganggaran dan prakiraan dengan menyelesaikan tugas yang diberikan.</t>
  </si>
  <si>
    <t>Melakukan tugas-tugas tertentu dalam proses penganggaran dan prakiraan, termasuk analisis data dan persiapan laporan, dengan menggunakan metode standar.</t>
  </si>
  <si>
    <t>Mengidentifikasi dan menyelesaikan masalah penganggaran dan prakiraan rutin.</t>
  </si>
  <si>
    <t>Mengkomunikasikan informasi anggaran dan prakiraan kepada para pemangku kepentingan yang relevan.</t>
  </si>
  <si>
    <t>Berkontribusi pada pengembangan anggaran dan prakiraan untuk area tanggung jawab tertentu.</t>
  </si>
  <si>
    <t>Mengumpulkan dan menganalisis data keuangan dan menyiapkan templat dan laporan anggaran.</t>
  </si>
  <si>
    <t>Mendukung komunikasi dan kolaborasi dengan pemangku kepentingan dalam proses penyusunan anggaran dan prakiraan.</t>
  </si>
  <si>
    <t>Memimpin pengembangan anggaran dan prakiraan untuk departemen atau fungsi.</t>
  </si>
  <si>
    <t>Memberikan saran dan panduan yang berwibawa mengenai praktik penganggaran dan prakiraan. Memilih dan menerapkan metodologi dan alat bantu penganggaran dan prakiraan yang tepat.</t>
  </si>
  <si>
    <t>Memasukkan perencanaan skenario, analisis sensitivitas, dan penilaian risiko ke dalam proses penganggaran dan prakiraan.</t>
  </si>
  <si>
    <t>Berkolaborasi dengan para pemangku kepentingan untuk menyelaraskan anggaran dan prakiraan dengan tujuan organisasi dan metrik bisnis.</t>
  </si>
  <si>
    <t>Mengembangkan dan mengimplementasikan strategi, kebijakan, dan proses penganggaran dan prakiraan yang selaras dengan tujuan organisasi secara keseluruhan dan metrik bisnis.</t>
  </si>
  <si>
    <t>Mendorong penerapan praktik kerja yang baik di seluruh organisasi.</t>
  </si>
  <si>
    <t>Mengawasi pengembangan model keuangan yang kompleks dan analisis skenario untuk mendukung pengambilan keputusan strategis. Memberikan wawasan dan rekomendasi untuk mengoptimalkan investasi dan alokasi sumber daya.</t>
  </si>
  <si>
    <t>Berkolaborasi dengan para pemimpin senior untuk memastikan anggaran dan prakiraan mendukung tujuan jangka panjang organisasi dan mendorong penciptaan nilai. Menetapkan visi dan arah untuk praktik penganggaran dan prakiraan.</t>
  </si>
  <si>
    <t>Job Analysis and Design</t>
  </si>
  <si>
    <t>Merencanakan, menganalisis, dan merancang peran dan struktur pekerjaan agar selaras dengan persyaratan, tujuan, dan budaya organisasi.</t>
  </si>
  <si>
    <t>Mengumpulkan data mengenai peran dan tanggung jawab pekerjaan dari berbagai sumber.</t>
  </si>
  <si>
    <t>Membantu memetakan tugas dan kompetensi dengan menggunakan kerangka kerja berbasis keterampilan yang telah ditetapkan. Berkontribusi pada pembuatan deskripsi pekerjaan awal dan metrik kinerja.</t>
  </si>
  <si>
    <t>Bekerja di bawah arahan untuk menyelaraskan peran pekerjaan dengan strategi organisasi, praktik di tempat kerja, dan persyaratan yang terus berkembang.</t>
  </si>
  <si>
    <t>Memberikan dukungan dalam penilaian perubahan pekerjaan dan dampaknya terhadap alur kerja dan kepuasan karyawan. Berpartisipasi dalam proses revisi dokumentasi pekerjaan untuk mencerminkan definisi dan tanggung jawab peran yang diperbarui.</t>
  </si>
  <si>
    <t>Melakukan analisis pekerjaan yang terperinci, menguraikan peran menggunakan wawasan berbasis data.</t>
  </si>
  <si>
    <t>Membuat atau merevisi deskripsi pekerjaan dengan mempertimbangkan keterampilan, kompetensi, dan budaya organisasi yang dibutuhkan.</t>
  </si>
  <si>
    <t>Mengevaluasi dampak perubahan peran pekerjaan terhadap alur kerja, keterlibatan karyawan, dan praktik di tempat kerja secara keseluruhan.</t>
  </si>
  <si>
    <t>Memberikan wawasan untuk menyelaraskan peran pekerjaan dengan kebutuhan organisasi yang muncul, termasuk integrasi teknologi dan strategi adaptif. Berkolaborasi dengan para pemangku kepentingan untuk memastikan desain pekerjaan yang efektif, responsif terhadap perubahan kebutuhan bisnis dan selaras dengan pendekatan berbasis keterampilan.</t>
  </si>
  <si>
    <t>Memimpin inisiatif arsitektur dan desain pekerjaan, memastikan keselarasan dengan strategi organisasi dan praktik di tempat kerja yang terus berkembang.</t>
  </si>
  <si>
    <t>Mengembangkan definisi peran yang komprehensif yang mencakup keterampilan, kompetensi, dan keselarasan yang diperlukan dengan budaya dan tujuan organisasi.</t>
  </si>
  <si>
    <t>Menilai dan menyarankan modifikasi pada peran yang ada untuk meningkatkan efektivitas dan mengatasi tantangan baru.</t>
  </si>
  <si>
    <t>Memberikan saran yang berwibawa mengenai adaptasi arsitektur pekerjaan dan desain pekerjaan untuk mencerminkan perubahan dalam strategi organisasi, teknologi, praktik di tempat kerja, dan pendekatan berbasis keterampilan.</t>
  </si>
  <si>
    <t>SECURITY</t>
  </si>
  <si>
    <t>Information Security</t>
  </si>
  <si>
    <t>Memilih dan mengadaptasi kerangka kerja keamanan untuk melindungi kerahasiaan, integritas, dan ketersediaan sistem dan menerapkan kontrol keamanan, termasuk tindakan fisik, prosedural, teknis, dan kepatuhan serta memastikan akuntabilitas dan kepatuhan terhadap hukum dan standar yang relevan.</t>
  </si>
  <si>
    <t>Membantu menerapkan dan memantau kebijakan dan protokol keamanan di berbagai sistem.</t>
  </si>
  <si>
    <t>Berkontribusi dalam mengidentifikasi dan menangani potensi risiko dalam tata kelola keamanan dan kepatuhan.</t>
  </si>
  <si>
    <t>Mendukung analisis insiden keamanan yang terdokumentasi, dan melakukan eskalasi jika diperlukan.</t>
  </si>
  <si>
    <t>Membantu dalam peninjauan kontrol akses dan izin, memastikan kepatuhan terhadap kebijakan keamanan.</t>
  </si>
  <si>
    <t>Menerapkan dan memelihara kontrol keamanan khusus seperti yang disyaratkan oleh kebijakan organisasi dan penilaian risiko lokal.</t>
  </si>
  <si>
    <t>Mengkomunikasikan risiko dan masalah keamanan kepada manajer bisnis dan pihak lain. Melakukan penilaian risiko dasar untuk sistem informasi kecil.</t>
  </si>
  <si>
    <t>Berkontribusi pada identifikasi risiko yang muncul dari arsitektur solusi teknis yang potensial. Menyarankan solusi alternatif atau tindakan pencegahan untuk mengurangi risiko. Menentukan konfigurasi sistem yang aman sesuai dengan arsitektur yang diinginkan.</t>
  </si>
  <si>
    <t>Mendukung investigasi dugaan serangan dan pelanggaran keamanan.</t>
  </si>
  <si>
    <t>Memberikan panduan tentang penerapan dan pengoperasian kontrol keamanan fisik, prosedural, dan teknis dasar.</t>
  </si>
  <si>
    <t>Menjelaskan tujuan kontrol keamanan dan melakukan analisis risiko keamanan dan dampak bisnis untuk sistem informasi dengan tingkat kompleksitas menengah.</t>
  </si>
  <si>
    <t>Mengidentifikasi risiko yang muncul dari arsitektur solusi teknis yang potensial. Merancang solusi alternatif atau tindakan pencegahan dan memastikan bahwa solusi tersebut dapat mengatasi risiko yang teridentifikasi.</t>
  </si>
  <si>
    <t>Menyelidiki serangan yang dicurigai dan mendukung manajemen insiden keamanan.</t>
  </si>
  <si>
    <t>Memberikan saran dan panduan tentang strategi keamanan untuk mengelola risiko yang teridentifikasi dan memastikan adopsi dan kepatuhan terhadap standar.</t>
  </si>
  <si>
    <t>Berkontribusi pada pengembangan kebijakan, standar, dan pedoman keamanan informasi.</t>
  </si>
  <si>
    <t>Memperoleh dan menindaklanjuti informasi kerentanan dan melakukan penilaian risiko keamanan, analisis dampak bisnis, dan akreditasi pada sistem informasi yang kompleks. Menyelidiki pelanggaran besar terhadap keamanan dan merekomendasikan peningkatan kontrol yang sesuai.</t>
  </si>
  <si>
    <t>Mengembangkan arsitektur baru yang mengelola risiko yang ditimbulkan oleh teknologi dan praktik bisnis baru.</t>
  </si>
  <si>
    <t>Mengembangkan dan mengkomunikasikan kebijakan, standar, dan pedoman keamanan informasi perusahaan.</t>
  </si>
  <si>
    <t>Memastikan prinsip-prinsip arsitektur diterapkan selama perancangan untuk mengurangi risiko. Mendorong adopsi dan kepatuhan terhadap kebijakan, standar, dan pedoman.</t>
  </si>
  <si>
    <t>Berkontribusi pada pengembangan strategi organisasi yang membahas persyaratan pengendalian informasi. Mengidentifikasi dan memantau tren lingkungan dan pasar serta secara proaktif menilai dampaknya terhadap strategi, manfaat, dan risiko bisnis.</t>
  </si>
  <si>
    <t>Memimpin penyediaan saran dan panduan yang otoritatif tentang persyaratan pengendalian keamanan bekerja sama dengan para ahli di bidangnya.</t>
  </si>
  <si>
    <t>Mengarahkan pengembangan, implementasi, penyampaian, dan dukungan strategi keamanan informasi perusahaan yang selaras dengan strategi bisnis.</t>
  </si>
  <si>
    <t>Memastikan kesesuaian antara strategi bisnis dan keamanan informasi.</t>
  </si>
  <si>
    <t>Memimpin penyediaan keahlian keamanan informasi, panduan, dan sistem yang diperlukan untuk melaksanakan rencana strategis dan operasional.</t>
  </si>
  <si>
    <t>Mengamankan sumber daya organisasi untuk melaksanakan strategi keamanan informasi.</t>
  </si>
  <si>
    <t xml:space="preserve">Cybercrime Investigation </t>
  </si>
  <si>
    <t>Menyelidiki kejahatan siber, mengumpulkan bukti, menentukan dampak insiden, dan berkolaborasi dengan tim hukum untuk melindungi aset digital.</t>
  </si>
  <si>
    <t>Membantu penyelidikan kejahatan siber di bawah pengawasan rutin.</t>
  </si>
  <si>
    <t>Mendukung pengumpulan bukti yang terkait dengan investigasi kejahatan siber.</t>
  </si>
  <si>
    <t>Berpartisipasi dalam memantau aktivitas yang mencurigakan.</t>
  </si>
  <si>
    <t>Melakukan investigasi kejahatan siber dengan menggunakan prosedur standar.</t>
  </si>
  <si>
    <t>Mengumpulkan dan menyimpan berbagai bentuk bukti dalam kasus kejahatan siber. Menilai kredibilitas dan memeriksa kepatuhan terhadap standar investigasi yang relevan.</t>
  </si>
  <si>
    <t>Menganalisis ancaman dan insiden siber dasar, dan menyiapkan laporan investigasi. Mengidentifikasi insiden yang mungkin memiliki implikasi hukum.</t>
  </si>
  <si>
    <t>Melakukan wawancara dan membantu dalam interogasi.</t>
  </si>
  <si>
    <t>Mengawasi investigasi tingkat menengah, mengoordinasikan pengumpulan bukti dan analisis forensik.</t>
  </si>
  <si>
    <t>Menilai kerentanan target dan dampak operasional dari insiden siber.</t>
  </si>
  <si>
    <t>Memberikan laporan komprehensif dan analisis ahli untuk para pemangku kepentingan.</t>
  </si>
  <si>
    <t>Melakukan wawancara dan interogasi, mengidentifikasi potensi implikasi hukum dan berkolaborasi dengan para profesional hukum.</t>
  </si>
  <si>
    <t>Mengelola investigasi kejahatan siber yang kompleks, mengawasi semua tahap mulai dari deteksi hingga resolusi.</t>
  </si>
  <si>
    <t>Mengevaluasi insiden yang melibatkan ancaman tingkat lanjut atau pelanggaran yang signifikan.</t>
  </si>
  <si>
    <t>Mengembangkan dan menerapkan prosedur untuk penanganan bukti dan dokumentasi. Berkolaborasi dengan tim hukum untuk memastikan bukti mendukung proses hukum yang potensial.</t>
  </si>
  <si>
    <t>Memimpin pengembangan strategi respons, menilai kerentanan dan kemampuan operasional. Mengawasi penerapan alat dan otomatisasi untuk meningkatkan proses investigasi.</t>
  </si>
  <si>
    <t>Menetapkan strategi organisasi untuk investigasi kejahatan siber.</t>
  </si>
  <si>
    <t>Menetapkan kebijakan dan standar untuk menangani berbagai bentuk bukti dalam kasus kejahatan siber, termasuk adopsi dan integrasi alat dan otomatisasi untuk meningkatkan efisiensi dan akurasi.</t>
  </si>
  <si>
    <t>Mengawasi investigasi yang berisiko tinggi atau sensitif, dengan mengelola tim lintas disiplin. Melakukan wawancara dan interogasi tingkat tinggi, memberikan wawasan strategis tentang ancaman dan kerentanan keamanan siber.</t>
  </si>
  <si>
    <t>Berhubungan dengan pemangku kepentingan eksternal, termasuk badan pengatur dan badan hukum, untuk memastikan kepatuhan terhadap standar hukum dan etika.</t>
  </si>
  <si>
    <t xml:space="preserve">  </t>
  </si>
  <si>
    <t>Penetration Testing</t>
  </si>
  <si>
    <t>Menguji efektivitas kontrol keamanan dengan meniru alat dan teknik yang mungkin digunakan oleh penyerang.</t>
  </si>
  <si>
    <t>Membantu tugas-tugas pengujian penetrasi di bawah pengawasan rutin.</t>
  </si>
  <si>
    <t>Mendukung pelaksanaan pengujian penetrasi standar pada sistem, jaringan, dan aplikasi.</t>
  </si>
  <si>
    <t>Membantu mendokumentasikan dan melaporkan hasil pengujian, temuan, dan potensi risiko keamanan.</t>
  </si>
  <si>
    <t>Mengikuti pendekatan standar untuk merancang dan melaksanakan aktivitas pengujian penetrasi.</t>
  </si>
  <si>
    <t>Meneliti dan menyelidiki teknik serangan dan merekomendasikan cara-cara untuk mempertahankan diri dari serangan tersebut.</t>
  </si>
  <si>
    <t>Menganalisis dan melaporkan aktivitas, hasil, masalah, dan risiko pengujian penetrasi.</t>
  </si>
  <si>
    <t>Memilih pendekatan pengujian yang tepat menggunakan analisis teknis mendalam tentang risiko dan kerentanan umum.</t>
  </si>
  <si>
    <t>Membuat skrip pengujian, materi dan paket pengujian, serta menguji jaringan, sistem, atau aplikasi yang baru dan yang sudah ada. Memberikan saran tentang pengujian penetrasi untuk mendukung orang lain.</t>
  </si>
  <si>
    <t>Mencatat dan menganalisis tindakan dan hasil serta memodifikasi pengujian jika perlu.</t>
  </si>
  <si>
    <t>Memberikan laporan tentang kemajuan, anomali, risiko, dan masalah yang terkait dengan proyek secara keseluruhan.</t>
  </si>
  <si>
    <t>Merencanakan dan mendorong pengujian penetrasi dalam area aktivitas bisnis yang ditentukan.</t>
  </si>
  <si>
    <t>Memberikan wawasan obyektif tentang keberadaan kerentanan, efektivitas pertahanan, dan kontrol mitigasi.</t>
  </si>
  <si>
    <t>Bertanggung jawab atas integritas aktivitas pengujian dan mengoordinasikan pelaksanaan aktivitas ini. Memberikan saran dan panduan otoritatif tentang semua aspek pengujian penetrasi.</t>
  </si>
  <si>
    <t>Mengidentifikasi kebutuhan dan mengimplementasikan pendekatan baru untuk pengujian penetrasi. Berkontribusi pada standar pengujian keamanan.</t>
  </si>
  <si>
    <t>Menentukan kebijakan pengujian penetrasi dan memiliki proses pendukungnya.</t>
  </si>
  <si>
    <t>Mengelola semua aktivitas pengujian penetrasi di dalam organisasi. Menilai dan memberikan saran tentang kepraktisan alternatif proses pengujian.</t>
  </si>
  <si>
    <t>Menetapkan kemampuan untuk peningkatan dan penemuan yang berkelanjutan dalam pengujian penetrasi dan memimpin penerapan pendekatan baru.</t>
  </si>
  <si>
    <t>Menilai kemampuan pengembangan dan pengujian pemasok. Mengelola hubungan dengan klien terkait dengan pengujian penetrasi.</t>
  </si>
  <si>
    <t>Incident Management</t>
  </si>
  <si>
    <t>Mengkoordinasikan respons terhadap beragam insiden untuk meminimalkan dampak negatif dan memulihkan layanan dengan cepat.</t>
  </si>
  <si>
    <t>Mengikuti prosedur yang telah disepakati untuk mengidentifikasi, mendaftarkan, dan mengkategorikan insiden.</t>
  </si>
  <si>
    <t>Menggunakan alat dan teknologi yang disediakan untuk mendukung proses manajemen insiden.</t>
  </si>
  <si>
    <t>Mengumpulkan informasi sebagaimana diinstruksikan untuk membantu penyelesaian insiden dan mengalokasikan insiden sesuai arahan.</t>
  </si>
  <si>
    <t>Membantu dalam memantau antrian insiden dan mengeskalasi masalah sesuai dengan prosedur.</t>
  </si>
  <si>
    <t>Menyediakan investigasi lini pertama dan mengumpulkan informasi untuk memungkinkan penyelesaian insiden dan mengalokasikan insiden.</t>
  </si>
  <si>
    <t>Mengumpulkan informasi untuk memungkinkan penyelesaian insiden dan mengalokasikan insiden sesuai dengan prosedur yang telah ditetapkan. Mengeskalasi insiden sesuai kebutuhan.</t>
  </si>
  <si>
    <t>Memberitahukan kepada orang-orang yang relevan mengenai tindakan yang diambil. Berkomunikasi dengan pengguna dan pemangku kepentingan untuk memberikan informasi terbaru tentang status insiden.</t>
  </si>
  <si>
    <t>Membantu memelihara catatan dan dokumentasi yang terkait dengan insiden.</t>
  </si>
  <si>
    <t>Memprioritaskan dan mendiagnosis insiden dengan menggunakan prosedur dan alat bantu yang telah disepakati.</t>
  </si>
  <si>
    <t>Menyelidiki penyebab insiden dan mencari penyelesaian.</t>
  </si>
  <si>
    <t>Mengeskalasi insiden yang tidak terselesaikan ke tingkat yang lebih tinggi atau tim spesialis. Berkoordinasi dengan para pemangku kepentingan untuk memastikan penyelesaian yang tepat waktu.</t>
  </si>
  <si>
    <t>Memfasilitasi pemulihan, setelah penyelesaian insiden. Mendokumentasikan, mengkomunikasikan hasil dan menutup insiden yang telah diselesaikan.</t>
  </si>
  <si>
    <t>Memantau dan mengelola antrian insiden untuk memastikan insiden ditangani sesuai dengan prosedur dan tingkat layanan.</t>
  </si>
  <si>
    <t>Berkontribusi dalam mengembangkan, menguji, dan meningkatkan prosedur manajemen insiden. Menggunakan alat analisis untuk melacak tren.</t>
  </si>
  <si>
    <t>Memastikan insiden yang telah diselesaikan didokumentasikan dan ditutup dengan benar.</t>
  </si>
  <si>
    <t>Mendukung anggota tim dalam penggunaan proses insiden yang benar.</t>
  </si>
  <si>
    <t>Bertanggung jawab atas pengoperasian proses manajemen insiden.</t>
  </si>
  <si>
    <t>Mengelola komunikasi insiden, memastikan semua pihak mengetahui tentang insiden dan peran mereka dalam proses tersebut.</t>
  </si>
  <si>
    <t>Memimpin peninjauan insiden besar dan menginformasikan hasil kepada pemilik layanan. Memastikan penyelesaian insiden sesuai dengan target layanan. Menganalisis metrik dan melaporkan kinerja proses manajemen insiden.</t>
  </si>
  <si>
    <t>Mengembangkan, memelihara, dan menguji kebijakan dan prosedur manajemen insiden. Memastikan kepatuhan terhadap persyaratan peraturan.</t>
  </si>
  <si>
    <t>Membentuk dan mengarahkan strategi manajemen insiden organisasi.</t>
  </si>
  <si>
    <t>Menetapkan kebijakan dan standar untuk manajemen insiden yang selaras dengan tujuan organisasi.</t>
  </si>
  <si>
    <t>Memberikan kepemimpinan selama insiden besar, mengkoordinasikan tim lintas fungsi dan mitra eksternal. Membuat keputusan tingkat tinggi untuk meminimalkan dampak dan memastikan pemulihan yang cepat.</t>
  </si>
  <si>
    <t>Memimpin pengembangan kemampuan organisasi untuk manajemen insiden. Mempromosikan kolaborasi organisasi dan memastikan bahwa proses manajemen insiden dipahami dan diadopsi di seluruh organisasi.</t>
  </si>
  <si>
    <t>Continuity Management</t>
  </si>
  <si>
    <t>Mengembangkan, menerapkan, dan menguji kerangka kerja kesinambungan bisnis.</t>
  </si>
  <si>
    <t>Menyimpan catatan semua pengujian dan pelatihan terkait dan memastikan ketersediaan semua dokumentasi.</t>
  </si>
  <si>
    <t>Mencatat tindakan yang diambil dan konsekuensi yang terjadi setelah insiden atau pengujian langsung dari rencana keberlanjutan untuk laporan pembelajaran.</t>
  </si>
  <si>
    <t>Menerapkan pendekatan terstruktur untuk mengembangkan dan mendokumentasikan detail rencana keberlanjutan.</t>
  </si>
  <si>
    <t>Memelihara dokumentasi rencana keberlangsungan bisnis dan pemulihan bencana.</t>
  </si>
  <si>
    <t>Mendukung pengembangan rencana pengujian dan implementasi latihan manajemen kontinuitas.</t>
  </si>
  <si>
    <t>Berkontribusi pada pengembangan rencana manajemen kontinuitas.</t>
  </si>
  <si>
    <t>Mengidentifikasi sistem informasi dan komunikasi yang mendukung proses bisnis yang penting.</t>
  </si>
  <si>
    <t>Mengkoordinasikan analisis dampak bisnis dan penilaian risiko.</t>
  </si>
  <si>
    <t>Mengkoordinasikan perencanaan, perancangan, dan pengujian rencana kontinjensi.</t>
  </si>
  <si>
    <t>Mengelola pengembangan, implementasi, dan pengujian rencana manajemen kontinuitas.</t>
  </si>
  <si>
    <t>Mengelola hubungan dengan individu dan tim yang memiliki otoritas untuk proses bisnis kritis dan sistem pendukung.</t>
  </si>
  <si>
    <t>Mengevaluasi risiko-risiko kritis dan mengidentifikasi area-area prioritas untuk perbaikan.</t>
  </si>
  <si>
    <t>Menguji rencana dan prosedur manajemen kontinuitas untuk memastikan rencana dan prosedur tersebut mengatasi paparan risiko dan tingkat kontinuitas yang telah disepakati dapat dipertahankan.</t>
  </si>
  <si>
    <t>Menetapkan strategi untuk manajemen kontinuitas di seluruh organisasi.</t>
  </si>
  <si>
    <t>Mengamankan komitmen organisasi, pendanaan dan sumber daya untuk manajemen kesinambungan.</t>
  </si>
  <si>
    <t>Memimpin latihan manajemen kontinuitas.</t>
  </si>
  <si>
    <t>Mengkomunikasikan kebijakan, tata kelola, ruang lingkup dan peran yang terlibat dalam manajemen kontinuitas. Menetapkan wewenang dan akuntabilitas untuk tindakan dan keputusan untuk manajemen kontinuitas.</t>
  </si>
  <si>
    <t>Vulnerability Management</t>
  </si>
  <si>
    <t>Mengidentifikasi dan mengklasifikasikan kerentanan keamanan dalam jaringan, sistem, dan aplikasi, serta memitigasi atau menghilangkan dampaknya.</t>
  </si>
  <si>
    <t>Melakukan penilaian kerentanan rutin dengan tingkat kerumitan rendah menggunakan alat bantu otomatis dan semi otomatis.</t>
  </si>
  <si>
    <t>Mengeskalasi masalah jika diperlukan.</t>
  </si>
  <si>
    <t>Berkontribusi dalam mendokumentasikan ruang lingkup dan mengevaluasi hasil penilaian kerentanan.</t>
  </si>
  <si>
    <t>Mengikuti pendekatan standar untuk melakukan penilaian kerentanan dasar untuk sistem informasi kecil.</t>
  </si>
  <si>
    <t>Mendukung pembuatan katalog aset informasi dan teknologi untuk penilaian kerentanan.</t>
  </si>
  <si>
    <t>Mengumpulkan dan menganalisis katalog aset informasi dan teknologi untuk penilaian kerentanan.</t>
  </si>
  <si>
    <t>Melakukan penilaian kerentanan dan analisis dampak bisnis untuk sistem informasi dengan kompleksitas menengah.</t>
  </si>
  <si>
    <t>Berkontribusi dalam pemilihan dan penerapan alat dan teknik penilaian kerentanan.</t>
  </si>
  <si>
    <t>Merencanakan dan mengelola kegiatan penilaian kerentanan dalam organisasi.</t>
  </si>
  <si>
    <t>Mengevaluasi, memilih dan meninjau alat dan teknik penilaian kerentanan.</t>
  </si>
  <si>
    <t>Memberikan saran dan panduan ahli untuk mendukung penerapan pendekatan yang telah disepakati.</t>
  </si>
  <si>
    <t>Memperoleh dan menindaklanjuti informasi kerentanan dan melakukan penilaian risiko keamanan, analisis dampak bisnis, dan akreditasi pada sistem informasi yang kompleks.</t>
  </si>
  <si>
    <t>SYSTEM DESIGN &amp; ARCITECTURE</t>
  </si>
  <si>
    <t>Memberikan hasil proyek yang telah disepakati dengan menyelaraskan teknik manajemen, kolaborasi, kepemimpinan, dan tata kelola yang sesuai dengan konteks proyek dan organisasi tertentu.</t>
  </si>
  <si>
    <t>Mendefinisikan, mendokumentasikan, dan melaksanakan proyek atau sub-proyek kecil.</t>
  </si>
  <si>
    <t>Bekerja secara mandiri atau dengan tim kecil, berpartisipasi aktif dalam semua fase proyek. Menerapkan metode dan alat manajemen proyek yang sesuai. Mengidentifikasi, menilai, dan mengelola risiko secara efektif.</t>
  </si>
  <si>
    <t>Mempersiapkan rencana proyek yang realistis (termasuk ruang lingkup, jadwal, kualitas, risiko, dan rencana komunikasi), memastikan keterlibatan pemangku kepentingan dan keselarasan dengan standar tata kelola organisasi.</t>
  </si>
  <si>
    <t>Melacak aktivitas terhadap jadwal proyek, mengelola keterlibatan pemangku kepentingan sebagaimana mestinya. Memantau biaya, waktu, kualitas, dan sumber daya yang digunakan. Mengambil tindakan jika hal tersebut melebihi toleransi yang telah disepakati.</t>
  </si>
  <si>
    <t>Bertanggung jawab penuh atas definisi, pendekatan, fasilitasi, dan penyelesaian proyek berskala menengah yang memuaskan.</t>
  </si>
  <si>
    <t>Memberikan kepemimpinan yang efektif kepada tim proyek, dengan menggunakan metode dan alat manajemen proyek yang sesuai. Mengelola proses pengendalian perubahan dan menilai risiko, memastikan proyek selaras dengan kerangka kerja tata kelola dan prioritas bisnis.</t>
  </si>
  <si>
    <t>Berkomunikasi secara teratur dengan para pemangku kepentingan, memastikan hasil proyek memenuhi standar, anggaran, dan jadwal yang telah disepakati. Memastikan tinjauan kualitas proyek dan produk dilakukan sesuai jadwal dan sesuai prosedur.</t>
  </si>
  <si>
    <t>Secara proaktif memantau metrik kinerja, menerapkan tindakan pencegahan dan perbaikan sesuai kebutuhan.</t>
  </si>
  <si>
    <t>Bertanggung jawab penuh atas definisi, dokumentasi, dan penyelesaian proyek yang kompleks.</t>
  </si>
  <si>
    <t>Mengadopsi dan mengadaptasi metode dan alat manajemen proyek yang sesuai dengan kebutuhan proyek. Memastikan pemantauan dan pengendalian sumber daya, anggaran, dan jadwal yang efektif.</t>
  </si>
  <si>
    <t>Mengintegrasikan manajemen risiko yang kuat dalam kerangka kerja tata kelola untuk menyelaraskan keputusan dengan selera risiko dan standar organisasi.</t>
  </si>
  <si>
    <t>Mengelola ekspektasi para pemangku kepentingan utama, memastikan semua kegiatan selaras dengan tujuan organisasi, memberikan hasil yang telah disepakati, dan memberikan nilai bisnis.</t>
  </si>
  <si>
    <t>Menetapkan strategi organisasi yang mengatur arah dan pelaksanaan manajemen proyek, memastikan proyek selaras dengan tujuan strategis dan kerangka kerja tata kelola.</t>
  </si>
  <si>
    <t>Mengesahkan pengelolaan proyek berskala besar. Memimpin kegiatan perencanaan, penjadwalan, pengendalian, dan pelaporan proyek untuk proyek-proyek strategis, berdampak tinggi, dan berisiko tinggi.</t>
  </si>
  <si>
    <t>Mengawasi pemilihan dan penerapan metodologi proyek. Mengarahkan pendekatan manajemen risiko untuk proyek-proyek, memastikan risiko dan masalah dikelola sesuai dengan kebijakan organisasi.</t>
  </si>
  <si>
    <t>Memastikan proyek memberikan manfaat yang diharapkan dan berkontribusi pada tujuan jangka panjang.</t>
  </si>
  <si>
    <t>Capacity Management</t>
  </si>
  <si>
    <t>Memastikan komponen layanan memiliki kapasitas dan kinerja untuk memenuhi kebutuhan bisnis saat ini dan yang direncanakan.</t>
  </si>
  <si>
    <t>Membantu memantau kapasitas dan kinerja komponen layanan di bawah bimbingan dan pengawasan rutin.</t>
  </si>
  <si>
    <t>Mengumpulkan dan melaporkan data tentang pemanfaatan sumber daya dan metrik kapasitas.</t>
  </si>
  <si>
    <t>Mendukung penerapan prosedur dan praktik manajemen kapasitas.</t>
  </si>
  <si>
    <t>Memantau kapasitas dan kinerja komponen layanan, mengidentifikasi potensi masalah dan melakukan eskalasi jika diperlukan.</t>
  </si>
  <si>
    <t>Menerapkan prosedur standar untuk mengelola permintaan dan kapasitas.</t>
  </si>
  <si>
    <t>Berpartisipasi dalam kegiatan pemodelan kapasitas dan prakiraan, memberikan masukan dan rekomendasi.</t>
  </si>
  <si>
    <t>Mendukung penerapan alat dan teknik manajemen kapasitas.</t>
  </si>
  <si>
    <t>Memantau kapasitas komponen layanan dan memulai tindakan untuk mengatasi kekurangan sesuai dengan prosedur yang disepakati.</t>
  </si>
  <si>
    <t>Menerapkan teknik untuk mengendalikan permintaan atas sumber daya atau layanan tertentu.</t>
  </si>
  <si>
    <t>Berkontribusi pada pemodelan dan perencanaan kapasitas dengan menggunakan wawasan berbasis data.</t>
  </si>
  <si>
    <t>Mendukung desain kapasitas komponen layanan.</t>
  </si>
  <si>
    <t>Mengelola kegiatan pemodelan dan peramalan kapasitas, menggunakan wawasan berbasis data.</t>
  </si>
  <si>
    <t>Secara proaktif meninjau informasi sehubungan dengan perjanjian tingkat layanan untuk mengidentifikasi masalah kapasitas dan menentukan perubahan yang diperlukan. Memberikan saran untuk mendukung desain komponen layanan, termasuk mendesain dalam kapasitas yang fleksibel dan terukur.</t>
  </si>
  <si>
    <t>Bekerja sama dengan perwakilan bisnis untuk menyetujui dan mengimplementasikan modifikasi kapasitas jangka pendek dan menengah.</t>
  </si>
  <si>
    <t>Menyusun dan memelihara standar dan prosedur untuk manajemen kapasitas komponen layanan. Memastikan penerapan standar dan prosedur yang benar.</t>
  </si>
  <si>
    <t>Memimpin pengembangan dan implementasi kebijakan dan strategi untuk manajemen kapasitas dan kinerja untuk memenuhi kebutuhan bisnis.</t>
  </si>
  <si>
    <t>Memimpin pemodelan dan peramalan kapasitas dalam siklus perencanaan atau penganggaran organisasi dengan menggunakan wawasan berbasis data. Mempertimbangkan faktor eksternal dan tren industri.</t>
  </si>
  <si>
    <t>Memastikan kebijakan dan standar untuk manajemen kapasitas sesuai dengan tujuan, terkini, dan diimplementasikan dengan benar. Mendorong peningkatan berkelanjutan dalam praktik manajemen kapasitas, dengan fokus pada efektivitas biaya dan optimalisasi sumber daya.</t>
  </si>
  <si>
    <t>Meninjau proposal bisnis baru dan memberikan saran khusus tentang masalah kapasitas.</t>
  </si>
  <si>
    <t>Enterprise and Business Architecture</t>
  </si>
  <si>
    <t>Menyelaraskan strategi teknologi organisasi dengan misi, strategi, dan proses bisnisnya, serta mendokumentasikannya dengan menggunakan model arsitektur..</t>
  </si>
  <si>
    <t>Mengembangkan model dan rencana untuk mendorong pelaksanaan strategi bisnis, dengan memanfaatkan peluang untuk meningkatkan kinerja bisnis.</t>
  </si>
  <si>
    <t>Berkontribusi dalam menciptakan dan meninjau strategi kapabilitas sistem yang memenuhi persyaratan strategis bisnis.</t>
  </si>
  <si>
    <t>Membuat dan memelihara peta jalan untuk memandu pelaksanaan strategi bisnis dan peningkatan kapabilitas.</t>
  </si>
  <si>
    <t>Menentukan persyaratan dan menentukan proses bisnis yang efektif, melalui peningkatan teknologi, informasi atau praktik data, organisasi, peran, prosedur, dan peralatan.</t>
  </si>
  <si>
    <t>Mengembangkan arsitektur dan proses di seluruh perusahaan untuk menanamkan manajemen perubahan strategis di dalam organisasi.</t>
  </si>
  <si>
    <t>Memimpin pembuatan dan peninjauan strategi kapabilitas sistem yang diselaraskan dengan persyaratan bisnis. Mengembangkan peta jalan untuk arsitektur dan inisiatif perusahaan, memastikan dukungan pemangku kepentingan.</t>
  </si>
  <si>
    <t>Menangkap dan memprioritaskan tren pasar dan lingkungan, strategi dan tujuan bisnis, serta mengidentifikasi strategi alternatif. Mengembangkan kasus bisnis untuk persetujuan, pendanaan, dan prioritas inisiatif tingkat tinggi.</t>
  </si>
  <si>
    <t>Menetapkan strategi, kebijakan, standar, dan praktik untuk memastikan kesesuaian antara strategi bisnis, strategi teknologi, dan aktivitas transformasi perusahaan.</t>
  </si>
  <si>
    <t>Mengarahkan pengembangan arsitektur dan proses di seluruh perusahaan untuk menanamkan penerapan strategis perubahan dalam manajemen organisasi.</t>
  </si>
  <si>
    <t>Mengarahkan pembuatan dan peninjauan strategi kapabilitas perusahaan untuk mendukung persyaratan strategis bisnis. Mengawasi pembuatan dan penerapan peta jalan untuk memandu transformasi perusahaan jangka panjang dan penyelarasan strategis.</t>
  </si>
  <si>
    <t>Mengidentifikasi manfaat bisnis dari strategi alternatif.</t>
  </si>
  <si>
    <t>Memastikan kesesuaian antara strategi bisnis, aktivitas transformasi perusahaan dan arah teknologi, menetapkan strategi, kebijakan, standar, dan praktik.</t>
  </si>
  <si>
    <t>Solution Architect</t>
  </si>
  <si>
    <t>Mengembangkan dan mengkomunikasikan arsitektur solusi multi-dimensi untuk memberikan hasil bisnis yang telah disepakati.</t>
  </si>
  <si>
    <t>Berkontribusi pada pengembangan arsitektur solusi di area bisnis, infrastruktur, atau fungsional tertentu.</t>
  </si>
  <si>
    <t>Mengidentifikasi dan mengevaluasi arsitektur alternatif dan pertukaran dalam hal biaya, kinerja, dan skalabilitas. Menentukan dan mendokumentasikan keputusan yang signifikan secara arsitektural.</t>
  </si>
  <si>
    <t>Menghasilkan spesifikasi komponen, tingkatan, dan antarmuka berbasis cloud atau di lokasi, untuk diterjemahkan ke dalam desain terperinci menggunakan layanan dan produk yang dipilih.</t>
  </si>
  <si>
    <t>Mendukung proyek atau inisiatif perubahan melalui persiapan rencana teknis dan penerapan prinsip-prinsip desain. Menyelaraskan solusi dengan standar arsitektur perusahaan dan solusi (termasuk keamanan).</t>
  </si>
  <si>
    <t>Memimpin pengembangan arsitektur solusi di area bisnis, infrastruktur, atau fungsional tertentu.</t>
  </si>
  <si>
    <t>Memimpin persiapan rencana teknis dan memastikan sumber daya teknis yang sesuai tersedia. Memastikan alat dan metode yang tepat tersedia, dipahami, dan digunakan dalam pengembangan arsitektur.</t>
  </si>
  <si>
    <t>Memberikan panduan teknis dan tata kelola pada pengembangan dan integrasi solusi. Mengevaluasi permintaan perubahan dan penyimpangan dari spesifikasi dan merekomendasikan tindakan.</t>
  </si>
  <si>
    <t>Memastikan strategi, kebijakan, standar, dan praktik teknis yang relevan (termasuk manajemen keamanan dan biaya) diterapkan dengan benar.</t>
  </si>
  <si>
    <t>Memimpin pengembangan arsitektur untuk solusi yang kompleks guna memastikan konsistensi dengan persyaratan yang telah disepakati.</t>
  </si>
  <si>
    <t>Menetapkan kebijakan, prinsip, dan praktik untuk pemilihan komponen arsitektur solusi.</t>
  </si>
  <si>
    <t>Mengelola pertukaran dan menyeimbangkan persyaratan fungsional, kualitas layanan, efisiensi biaya, dan manajemen sistem dalam area yang signifikan dalam organisasi. Mengomunikasikan usulan keputusan kepada para pemangku kepentingan.</t>
  </si>
  <si>
    <t>Mengkoordinasikan dan mengelola arsitektur target di berbagai proyek atau inisiatif. Mempertahankan arsitektur yang stabil dan layak serta memastikan konsistensi desain dan kepatuhan terhadap standar yang sesuai di berbagai proyek atau inisiatif.</t>
  </si>
  <si>
    <t>Infrastructure Design</t>
  </si>
  <si>
    <t>Merancang infrastruktur teknologi untuk memenuhi kebutuhan bisnis, memastikan skalabilitas, keandalan, keamanan, dan keselarasan dengan tujuan strategis.</t>
  </si>
  <si>
    <t>Membantu mengembangkan spesifikasi desain infrastruktur awal di bawah pengawasan rutin.</t>
  </si>
  <si>
    <t>Menggunakan standar dan protokol keamanan yang telah ditetapkan untuk berkontribusi pada aktivitas desain infrastruktur.</t>
  </si>
  <si>
    <t>Membantu menyusun dokumen dan diagram desain.</t>
  </si>
  <si>
    <t>Mendokumentasikan masalah terkait desain.</t>
  </si>
  <si>
    <t>Melakukan beragam tugas desain infrastruktur, termasuk tugas yang kompleks dan tidak rutin, dengan menggunakan metode standar.</t>
  </si>
  <si>
    <t>Mengembangkan spesifikasi dan diagram desain untuk komponen infrastruktur, mengintegrasikan perangkat keras, perangkat lunak, elemen jaringan, dan layanan cloud, serta menangani persyaratan keamanan.</t>
  </si>
  <si>
    <t>Berkolaborasi dengan pihak lain untuk menyelaraskan desain infrastruktur dengan tujuan organisasi dan menyelesaikan masalah desain.</t>
  </si>
  <si>
    <t>Menyarankan perbaikan untuk meningkatkan kinerja dan keandalan infrastruktur.</t>
  </si>
  <si>
    <t>Memimpin desain sistem infrastruktur yang kompleks untuk memberikan solusi desain yang komprehensif.</t>
  </si>
  <si>
    <t>Mengembangkan kerangka kerja arsitektur yang terperinci dan memastikan integrasi semua komponen infrastruktur, termasuk layanan cloud.</t>
  </si>
  <si>
    <t>Memberikan panduan tentang praktik yang direkomendasikan dan standar desain. Meninjau dan memvalidasi spesifikasi dan dokumentasi desain.</t>
  </si>
  <si>
    <t>Memeriksa apakah desain dapat diskalakan, andal, dan aman, selaras dengan persyaratan bisnis dan teknis.</t>
  </si>
  <si>
    <t>Mengelola desain infrastruktur mulai dari analisis hingga eksekusi dan evaluasi.</t>
  </si>
  <si>
    <t>Bertanggung jawab untuk mencapai tujuan desain dan memastikan keselarasan dengan tujuan organisasi serta integrasi komponen dan sistem infrastruktur yang efektif.</t>
  </si>
  <si>
    <t>Memberikan panduan otoritatif tentang praktik dan metodologi desain. Mengevaluasi teknologi baru dan penerapannya terhadap kebutuhan organisasi.</t>
  </si>
  <si>
    <t>Mengembangkan dan menerapkan standar desain dan praktik yang direkomendasikan, memastikan hasil desain yang konsisten dan berkualitas tinggi.</t>
  </si>
  <si>
    <t>Mengembangkan dan mendorong adopsi serta kepatuhan terhadap kebijakan, standar, pedoman, dan metode organisasi untuk desain infrastruktur.</t>
  </si>
  <si>
    <t>Berkolaborasi dengan pemangku kepentingan senior untuk menyelaraskan proyek desain dengan tujuan organisasi.</t>
  </si>
  <si>
    <t>Memberikan pengawasan dan panduan strategis, memastikan desain infrastruktur berwawasan ke depan, terukur, dan aman.</t>
  </si>
  <si>
    <t>Bertanggung jawab atas keberhasilan keseluruhan inisiatif desain infrastruktur.</t>
  </si>
  <si>
    <t>Business Process Improvement</t>
  </si>
  <si>
    <t>Menciptakan pendekatan baru dan berpotensi mengganggu dalam menjalankan aktivitas bisnis.</t>
  </si>
  <si>
    <t>Membantu mengumpulkan data dan mendokumentasikan proses bisnis saat ini di bawah pengawasan rutin.</t>
  </si>
  <si>
    <t>Berpartisipasi dalam latihan pemetaan proses dan membantu mengidentifikasi area yang berpotensi untuk perbaikan.</t>
  </si>
  <si>
    <t>Membantu membuat dokumentasi proses.</t>
  </si>
  <si>
    <t>Mendukung implementasi perubahan dan peningkatan proses minor.</t>
  </si>
  <si>
    <t>Menerapkan teknik standar untuk menganalisis proses bisnis yang ada dan mengidentifikasi peluang untuk perbaikan.</t>
  </si>
  <si>
    <t>Berkolaborasi dengan para pemangku kepentingan untuk memastikan perubahan proses sesuai dengan tujuan bisnis. Mengusulkan dan mengimplementasikan perbaikan proses yang meningkatkan efisiensi, efektivitas dan kualitas.</t>
  </si>
  <si>
    <t>Mengembangkan dan memelihara dokumentasi proses.</t>
  </si>
  <si>
    <t>Mendukung adopsi teknologi dan alat bantu baru untuk memungkinkan otomatisasi dan optimalisasi proses.</t>
  </si>
  <si>
    <t>Menganalisis dan merancang proses bisnis untuk mengidentifikasi solusi alternatif guna meningkatkan efisiensi, efektivitas, serta memanfaatkan teknologi dan otomatisasi baru.</t>
  </si>
  <si>
    <t>Mengembangkan model grafis proses bisnis untuk memfasilitasi pemahaman dan pengambilan keputusan.</t>
  </si>
  <si>
    <t>Merekomendasikan pendekatan implementasi untuk inisiatif peningkatan proses.</t>
  </si>
  <si>
    <t>Mengelola pelaksanaan peningkatan proses bisnis.</t>
  </si>
  <si>
    <t>Menilai kelayakan perubahan proses bisnis dan merekomendasikan pendekatan alternatif.</t>
  </si>
  <si>
    <t>Memilih, menyesuaikan dan mengimplementasikan metode dan alat bantu untuk meningkatkan proses bisnis di tingkat program, proyek atau tim.</t>
  </si>
  <si>
    <t>Berkontribusi pada definisi kebijakan organisasi, standar dan pedoman untuk peningkatan proses bisnis.</t>
  </si>
  <si>
    <t>Merencanakan dan memimpin kegiatan peningkatan proses bisnis yang strategis, besar dan kompleks yang selaras dengan otomatisasi, atau memanfaatkan teknologi yang sudah ada atau yang baru.</t>
  </si>
  <si>
    <t>Mengembangkan kebijakan, standar, dan pedoman organisasi untuk peningkatan proses bisnis.</t>
  </si>
  <si>
    <t>Memimpin pengenalan teknik, metodologi, dan alat bantu untuk memenuhi persyaratan bisnis, memastikan konsistensi di semua kelompok pengguna.</t>
  </si>
  <si>
    <t>Memimpin pengembangan kapabilitas organisasi untuk peningkatan proses bisnis dan memastikan adopsi dan kepatuhan terhadap kebijakan dan standar.</t>
  </si>
  <si>
    <t>Mengarahkan identifikasi, evaluasi, dan adopsi teknologi baru atau yang sudah ada untuk meningkatkan proses bisnis.</t>
  </si>
  <si>
    <t>Menyelaraskan strategi bisnis, transformasi perusahaan, dan strategi teknologi.</t>
  </si>
  <si>
    <t>Menanamkan peningkatan proses bisnis strategis ke dalam tata kelola dan kepemimpinan organisasi.</t>
  </si>
  <si>
    <t>Mengarahkan penciptaan dan peninjauan pendekatan dan budaya lintas fungsi, di seluruh perusahaan untuk merangkul manajemen proses bisnis.</t>
  </si>
  <si>
    <t>Data Modelling and Design</t>
  </si>
  <si>
    <t>Mengembangkan model dan diagram untuk merepresentasikan, mengkomunikasikan, dan mengelola kebutuhan data dan aset data.</t>
  </si>
  <si>
    <t>Membuat, memodifikasi, atau memelihara struktur data sederhana dan komponen terkait.</t>
  </si>
  <si>
    <t>Menggunakan teknik pemodelan dan desain data tertentu di bawah bimbingan.</t>
  </si>
  <si>
    <t>Menerapkan teknik pemodelan dan desain data standar berdasarkan pemahaman yang mendetail tentang persyaratan organisasi.</t>
  </si>
  <si>
    <t>Menetapkan, memodifikasi, dan memelihara struktur data dan komponen terkait.</t>
  </si>
  <si>
    <t>Mengkomunikasikan dan menjelaskan detail struktur dan komponen data kepada orang lain.</t>
  </si>
  <si>
    <t>Menyelidiki kebutuhan data perusahaan yang memiliki kompleksitas dan ambiguitas.</t>
  </si>
  <si>
    <t>Merencanakan aktivitas pemodelan dan desain data, memilih teknik dan tingkat detail yang sesuai untuk memenuhi tujuan.</t>
  </si>
  <si>
    <t>Memberikan saran dan panduan kepada orang lain yang menggunakan struktur data dan komponen terkait.</t>
  </si>
  <si>
    <t>Menetapkan standar untuk pemodelan data dan alat serta teknik desain, memberikan saran tentang penerapannya dan memastikan kepatuhan.</t>
  </si>
  <si>
    <t>Mengelola investigasi kebutuhan data perusahaan berdasarkan pemahaman yang mendetail tentang kebutuhan informasi.</t>
  </si>
  <si>
    <t>Mengkoordinasikan penerapan teknik analisis, desain, dan pemodelan untuk membangun, memodifikasi, atau memelihara struktur data dan komponen-komponen terkait.</t>
  </si>
  <si>
    <t>Mengelola iterasi, tinjauan dan pemeliharaan persyaratan data dan model data.</t>
  </si>
  <si>
    <t>Merencanakan, mengimplementasikan, dan mengendalikan aktivitas untuk mengintegrasikan elemen sistem, subsistem, dan antarmuka untuk menciptakan sistem operasional, produk, atau layanan.</t>
  </si>
  <si>
    <t>Menghasilkan build dari komponen sistem menggunakan alat dan proses otomatisasi build yang sesuai.</t>
  </si>
  <si>
    <t>Melakukan pengujian seperti yang ditentukan dalam spesifikasi pengujian integrasi dan mencatat rincian kegagalan.</t>
  </si>
  <si>
    <t>Menganalisis dan melaporkan aktivitas dan hasil uji integrasi.</t>
  </si>
  <si>
    <t>Mengidentifikasi dan melaporkan masalah dan risiko.</t>
  </si>
  <si>
    <t>Mendefinisikan modul dan komponen serta ketergantungan yang diperlukan untuk pembangunan integrasi dan menghasilkan definisi pembangunan.</t>
  </si>
  <si>
    <t>Menerima modul dan komponen yang telah selesai, memeriksa apakah mereka memenuhi kriteria yang ditentukan. Menghasilkan build dari komponen sistem untuk dimuat ke lingkungan target.</t>
  </si>
  <si>
    <t>Mengkonfigurasi perangkat keras, perangkat lunak, dan lingkungan infrastruktur sesuai kebutuhan sistem yang sedang diintegrasikan.</t>
  </si>
  <si>
    <t>Membuat spesifikasi pengujian integrasi, melakukan pengujian, serta mencatat dan melaporkan hasilnya. Mendiagnosis kesalahan dan mendokumentasikan hasil pengujian. Menghasilkan laporan integrasi sistem.</t>
  </si>
  <si>
    <t>Menyediakan keahlian teknis untuk memungkinkan konfigurasi komponen sistem dan peralatan untuk pengujian sistem.</t>
  </si>
  <si>
    <t>Berkolaborasi dengan tim teknis untuk mengembangkan dan menyetujui rencana integrasi sistem serta melaporkan kemajuannya. Mendefinisikan pembangunan integrasi yang kompleks/baru. Memastikan lingkungan pengujian integrasi dikonfigurasi dengan benar.</t>
  </si>
  <si>
    <t>Merancang, melakukan, dan melaporkan hasil pengujian integrasi. Mengidentifikasi dan mendokumentasikan komponen integrasi sistem untuk dicatat dalam sistem manajemen konfigurasi.</t>
  </si>
  <si>
    <t>Merencanakan dan mendorong kegiatan untuk mengembangkan integrasi sistem organisasi dan membangun kemampuan termasuk otomatisasi dan integrasi berkelanjutan.</t>
  </si>
  <si>
    <t>Mengidentifikasi, mengevaluasi, dan mengelola penggunaan alat, teknik, dan proses untuk menciptakan kerangka kerja integrasi yang kuat. Memberikan saran dan panduan yang otoritatif tentang segala aspek integrasi sistem.</t>
  </si>
  <si>
    <t>Memimpin pekerjaan integrasi sesuai dengan desain sistem dan layanan yang telah disepakati. Menilai risiko dan mengambil tindakan pencegahan. Mengukur dan memantau penerapan standar.</t>
  </si>
  <si>
    <t>Berkontribusi pada pengembangan kebijakan, standar, dan pedoman organisasi untuk integrasi sistem.</t>
  </si>
  <si>
    <t>Memimpin pengembangan integrasi sistem organisasi dan membangun kapabilitas termasuk otomatisasi dan integrasi berkelanjutan.</t>
  </si>
  <si>
    <t>Mengembangkan kebijakan, standar, dan pedoman organisasi untuk integrasi dan pembangunan sistem.</t>
  </si>
  <si>
    <t>Menyediakan sumber daya untuk memastikan integrasi dan pembangunan sistem dapat beroperasi secara efektif dan memastikan adopsi dan kepatuhan terhadap kebijakan dan standar.</t>
  </si>
  <si>
    <t>Requirements definition and Management</t>
  </si>
  <si>
    <t>Mengelola persyaratan di seluruh siklus pengiriman dan pengembangan sistem atau aplikasi.</t>
  </si>
  <si>
    <t>Menggunakan teknik standar untuk mendapatkan, menentukan, dan mendokumentasikan persyaratan untuk area subjek yang sederhana dengan batasan yang jelas.</t>
  </si>
  <si>
    <t>Membantu dalam definisi dan manajemen persyaratan.</t>
  </si>
  <si>
    <t>Membantu dalam pembuatan baseline/backlog persyaratan.</t>
  </si>
  <si>
    <t>Membantu dalam menyelidiki dan menerapkan perubahan pada persyaratan.</t>
  </si>
  <si>
    <t>Mendefinisikan dan mengelola cakupan, definisi persyaratan, dan aktivitas prioritas untuk perubahan skala kecil dan membantu inisiatif perubahan yang lebih kompleks.</t>
  </si>
  <si>
    <t>Mengikuti standar yang telah disepakati dan menerapkan teknik yang tepat untuk mendapatkan dan mendokumentasikan persyaratan yang terperinci. Memberikan tantangan konstruktif kepada para pemangku kepentingan sesuai kebutuhan. Meninjau persyaratan untuk kesalahan dan kelalaian.</t>
  </si>
  <si>
    <t>Memprioritaskan persyaratan dan mendokumentasikan ketertelusuran ke sumbernya.</t>
  </si>
  <si>
    <t>Memberikan masukan ke baseline/backlog persyaratan. Menyelidiki, mengelola, dan menerapkan permintaan perubahan persyaratan, sejalan dengan kebijakan manajemen perubahan.</t>
  </si>
  <si>
    <t>Mendefinisikan dan mengelola cakupan, definisi persyaratan, dan aktivitas prioritas untuk inisiatif dengan ukuran dan kompleksitas menengah.</t>
  </si>
  <si>
    <t>Berkontribusi dalam memilih pendekatan persyaratan.</t>
  </si>
  <si>
    <t>Memfasilitasi masukan dari para pemangku kepentingan, memberikan tantangan yang konstruktif dan memungkinkan prioritisasi persyaratan yang efektif.</t>
  </si>
  <si>
    <t>Menetapkan baseline atau daftar kebutuhan, memperoleh persetujuan yang sesuai dengan kebutuhan dan memastikan penelusuran ke sumbernya.</t>
  </si>
  <si>
    <t>Merencanakan dan mendorong kegiatan cakupan, definisi persyaratan, dan prioritas untuk inisiatif yang besar dan kompleks.</t>
  </si>
  <si>
    <t>Memilih, mengadopsi, dan mengadaptasi metode, alat, dan teknik definisi dan manajemen persyaratan yang sesuai. Berkontribusi pada pengembangan metode dan standar organisasi untuk manajemen persyaratan.</t>
  </si>
  <si>
    <t>Memperoleh masukan dan persetujuan terhadap persyaratan dari berbagai pemangku kepentingan. Bernegosiasi dengan para pemangku kepentingan untuk mengelola prioritas dan konflik yang terjadi.</t>
  </si>
  <si>
    <t>Menetapkan garis dasar persyaratan atau daftar kebutuhan. Memastikan perubahan pada persyaratan diselidiki dan dikelola.</t>
  </si>
  <si>
    <t>Memperjuangkan pentingnya dan nilai dari prinsip-prinsip manajemen persyaratan dan memilih model siklus hidup manajemen persyaratan yang efektif.</t>
  </si>
  <si>
    <t>Mengembangkan kebijakan, standar, dan pedoman organisasi untuk definisi dan manajemen persyaratan.</t>
  </si>
  <si>
    <t>Merencanakan dan memimpin pelingkupan, definisi persyaratan, dan penetapan prioritas untuk program strategis yang kompleks.</t>
  </si>
  <si>
    <t>Mendorong adopsi dan kepatuhan terhadap kebijakan dan standar. Mengembangkan metode baru dan kemampuan organisasi untuk manajemen persyaratan.</t>
  </si>
  <si>
    <t>INFRASTRUCTURE</t>
  </si>
  <si>
    <t>Infrastructure Operations</t>
  </si>
  <si>
    <t>Penyediaan, penerapan, konfigurasi, pengoperasian, dan pengoptimalan infrastruktur teknologi di seluruh lingkungan fisik, virtual, dan berbasis cloud.</t>
  </si>
  <si>
    <t>Mendukung tugas-tugas infrastruktur rutin dan pemecahan masalah dasar di bawah pengawasan yang ketat.</t>
  </si>
  <si>
    <t>Memantau kesehatan infrastruktur dan melaporkan status komponen untuk mendukung kelangsungan operasional.</t>
  </si>
  <si>
    <t>Menjalankan prosedur operasional, menjalankan skrip otomatisasi, dan melakukan pemeliharaan rutin, pemasangan, dan pemantauan komponen infrastruktur.</t>
  </si>
  <si>
    <t>Menyesuaikan tugas otomatisasi seperti yang diinstruksikan untuk memenuhi standar operasional.</t>
  </si>
  <si>
    <t>Melaporkan kinerja infrastruktur dan kejadian keamanan, menangani masalah secara langsung jika memungkinkan atau meneruskannya ke pihak lain untuk diselesaikan.</t>
  </si>
  <si>
    <t>Menyediakan, menerapkan, dan mengonfigurasi layanan dan komponen infrastruktur.</t>
  </si>
  <si>
    <t>Memantau infrastruktur untuk mengetahui beban, kinerja, dan peristiwa keamanan. Melaporkan metrik dan menyelesaikan masalah operasional.</t>
  </si>
  <si>
    <t>Menjalankan prosedur operasional standar, termasuk pencadangan dan pemulihan.</t>
  </si>
  <si>
    <t>Melaksanakan tugas pemeliharaan perangkat lunak sistem yang telah disepakati. Mengotomatiskan tugas administrasi sistem rutin sesuai spesifikasi menggunakan alat standar dan skrip dasar.</t>
  </si>
  <si>
    <t>Menerapkan keahlian teknis untuk memelihara dan mengoptimalkan infrastruktur teknologi, melaksanakan pembaruan dan menggunakan alat bantu otomatisasi.</t>
  </si>
  <si>
    <t>Mengonfigurasi alat bantu dan/atau membuat skrip untuk mengotomatiskan tugas-tugas infrastruktur. Memelihara prosedur operasional dan memeriksa apakah prosedur tersebut dipatuhi, termasuk kepatuhan terhadap kebijakan keamanan. Menggunakan alat bantu manajemen infrastruktur untuk memantau metrik beban, kinerja, dan keamanan.</t>
  </si>
  <si>
    <t>Menyelidiki dan memungkinkan penyelesaian masalah terkait operasional dan keamanan. Memberikan laporan dan usulan perbaikan kepada para pemangku kepentingan.</t>
  </si>
  <si>
    <t>Berkontribusi pada perencanaan dan pelaksanaan pemeliharaan dan pembaruan infrastruktur. Menerapkan perubahan infrastruktur yang telah disepakati dan rutinitas pemeliharaan.</t>
  </si>
  <si>
    <t>Memberikan kepemimpinan teknis untuk mengoptimalkan kinerja infrastruktur teknologi.</t>
  </si>
  <si>
    <t>Mendorong penggunaan alat bantu dan proses otomatis untuk manajemen operasional dan pengiriman yang efektif.</t>
  </si>
  <si>
    <t>Mengawasi perencanaan, pemasangan, pemeliharaan, dan penerimaan komponen infrastruktur yang baru dan yang telah diperbarui serta layanan berbasis infrastruktur. Menyelaraskan dengan ekspektasi layanan, persyaratan keamanan, dan standar kualitas lainnya.</t>
  </si>
  <si>
    <t>Memastikan prosedur dan dokumentasi operasional terkini dan efektif, melacak dan menangani masalah operasional dan melaporkannya kepada para pemangku kepentingan.</t>
  </si>
  <si>
    <t>Network Design</t>
  </si>
  <si>
    <t>Merancang jaringan komunikasi untuk memenuhi kebutuhan bisnis, memastikan skalabilitas, keandalan, keamanan, dan keselarasan dengan tujuan strategis.</t>
  </si>
  <si>
    <t>Membantu menentukan konfigurasi untuk jaringan dan komponen jaringan di bawah pengawasan rutin.</t>
  </si>
  <si>
    <t>Mengikuti arsitektur jaringan, standar, dan protokol keamanan yang telah ditetapkan.</t>
  </si>
  <si>
    <t>Membantu mendokumentasikan konfigurasi jaringan dan membuat spesifikasi jaringan yang terperinci di bawah panduan, dengan memasukkan aspek keamanan yang relevan.</t>
  </si>
  <si>
    <t>Menentukan konfigurasi teknis dan komponen yang diperlukan untuk jaringan kecil atau segmen jaringan dalam infrastruktur yang lebih kompleks.</t>
  </si>
  <si>
    <t>Mengikuti arsitektur, standar, dan pedoman keamanan organisasi.</t>
  </si>
  <si>
    <t>Merancang komponen jaringan tertentu menggunakan arsitektur, standar desain, pola, dan metodologi yang telah disepakati.</t>
  </si>
  <si>
    <t>Menerjemahkan desain logis ke dalam desain fisik yang memenuhi parameter operasional yang ditentukan untuk kapasitas dan kinerja.</t>
  </si>
  <si>
    <t>Meninjau dan memverifikasi desain jaringan terhadap persyaratan non-fungsional, termasuk prosedur validasi dan koreksi kesalahan, akses, keamanan, dan kontrol audit.</t>
  </si>
  <si>
    <t>Berkontribusi pada pengembangan rutinitas pemulihan dan prosedur kontingensi. Berkontribusi pada arsitektur jaringan alternatif, topologi jaringan, dan opsi desain.</t>
  </si>
  <si>
    <t>Membuat, atau menyetujui arsitektur jaringan, topologi, dan basis data konfigurasi dari penyedia jaringan, untuk area tanggung jawabnya sendiri.</t>
  </si>
  <si>
    <t>Menentukan parameter desain untuk konektivitas jaringan, kapasitas, kecepatan, antarmuka, keamanan, dan akses, sesuai dengan kebutuhan bisnis.</t>
  </si>
  <si>
    <t>Menilai risiko terkait jaringan dan menentukan rutinitas pemulihan serta prosedur kontinjensi.</t>
  </si>
  <si>
    <t>Menciptakan beberapa pandangan desain untuk mengatasi masalah berbagai pemangku kepentingan dan untuk menangani persyaratan fungsional dan non-fungsional.</t>
  </si>
  <si>
    <t>Bertanggung jawab atas aspek-aspek utama dari spesifikasi jaringan, standar, teknologi, dan model desain jaringan secara keseluruhan di dalam organisasi.</t>
  </si>
  <si>
    <t>Menghasilkan kebijakan, prinsip, dan kriteria desain jaringan yang mencakup konektivitas, kapasitas, antarmuka, keamanan, ketahanan, pemulihan, dan akses.</t>
  </si>
  <si>
    <t>Mengembangkan dan mendorong adopsi dan kepatuhan terhadap kebijakan, standar, pedoman, dan metode organisasi untuk desain jaringan.</t>
  </si>
  <si>
    <t>Availability Management</t>
  </si>
  <si>
    <t>Memastikan layanan memberikan tingkat ketersediaan yang disepakati untuk memenuhi kebutuhan bisnis saat ini dan di masa depan.</t>
  </si>
  <si>
    <t>Melakukan tugas manajemen ketersediaan yang telah ditetapkan, seperti pemantauan rutin dan pengumpulan data.</t>
  </si>
  <si>
    <t>Menguji prosedur pemulihan bencana di bawah arahan dan berkontribusi pada dokumentasi rencana pemulihan.</t>
  </si>
  <si>
    <t>Membantu pengoperasian alat dan proses manajemen ketersediaan.</t>
  </si>
  <si>
    <t>Memantau komponen layanan terhadap standar kinerja yang telah disepakati dan melaporkan setiap penyimpangan.</t>
  </si>
  <si>
    <t>Menganalisis ketersediaan, keandalan, pemeliharaan, dan kemudahan servis layanan dan komponen.</t>
  </si>
  <si>
    <t>Berkontribusi pada proses manajemen ketersediaan dan pengoperasiannya.</t>
  </si>
  <si>
    <t>Memantau dan memelihara layanan dan komponen untuk memastikan kepatuhan yang berkelanjutan terhadap target kinerja dan tingkat layanan yang telah disepakati.</t>
  </si>
  <si>
    <t>Menerapkan pengaturan pemulihan bencana dan mendokumentasikan prosedur pemulihan. Melakukan pengujian terhadap prosedur pemulihan.</t>
  </si>
  <si>
    <t>Memberikan saran dan panduan tentang perencanaan, desain, dan peningkatan ketersediaan layanan dan komponen.</t>
  </si>
  <si>
    <t>Menyelidiki semua pelanggaran target ketersediaan dan tidak tersedianya layanan serta memulai kegiatan perbaikan.</t>
  </si>
  <si>
    <t>Mengembangkan rencana pemulihan bencana bersama dengan proses pendukungnya.</t>
  </si>
  <si>
    <t>Menetapkan kebijakan dan mengembangkan strategi, rencana, dan proses untuk memastikan layanan memberikan tingkat ketersediaan yang disepakati.</t>
  </si>
  <si>
    <t>Mengembangkan dan mengimplementasikan alat dan teknik ketersediaan baru.</t>
  </si>
  <si>
    <t>Deployment Management</t>
  </si>
  <si>
    <t>Mentransisikan perangkat lunak dari pengembangan ke penggunaan langsung, mengelola risiko, dan memastikan perangkat lunak tersebut berfungsi sebagaimana mestinya.</t>
  </si>
  <si>
    <t>Membantu penerapan rilis dan pembaruan perangkat lunak di bawah pengawasan rutin.</t>
  </si>
  <si>
    <t>Menjalankan proses dan prosedur penerapan yang telah ditetapkan dengan menggunakan alat dan teknik penerapan.</t>
  </si>
  <si>
    <t>Memantau aplikasi yang diterapkan dan melaporkan masalah.</t>
  </si>
  <si>
    <t>Membantu mengembalikan penerapan bila diperlukan.</t>
  </si>
  <si>
    <t>Menerapkan rilis perangkat lunak dan pembaruan ke lingkungan produksi.</t>
  </si>
  <si>
    <t>Menggunakan alat dan teknik penerapan untuk memastikan penerapan yang konsisten. Memantau dan memecahkan masalah proses penerapan.</t>
  </si>
  <si>
    <t>Melakukan rollback penerapan jika terjadi masalah atau kegagalan.</t>
  </si>
  <si>
    <t>Berkolaborasi dengan manajemen rilis dan tim operasi.</t>
  </si>
  <si>
    <t>Merencanakan dan melaksanakan penerapan rilis dan pembaruan perangkat lunak yang kompleks.</t>
  </si>
  <si>
    <t>Mengelola penerapan berkelanjutan menggunakan alat dan teknik otomatisasi. Mengembangkan dan memelihara proses, prosedur, dan skrip penerapan.</t>
  </si>
  <si>
    <t>Memantau dan mengoptimalkan proses penerapan untuk efisiensi dan keandalan. Memastikan ketersediaan, kinerja, dan keamanan aplikasi yang digunakan.</t>
  </si>
  <si>
    <t>Berkolaborasi dengan tim lintas fungsi.</t>
  </si>
  <si>
    <t>Merancang dan mengimplementasikan pendekatan penerapan, proses, dan alat bantu otomatisasi untuk organisasi.</t>
  </si>
  <si>
    <t>Mengawasi penerapan perangkat lunak yang penting dan berskala besar. Memastikan proses penerapan selaras dengan standar organisasi dan praktik yang direkomendasikan.</t>
  </si>
  <si>
    <t>Terus meningkatkan proses penerapan dan kemampuan otomatisasi.</t>
  </si>
  <si>
    <t>Menentukan strategi pemantauan dan peringatan untuk aplikasi yang diterapkan.</t>
  </si>
  <si>
    <t>Mendefinisikan strategi, kebijakan, dan standar penerapan organisasi.</t>
  </si>
  <si>
    <t>Menyelaraskan praktik penerapan dengan keseluruhan operasi dan tujuan pemberian layanan.</t>
  </si>
  <si>
    <t>Memastikan ketersediaan sumber daya dan alat untuk penerapan yang efektif.</t>
  </si>
  <si>
    <t>Mendorong penerapan teknik dan teknologi penerapan baru. Berkolaborasi dengan pemangku kepentingan senior untuk memastikan penerapan memenuhi strategi dan tujuan bisnis.</t>
  </si>
  <si>
    <t>Service Catalogue Management</t>
  </si>
  <si>
    <t>Menyediakan sumber informasi yang konsisten mengenai layanan dan produk yang tersedia bagi pelanggan dan pengguna termasuk SLA nya.</t>
  </si>
  <si>
    <t>Membantu tugas-tugas manajemen katalog layanan di bawah pengawasan rutin.</t>
  </si>
  <si>
    <t>Mendukung pengumpulan dan pembaruan informasi layanan dan produk.</t>
  </si>
  <si>
    <t>Membantu menjaga keakuratan dan relevansi katalog layanan.</t>
  </si>
  <si>
    <t>Mengumpulkan informasi yang dibutuhkan untuk mengisi katalog layanan.</t>
  </si>
  <si>
    <t>Mengedit dan memelihara deskripsi layanan dan produk serta selalu memperbarui daftar layanan yang tersedia.</t>
  </si>
  <si>
    <t>Bertindak sebagai titik kontak, menerima dan menangani pembaruan rutin untuk katalog layanan.</t>
  </si>
  <si>
    <t>Mengidentifikasi peluang untuk meningkatkan proses manajemen katalog layanan.</t>
  </si>
  <si>
    <t>Berkontribusi pada desain dan implementasi katalog layanan.</t>
  </si>
  <si>
    <t>Memungkinkan otomatisasi permintaan layanan dan pemenuhan pesanan.</t>
  </si>
  <si>
    <t>Memberikan saran dan panduan tentang informasi yang akan dimasukkan dalam katalog layanan.</t>
  </si>
  <si>
    <t>Berkontribusi pada tinjauan dan peningkatan katalog dan proses manajemen katalog layanan.</t>
  </si>
  <si>
    <t>Mengelola pembuatan dan pemeliharaan katalog layanan.</t>
  </si>
  <si>
    <t>Memastikan katalog layanan lengkap dan terkini. Bekerja sama dengan pemilik layanan untuk memastikan konsistensi dan keakuratan entri katalog layanan.</t>
  </si>
  <si>
    <t>Menyelesaikan tinjauan katalog secara berkala dengan para pemangku kepentingan untuk memastikan relevansi dengan kebutuhan dan persyaratan bisnis.</t>
  </si>
  <si>
    <t>Mengelola proses manajemen katalog layanan.</t>
  </si>
  <si>
    <t>SYSTEM DEVELOPMENT</t>
  </si>
  <si>
    <t>System and Software LifeCycle Engineering</t>
  </si>
  <si>
    <t>Membangun dan menerapkan lingkungan untuk mengembangkan, terus meningkatkan, dan mengoperasikan produk dan layanan perangkat lunak serta sistem dengan aman.</t>
  </si>
  <si>
    <t>Memberikan dukungan untuk menerapkan praktik siklus hidup sistem dan perangkat lunak dengan menerapkan metode dan prosedur yang telah ditetapkan.</t>
  </si>
  <si>
    <t>Mendukung otomatisasi dan proses integrasi berkelanjutan di bawah arahan.</t>
  </si>
  <si>
    <t>Memantau dan melaporkan efektivitas aktivitas manajemen siklus hidup.</t>
  </si>
  <si>
    <t>Berkontribusi pada dokumentasi dan pemeliharaan alat dan praktik siklus hidup.</t>
  </si>
  <si>
    <t>Memunculkan persyaratan untuk praktik kerja dan otomatisasi siklus hidup sistem dan perangkat lunak.</t>
  </si>
  <si>
    <t>Mempersiapkan opsi desain untuk lingkungan kerja metode, prosedur, teknik, alat, dan orang.</t>
  </si>
  <si>
    <t>Memilih sistem dan praktik kerja siklus hidup perangkat lunak untuk komponen perangkat lunak dan layanan mikro.</t>
  </si>
  <si>
    <t>Menerapkan otomatisasi untuk mencapai hasil yang direkayasa dengan baik dan aman.</t>
  </si>
  <si>
    <t>Berkolaborasi dengan mereka yang bertanggung jawab atas sistem yang sedang berjalan dan manajemen siklus hidup perangkat lunak untuk memilih, mengadopsi, dan mengadaptasi praktik kerja.</t>
  </si>
  <si>
    <t>Mendukung penerapan lingkungan kerja untuk praktik kerja siklus hidup sistem dan perangkat lunak.</t>
  </si>
  <si>
    <t>Memberikan umpan balik yang efektif untuk mendorong pengembangan individu dan tim yang bertanggung jawab atas praktik kerja siklus hidup sistem dan perangkat lunak. Memberikan panduan dan memberikan saran untuk mendukung peningkatan berkelanjutan dan pendekatan pembelajaran.</t>
  </si>
  <si>
    <t>Berkontribusi dalam mengidentifikasi domain baru di dalam organisasi di mana praktik kerja siklus hidup sistem dan perangkat lunak dapat diterapkan.</t>
  </si>
  <si>
    <t>Memperoleh komitmen organisasi terhadap strategi untuk menerapkan praktik kerja siklus hidup sistem dan perangkat lunak untuk mencapai tujuan bisnis.</t>
  </si>
  <si>
    <t>Bekerja sama dengan pihak lain untuk mengintegrasikan kebijakan, standar, dan teknik organisasi di seluruh siklus hidup perangkat lunak dan sistem.</t>
  </si>
  <si>
    <t>Mengembangkan dan menerapkan lingkungan kerja yang mendukung sistem dan praktik siklus hidup perangkat lunak untuk produk dan layanan yang strategis, besar, dan kompleks.</t>
  </si>
  <si>
    <t>Memimpin kegiatan untuk mengelola risiko yang terkait dengan praktik kerja siklus hidup sistem dan perangkat lunak. Merencanakan dan mengelola evaluasi atau penilaian praktik kerja siklus hidup sistem dan perangkat lunak</t>
  </si>
  <si>
    <t>Mewakili dan memimpin praktik kerja siklus hidup sistem dan perangkat lunak pada tingkat tertinggi dalam organisasi.</t>
  </si>
  <si>
    <t>Mengidentifikasi peluang untuk inovasi dalam praktik kerja siklus hidup sistem dan perangkat lunak untuk mencapai tujuan dan sasaran organisasi.</t>
  </si>
  <si>
    <t>Memimpin perubahan budaya dan lingkungan yang penting dan mengomunikasikan manfaatnya kepada semua pemangku kepentingan.</t>
  </si>
  <si>
    <t>Mengawasi kualitas pekerjaan yang dilakukan dan memberikan manfaat bisnis yang terukur.</t>
  </si>
  <si>
    <t>System Design</t>
  </si>
  <si>
    <t>Merancang sistem untuk memenuhi persyaratan yang ditentukan dan arsitektur sistem yang disepakati.</t>
  </si>
  <si>
    <t>Membantu dalam pembuatan dan dokumentasi elemen desain sistem di bawah pengawasan rutin.</t>
  </si>
  <si>
    <t>Mengikuti prosedur dan pedoman yang telah ditetapkan.</t>
  </si>
  <si>
    <t>Membantu membuat dan memelihara dokumentasi.</t>
  </si>
  <si>
    <t>Mengikuti pendekatan standar dan pola desain yang sudah ada untuk membuat desain baru untuk sistem atau komponen sistem yang sederhana.</t>
  </si>
  <si>
    <t>Mengidentifikasi dan menyelesaikan masalah desain kecil.</t>
  </si>
  <si>
    <t>Mengidentifikasi opsi desain alternatif dan mencari panduan ketika menyimpang dari pola desain yang sudah ada.</t>
  </si>
  <si>
    <t>Merancang komponen sistem menggunakan teknik pemodelan yang sesuai dengan mengikuti arsitektur, standar desain, pola, dan metodologi yang telah disepakati.</t>
  </si>
  <si>
    <t>Mengidentifikasi dan mengevaluasi opsi desain alternatif dan pertukaran. Menciptakan beberapa pandangan desain untuk mengatasi masalah berbagai pemangku kepentingan dan untuk menangani persyaratan fungsional dan non-fungsional.</t>
  </si>
  <si>
    <t>Membuat model, simulasi, atau prototipe perilaku komponen sistem yang diusulkan untuk memungkinkan persetujuan dari para pemangku kepentingan.</t>
  </si>
  <si>
    <t>Menghasilkan spesifikasi desain yang terperinci untuk menjadi dasar pembangunan sistem. Meninjau, memverifikasi, dan meningkatkan desain sendiri terhadap spesifikasi.</t>
  </si>
  <si>
    <t>Merancang sistem yang besar atau kompleks dan melakukan analisis dampak pada opsi desain utama dan trade-off.</t>
  </si>
  <si>
    <t>Memastikan desain sistem menyeimbangkan persyaratan fungsional dan non-fungsional.</t>
  </si>
  <si>
    <t>Meninjau desain sistem dan memastikan metode, alat, dan teknik yang tepat diterapkan secara efektif. Membuat rekomendasi dan menilai serta mengelola risiko terkait.</t>
  </si>
  <si>
    <t>Mengadopsi dan mengadaptasi metode, alat, dan teknik desain sistem. Berkontribusi pada pengembangan kebijakan desain sistem, standar, dan pemilihan komponen arsitektur.</t>
  </si>
  <si>
    <t>Mengembangkan dan mendorong pengadopsian dan kepatuhan terhadap kebijakan, standar, pedoman, dan metode organisasi untuk desain sistem.</t>
  </si>
  <si>
    <t>Memperjuangkan pentingnya dan nilai dari prinsip-prinsip desain sistem dan pemilihan model siklus hidup desain sistem yang tepat.</t>
  </si>
  <si>
    <t>Memimpin kegiatan desain sistem untuk program pengembangan sistem yang strategis, besar, dan kompleks. Mengembangkan strategi implementasi yang efektif yang konsisten dengan persyaratan, arsitektur, dan batasan kinerja dan kelayakan yang ditentukan.</t>
  </si>
  <si>
    <t>Mengembangkan desain sistem yang membutuhkan pengenalan teknologi baru atau penggunaan baru untuk teknologi yang sudah ada.</t>
  </si>
  <si>
    <t xml:space="preserve">Programming/Software Development </t>
  </si>
  <si>
    <t>Mengembangkan komponen perangkat lunak untuk memberikan nilai kepada para pemangku kepentingan.</t>
  </si>
  <si>
    <t>Merancang, membuat kode, memverifikasi, menguji, mendokumentasikan, memperbaiki, dan merefaktor program/skrip sederhana.</t>
  </si>
  <si>
    <t>Menerapkan standar, alat bantu, dan praktik keamanan dasar yang telah disepakati untuk mencapai hasil yang direkayasa dengan baik.</t>
  </si>
  <si>
    <t>Meninjau pekerjaan sendiri.</t>
  </si>
  <si>
    <t>Merancang, membuat kode, memverifikasi, menguji, mendokumentasikan, memperbaiki, dan merefleksikan program/skrip yang cukup kompleks.</t>
  </si>
  <si>
    <t>Menerapkan standar, alat, dan langkah-langkah keamanan yang telah disepakati untuk mencapai hasil yang direkayasa dengan baik.</t>
  </si>
  <si>
    <t>Memantau dan melaporkan kemajuan. Mengidentifikasi masalah yang terkait dengan aktivitas pengembangan perangkat lunak. Mengusulkan solusi praktis untuk menyelesaikan masalah.</t>
  </si>
  <si>
    <t>Berkolaborasi dalam tinjauan pekerjaan dengan orang lain yang sesuai.</t>
  </si>
  <si>
    <t>Merancang, membuat kode, memverifikasi, menguji, mendokumentasikan, memperbaiki, dan merefaktor program/skrip yang kompleks dan layanan perangkat lunak integrasi.</t>
  </si>
  <si>
    <t>Berkontribusi dalam pemilihan metode pengembangan perangkat lunak, alat, teknik, dan praktik keamanan.</t>
  </si>
  <si>
    <t>Mengambil tanggung jawab teknis di semua tahap dan iterasi pengembangan perangkat lunak.</t>
  </si>
  <si>
    <t>Merencanakan dan menggerakkan aktivitas konstruksi perangkat lunak. Mengadopsi dan mengadaptasi metode, alat, dan teknik pengembangan perangkat lunak yang sesuai.</t>
  </si>
  <si>
    <t>Mengukur dan memantau penerapan standar proyek/tim untuk konstruksi perangkat lunak, termasuk keamanan perangkat lunak.</t>
  </si>
  <si>
    <t>Berkontribusi pada pengembangan kebijakan, standar, dan pedoman organisasi untuk pengembangan perangkat lunak.</t>
  </si>
  <si>
    <t>Mengembangkan kebijakan, standar, dan pedoman organisasi untuk konstruksi dan refactoring perangkat lunak.</t>
  </si>
  <si>
    <t>Merencanakan dan memimpin kegiatan konstruksi perangkat lunak untuk proyek pengembangan yang strategis, besar, dan kompleks.</t>
  </si>
  <si>
    <t>Mengadaptasi atau mengembangkan metode baru dan kemampuan organisasi serta mendorong adopsi, dan kepatuhan terhadap kebijakan dan standar.</t>
  </si>
  <si>
    <t>Testing</t>
  </si>
  <si>
    <t>Memvalidasi sistem, produk, proses bisnis, atau layanan untuk menentukan apakah kriteria penerimaan telah terpenuhi.</t>
  </si>
  <si>
    <t>Mengembangkan kriteria penerimaan yang terkait dengan persyaratan fungsional dan non-fungsional, proses bisnis, fitur, cerita pengguna, dan aturan bisnis.</t>
  </si>
  <si>
    <t>Merancang dan menentukan kasus dan skenario pengujian untuk menguji bahwa sistem, produk, dan layanan memenuhi kriteria penerimaan dan memberikan manfaat bisnis yang diprediksi.</t>
  </si>
  <si>
    <t>Berkolaborasi dengan kolega proyek dan pemangku kepentingan yang terlibat dalam analisis, pengembangan, dan pengoperasian produk, sistem, atau layanan untuk memastikan keakuratan dan cakupan pengujian yang komprehensif.</t>
  </si>
  <si>
    <t>Menganalisis dan melaporkan aktivitas, hasil, masalah, dan risiko pengujian, termasuk hasil kerja orang lain.</t>
  </si>
  <si>
    <t>Merencanakan dan mengelola aktivitas pengujian penerimaan pengguna.</t>
  </si>
  <si>
    <t>Menentukan lingkungan pengujian. Mengelola pembuatan kasus dan skenario pengujian, memastikan bahwa skenario tersebut mencerminkan kondisi operasional yang realistis dan kebutuhan cakupan.</t>
  </si>
  <si>
    <t>Memastikan kriteria masuk dan keluar ditetapkan dan dipenuhi sebelum pengujian penerimaan pengguna dimulai atau diakhiri. Menentukan sumber daya pengguna yang diperlukan. Memastikan pengguna menerima pelatihan dan dukungan yang sesuai.</t>
  </si>
  <si>
    <t>Memastikan pengujian dan hasilnya didokumentasikan, dianalisis, dan dilaporkan, dengan menyoroti masalah dan risiko bagi para pemangku kepentingan. Memberikan saran yang otoritatif tentang perencanaan dan pelaksanaan pengujian penerimaan.</t>
  </si>
  <si>
    <t>Memimpin pendekatan organisasi terhadap pengujian penerimaan pengguna.</t>
  </si>
  <si>
    <t>Melibatkan pemangku kepentingan senior untuk mendapatkan komitmen dan sumber daya organisasi untuk pengujian penerimaan yang efektif.</t>
  </si>
  <si>
    <t>Mengintegrasikan kriteria masuk dan keluar ke dalam perencanaan dan pelaksanaan pengujian penerimaan pengguna. Memberikan masukan mengenai sumber daya yang dibutuhkan, termasuk keterampilan dan ketersediaan, untuk aktivitas pengujian penerimaan pengguna. Melaporkan risiko dan masalah yang signifikan, serta merekomendasikan tindakan yang diperlukan.</t>
  </si>
  <si>
    <t>Mengembangkan kebijakan, standar, dan pedoman organisasi untuk pengujian penerimaan. Mengembangkan kemampuan dan metode pengujian penerimaan untuk organisasi.</t>
  </si>
  <si>
    <t xml:space="preserve">UI/UX </t>
  </si>
  <si>
    <t>Memproduksi konsep desain dan prototipe untuk interaksi dan pengalaman pengguna terhadap suatu produk, sistem, atau layanan.</t>
  </si>
  <si>
    <t>Membantu menciptakan elemen pengalaman pengguna di bawah pengawasan rutin.</t>
  </si>
  <si>
    <t>Menerapkan teknik dan alat bantu standar untuk merancang interaksi pengguna dengan dan pengalaman sistem, produk, atau komponen layanan yang dipilih.</t>
  </si>
  <si>
    <t>Meninjau tujuan desain dan persyaratan keamanan, kegunaan, dan aksesibilitas yang telah disepakati. Membuat artefak desain untuk mengomunikasikan ide.</t>
  </si>
  <si>
    <t>Berkontribusi pada desain pengalaman pengguna secara keseluruhan sebagai bagian dari tim.</t>
  </si>
  <si>
    <t>Membantu dalam mengevaluasi opsi desain dan pertukaran. Mempertimbangkan dan menerapkan pedoman desain visual dan branding secara konsisten bila diperlukan.</t>
  </si>
  <si>
    <t>Memilih alat, metode, dan pola desain yang tepat untuk merancang interaksi pengguna dengan dan pengalaman produk, sistem, atau layanan.</t>
  </si>
  <si>
    <t>Menerjemahkan konsep ke dalam output dan prototipe untuk umpan balik dan evaluasi pengguna.</t>
  </si>
  <si>
    <t>Mengevaluasi opsi desain alternatif dan merekomendasikan desain dengan mempertimbangkan kinerja, keamanan, kegunaan, dan persyaratan aksesibilitas.</t>
  </si>
  <si>
    <t>Mempertimbangkan dan mengintegrasikan desain visual dan elemen branding yang sesuai dalam desain pengalaman pengguna.</t>
  </si>
  <si>
    <t>Merencanakan dan mendorong aktivitas desain pengalaman pengguna.</t>
  </si>
  <si>
    <t>Memberikan saran dan panduan ahli untuk mendukung penerapan pendekatan yang telah disepakati. Menentukan pendekatan yang akan digunakan untuk mendesain pengalaman pengguna.</t>
  </si>
  <si>
    <t>Menggunakan pendekatan berulang untuk memasukkan umpan balik atau evaluasi pengguna dengan cepat ke dalam desain.</t>
  </si>
  <si>
    <t>Memastikan pertimbangan dan integrasi yang tepat dari desain visual dan elemen branding ke dalam desain pengalaman pengguna.</t>
  </si>
  <si>
    <t>Memperoleh komitmen organisasi terhadap strategi untuk memberikan pengalaman pengguna, kegunaan, aksesibilitas, dan keamanan yang dibutuhkan.</t>
  </si>
  <si>
    <t>Mendefinisikan kebijakan, standar, dan teknik organisasi untuk desain pengalaman pengguna.</t>
  </si>
  <si>
    <t>Merencanakan dan memimpin kegiatan desain pengalaman pengguna untuk program strategis, besar atau kompleks.</t>
  </si>
  <si>
    <t>Mempromosikan nilai desain yang berpusat pada pengguna di seluruh organisasi.</t>
  </si>
  <si>
    <t>Innovation Management</t>
  </si>
  <si>
    <t>Mengidentifikasi, memprioritaskan, menginkubasi, dan mengeksploitasi peluang yang disediakan oleh teknologi informasi, komunikasi, dan digital.</t>
  </si>
  <si>
    <t>Mengelola jalur inovasi dan melaksanakan proses inovasi.</t>
  </si>
  <si>
    <t>Mengembangkan dan mengadaptasi alat, proses, dan infrastruktur inovasi untuk mendorong proses inovasi. Mengidentifikasi sumber daya dan kemampuan yang dibutuhkan untuk mendukung inovasi.</t>
  </si>
  <si>
    <t>Mendorong dan memotivasi komunitas inovasi, tim, dan individu untuk berbagi ide kreatif dan belajar dari kegagalan.</t>
  </si>
  <si>
    <t>Mengelola dan memfasilitasi komunikasi dan aliran ide-ide kreatif yang terbuka antara pihak-pihak yang berkepentingan dan pembentukan jaringan dan komunitas inovasi.</t>
  </si>
  <si>
    <t>Memperoleh komitmen organisasi terhadap inovasi.</t>
  </si>
  <si>
    <t>Mengembangkan kemampuan organisasi untuk mendorong inovasi.</t>
  </si>
  <si>
    <t>Memimpin dan merencanakan pengembangan kapabilitas inovasi dan implementasi proses, alat, dan kerangka kerja inovasi.</t>
  </si>
  <si>
    <t>Memimpin komunikasi dan aliran ide-ide kreatif yang terbuka antara pihak-pihak yang berkepentingan dan pembentukan jaringan dan komunitas inovasi.</t>
  </si>
  <si>
    <t>Memimpin pengembangan budaya yang mendorong inovasi, pengambilan risiko, dan kolaborasi.</t>
  </si>
  <si>
    <t>Menanamkan proses inovasi di seluruh unit bisnis dan menghubungkan eksekusi strategi dengan inovasi.</t>
  </si>
  <si>
    <t>Menyelaraskan tujuan, ukuran, dan penghargaan organisasi dan individu dengan inovasi.</t>
  </si>
  <si>
    <t>DATA ENGINEERING</t>
  </si>
  <si>
    <t>Data Engineering</t>
  </si>
  <si>
    <t>Merancang, membangun, mengoperasionalkan, mengamankan, dan memantau jaringan pipa data, penyimpanan, dan sistem pemrosesan waktu nyata untuk manajemen data yang dapat diskalakan dan andal.</t>
  </si>
  <si>
    <t>Membantu mengembangkan dan mengimplementasikan jalur data dan penyimpanan data.</t>
  </si>
  <si>
    <t>Melakukan tugas administratif untuk menyediakan aksesibilitas, pengambilan, keamanan, dan perlindungan data.</t>
  </si>
  <si>
    <t>Mendukung pemantauan operasi jalur data, mengidentifikasi masalah dan melakukan eskalasi sesuai kebutuhan.</t>
  </si>
  <si>
    <t>Berpartisipasi dalam migrasi data dan tugas konversi di bawah pengawasan rutin.</t>
  </si>
  <si>
    <t>Mengikuti pendekatan standar dan pola desain yang telah ditetapkan untuk membuat dan mengimplementasikan jalur data dan penyimpanan data sederhana untuk memperoleh dan menyiapkan data.</t>
  </si>
  <si>
    <t>Menerapkan standar dan alat bantu rekayasa data untuk membuat dan memelihara pipeline data serta melakukan proses ekstrak, transformasi, dan muat (ETL), dengan menggabungkan praktik keamanan dan integritas data.</t>
  </si>
  <si>
    <t>Berkontribusi pada proyek migrasi dan konversi data, memastikan integritas dan konsistensi data.</t>
  </si>
  <si>
    <t>Melakukan pemeriksaan dan perbaikan kualitas data secara rutin.</t>
  </si>
  <si>
    <t>Merancang, mengimplementasikan, dan memelihara solusi rekayasa data yang kompleks untuk memperoleh dan menyiapkan data.</t>
  </si>
  <si>
    <t>Membuat dan memelihara jalur data untuk menghubungkan data di seluruh penyimpanan data, aplikasi, dan organisasi. Dibangun sesuai dengan tata kelola data dan standar keamanan.</t>
  </si>
  <si>
    <t>Mendukung pengembangan praktik integrasi dan penerapan yang berkelanjutan. Memantau dan mengoptimalkan kinerja dan skalabilitas pipeline.</t>
  </si>
  <si>
    <t>Melakukan pemeriksaan dan perbaikan kualitas data yang kompleks. Memimpin kegiatan migrasi data dan konversi data.</t>
  </si>
  <si>
    <t>Merencanakan dan mendorong pengembangan solusi rekayasa data, menyeimbangkan persyaratan fungsional dan non-fungsional.</t>
  </si>
  <si>
    <t>Memantau penerapan standar data, arsitektur, dan keamanan, memastikan kepatuhan dan skalabilitas.</t>
  </si>
  <si>
    <t>Mengembangkan dan mendorong praktik integrasi, penerapan, dan pemantauan yang berkelanjutan.</t>
  </si>
  <si>
    <t>Berkontribusi pada kebijakan, standar, dan pedoman organisasi untuk rekayasa data.</t>
  </si>
  <si>
    <t>Memimpin pemilihan dan pengembangan metode, alat, dan teknik rekayasa data.</t>
  </si>
  <si>
    <t>Mengembangkan kebijakan, standar, dan pedoman organisasi untuk pengembangan dan pengoperasian layanan dan produk data yang aman.</t>
  </si>
  <si>
    <t>Memastikan kepatuhan terhadap strategi dan arsitektur teknis.</t>
  </si>
  <si>
    <t>Merencanakan dan memimpin rekayasa data untuk program-program strategis, berdampak besar, besar, dan kompleks yang memastikan keselarasan dengan tujuan organisasi dan praktik industri.</t>
  </si>
  <si>
    <t>Database Design</t>
  </si>
  <si>
    <t>Menentukan, merancang, dan memelihara mekanisme untuk menyimpan dan mengakses data di berbagai lingkungan dan platform.</t>
  </si>
  <si>
    <t>Membantu membuat dan mendokumentasikan desain basis data yang terperinci di bawah pengawasan rutin.</t>
  </si>
  <si>
    <t>Menafsirkan standar instalasi untuk memenuhi kebutuhan proyek dan menghasilkan spesifikasi komponen database atau data warehouse.</t>
  </si>
  <si>
    <t>Mengembangkan elemen desain database fisik atau gudang data, sesuai dengan kebijakan yang telah ditetapkan, untuk memenuhi kebutuhan data.</t>
  </si>
  <si>
    <t>Menerapkan desain basis data fisik untuk mendukung persyaratan data transaksional untuk kinerja dan ketersediaan.</t>
  </si>
  <si>
    <t>Mengembangkan dan memelihara pengetahuan khusus tentang konsep basis data dan gudang data, prinsip-prinsip desain, arsitektur, perangkat lunak, dan fasilitas.</t>
  </si>
  <si>
    <t>Menilai perubahan yang diusulkan pada struktur objek/data dan mengevaluasi opsi alternatif.</t>
  </si>
  <si>
    <t>Menerapkan desain gudang data yang mendukung intelijen bisnis dan analisis data.</t>
  </si>
  <si>
    <t>Memberikan keahlian khusus dalam karakteristik desain sistem manajemen basis data atau produk/layanan gudang data.</t>
  </si>
  <si>
    <t>Memberikan panduan ahli dalam pemilihan, penyediaan, dan penggunaan arsitektur, perangkat lunak, dan fasilitas database dan data warehouse.</t>
  </si>
  <si>
    <t>Memastikan kebijakan desain mengoptimalkan sistem data transaksional untuk kinerja dan ketersediaan sekaligus memenuhi kebutuhan platform intelijen dan analitik bisnis.</t>
  </si>
  <si>
    <t>SUPPORT &amp; MAINTENANCE</t>
  </si>
  <si>
    <t>Network Support</t>
  </si>
  <si>
    <t>Menyediakan layanan pemeliharaan dan dukungan untuk jaringan komunikasi.</t>
  </si>
  <si>
    <t>Mendukung tugas-tugas jaringan rutin di bawah pengawasan yang ketat.</t>
  </si>
  <si>
    <t>Memantau kesehatan jaringan dasar dan melaporkan status komponen jaringan.</t>
  </si>
  <si>
    <t>Membantu pemecahan masalah secara langsung dan mengikuti prosedur yang telah ditetapkan untuk menjaga kesinambungan operasional.</t>
  </si>
  <si>
    <t>Mengeskalasi masalah jika diperlukan ke tingkat dukungan yang lebih tinggi</t>
  </si>
  <si>
    <t>Membantu dalam konfigurasi operasional komponen jaringan dan investigasi serta penyelesaian masalah jaringan.</t>
  </si>
  <si>
    <t>Membantu dalam implementasi skrip dasar dan alat otomatisasi untuk merampingkan tugas-tugas dukungan jaringan.</t>
  </si>
  <si>
    <t>Membantu dengan prosedur pemeliharaan yang ditentukan dan mengikuti standar keselamatan, keamanan, dan kualitas yang ditetapkan.</t>
  </si>
  <si>
    <t>Memberikan dukungan dan panduan lini pertama kepada pengguna jaringan, meningkatkan masalah jika diperlukan.</t>
  </si>
  <si>
    <t>Menjalankan tugas pemeliharaan jaringan yang telah disepakati dan konfigurasi operasional komponen jaringan yang telah ditentukan.</t>
  </si>
  <si>
    <t>Mengidentifikasi dan mendiagnosis masalah/kesalahan jaringan menggunakan alat bantu pemecahan masalah dan perangkat lunak manajemen jaringan yang diperlukan, termasuk menangani masalah terkait keamanan.</t>
  </si>
  <si>
    <t>Menerapkan dan memelihara skrip, alat otomasi, dan platform orkestrasi untuk mengoptimalkan proses dukungan jaringan.</t>
  </si>
  <si>
    <t>Mengumpulkan statistik kinerja dan lalu lintas serta berkolaborasi dengan pihak lain untuk memastikan efektivitas jaringan dan menyelesaikan masalah</t>
  </si>
  <si>
    <t>Menerapkan keahlian teknis untuk memelihara dan mengoptimalkan infrastruktur jaringan, menjalankan pembaruan dan menggunakan alat otomatisasi.</t>
  </si>
  <si>
    <t>Menggunakan alat manajemen jaringan untuk memantau statistik beban, kinerja, dan keamanan. Menyelidiki dan memungkinkan penyelesaian masalah operasional dan keamanan terkait jaringan. Mengonfigurasi alat dan/atau membuat skrip untuk mengotomatiskan tugas-tugas jaringan.</t>
  </si>
  <si>
    <t>Memelihara prosedur operasional dan memeriksa apakah prosedur tersebut diikuti. Memberikan laporan dan proposal untuk perbaikan kepada para pemangku kepentingan.</t>
  </si>
  <si>
    <t>Berkontribusi pada perencanaan dan implementasi pemeliharaan jaringan, pembaruan, dan peningkatan keamanan. Menerapkan perubahan jaringan yang telah disepakati dan rutinitas pemeliharaan.</t>
  </si>
  <si>
    <t>Memimpin operasi jaringan untuk mengoptimalkan kinerja.</t>
  </si>
  <si>
    <t>Mengawasi perencanaan, pemasangan, pemeliharaan, dan penerimaan komponen dan layanan jaringan, menyelaraskan dengan ekspektasi layanan, standar, dan persyaratan keamanan.</t>
  </si>
  <si>
    <t>Memastikan permintaan dukungan jaringan ditangani sesuai dengan standar dan prosedur yang ditetapkan.</t>
  </si>
  <si>
    <t>Mendorong penggunaan alat dan proses untuk manajemen dan pengiriman operasional yang efektif, memastikan pertimbangan keamanan ditangani. Memelihara prosedur dan dokumentasi. Menyelidiki dan menyelesaikan masalah jaringan yang kompleks. Melacak masalah operasional dan melaporkannya kepada para pemangku kepentingan.</t>
  </si>
  <si>
    <t>Application Support</t>
  </si>
  <si>
    <t>Menyusun dan memelihara prosedur dan dokumentasi untuk dukungan aplikasi. Mengelola peningkatan aplikasi untuk meningkatkan kinerja bisnis. Memberikan saran mengenai keamanan aplikasi, perizinan, peningkatan, pencadangan, dan kebutuhan pemulihan bencana. Memastikan bahwa semua permintaan dukungan ditangani sesuai dengan standar dan prosedur yang ditetapkan.</t>
  </si>
  <si>
    <t>Membantu dengan prosedur pemeliharaan yang ditentukan.</t>
  </si>
  <si>
    <t>Membantu dalam penyelidikan dan penyelesaian masalah yang berkaitan dengan aplikasi.</t>
  </si>
  <si>
    <t>Mengikuti prosedur yang telah disepakati untuk mengidentifikasi dan menyelesaikan masalah pada aplikasi.</t>
  </si>
  <si>
    <t>Menggunakan perangkat lunak dan alat bantu manajemen aplikasi untuk mengumpulkan statistik kinerja yang disepakati.</t>
  </si>
  <si>
    <t>Melaksanakan tugas pemeliharaan aplikasi yang telah disepakati.</t>
  </si>
  <si>
    <t>Memelihara proses dukungan aplikasi dan memeriksa bahwa semua permintaan dukungan ditangani sesuai dengan prosedur yang disepakati.</t>
  </si>
  <si>
    <t>Menggunakan perangkat lunak dan alat bantu manajemen aplikasi untuk menyelidiki masalah, mengumpulkan statistik kinerja, dan membuat laporan.</t>
  </si>
  <si>
    <t>Memastikan semua permintaan dukungan ditangani sesuai dengan standar dan prosedur yang ditetapkan.</t>
  </si>
  <si>
    <t>Menyusun dan memelihara prosedur dan dokumentasi untuk dukungan aplikasi, termasuk pertimbangan keamanan.</t>
  </si>
  <si>
    <t>Mengelola peningkatan aplikasi untuk meningkatkan kinerja bisnis.</t>
  </si>
  <si>
    <t>Memberikan saran mengenai keamanan aplikasi, perizinan, peningkatan, pencadangan, dan kebutuhan pemulihan bencana.</t>
  </si>
  <si>
    <r>
      <t>Sistem Integrations</t>
    </r>
    <r>
      <rPr>
        <sz val="10"/>
        <color indexed="8"/>
        <rFont val="Montserrat"/>
      </rPr>
      <t xml:space="preserve"> </t>
    </r>
  </si>
  <si>
    <t xml:space="preserve">Sistem Integrations </t>
  </si>
  <si>
    <t>Head of IT Division</t>
  </si>
  <si>
    <t>Head of IT Core Dev</t>
  </si>
  <si>
    <t>Head of IT App Dev</t>
  </si>
  <si>
    <t>Head of IT Infrastructure</t>
  </si>
  <si>
    <t>Head of IT Data Integration</t>
  </si>
  <si>
    <t>Head of IT Gov&amp;Security</t>
  </si>
  <si>
    <t>Job Title</t>
  </si>
  <si>
    <t>Application Developer</t>
  </si>
  <si>
    <t>Infrastructure Support</t>
  </si>
  <si>
    <t xml:space="preserve">Memastikan semua pemangku kepentingan mengetahui pendekatan dan jadwal manajemen strategis. </t>
  </si>
  <si>
    <t>Memberikan dukungan dan panduan untuk membantu para pemangku kepentingan mematuhi pendekatan tersebut.</t>
  </si>
  <si>
    <t>Endiaz Ludia Arsanto</t>
  </si>
  <si>
    <t>Jaenul Waton</t>
  </si>
  <si>
    <t>Bona T. Munthe</t>
  </si>
  <si>
    <t>Andrean Effendi</t>
  </si>
  <si>
    <t>Iman Subarkah</t>
  </si>
  <si>
    <t>Noor Setiadi</t>
  </si>
  <si>
    <t>Muhamad Kosih</t>
  </si>
  <si>
    <t>Brama Prasetyo</t>
  </si>
  <si>
    <t>Ricko Sapto</t>
  </si>
  <si>
    <t>Agung Aji</t>
  </si>
  <si>
    <t>Agus Susanto</t>
  </si>
  <si>
    <t>Aribhawa Samudra</t>
  </si>
  <si>
    <t>Johannes Eidi Ginting</t>
  </si>
  <si>
    <t>Gomgom Silalahi</t>
  </si>
  <si>
    <t>System Admin Support</t>
  </si>
  <si>
    <t>Security Engineer</t>
  </si>
  <si>
    <t>Thomas Wanganegara</t>
  </si>
  <si>
    <t>Data Engineer</t>
  </si>
  <si>
    <t>Eka Sunandika</t>
  </si>
  <si>
    <t>Fauzan Indra</t>
  </si>
  <si>
    <t>Raka Ibnu</t>
  </si>
  <si>
    <t>Helmi Afif</t>
  </si>
  <si>
    <t>Gomgom Jhonantan</t>
  </si>
  <si>
    <t>Mohamad Ilman Huda</t>
  </si>
  <si>
    <t>Tri Mulyo Susanto</t>
  </si>
  <si>
    <t>Meet</t>
  </si>
  <si>
    <t>Below</t>
  </si>
  <si>
    <t>Above</t>
  </si>
  <si>
    <t>SCORING</t>
  </si>
  <si>
    <t>meet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</si>
</sst>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font>
      <sz val="11"/>
      <color indexed="8"/>
      <name val="Calibri"/>
      <family val="2"/>
      <charset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Arial"/>
      <family val="2"/>
    </font>
    <font>
      <b/>
      <sz val="11"/>
      <color indexed="8"/>
      <name val="Arial"/>
      <family val="2"/>
    </font>
    <font>
      <sz val="11"/>
      <color indexed="8"/>
      <name val="Calibri"/>
      <family val="2"/>
      <charset val="1"/>
    </font>
    <font>
      <b/>
      <sz val="12"/>
      <color indexed="8"/>
      <name val="Arial"/>
      <family val="2"/>
    </font>
    <font>
      <b/>
      <sz val="14"/>
      <color indexed="8"/>
      <name val="Arial"/>
      <family val="2"/>
    </font>
    <font>
      <sz val="12"/>
      <color indexed="8"/>
      <name val="Arial"/>
      <family val="2"/>
    </font>
    <font>
      <b/>
      <sz val="11"/>
      <color indexed="8"/>
      <name val="Arial Narrow"/>
      <family val="2"/>
    </font>
    <font>
      <sz val="11"/>
      <color theme="1"/>
      <name val="Trebuchet MS"/>
      <family val="2"/>
    </font>
    <font>
      <sz val="12"/>
      <color theme="1"/>
      <name val="Arial"/>
      <family val="2"/>
    </font>
    <font>
      <b/>
      <sz val="11"/>
      <color theme="1"/>
      <name val="Calibri"/>
      <family val="2"/>
      <scheme val="minor"/>
    </font>
    <font>
      <b/>
      <sz val="12"/>
      <color theme="1"/>
      <name val="Arial"/>
      <family val="2"/>
    </font>
    <font>
      <sz val="11"/>
      <color indexed="8"/>
      <name val="Calibri"/>
      <family val="2"/>
    </font>
    <font>
      <sz val="12"/>
      <color indexed="8"/>
      <name val="Arial"/>
      <family val="2"/>
    </font>
    <font>
      <sz val="12"/>
      <color theme="1"/>
      <name val="Arial"/>
      <family val="2"/>
    </font>
    <font>
      <sz val="12"/>
      <name val="Arial"/>
      <family val="2"/>
    </font>
    <font>
      <sz val="11"/>
      <color indexed="8"/>
      <name val="Arial"/>
      <family val="2"/>
    </font>
    <font>
      <b/>
      <sz val="12"/>
      <color indexed="8"/>
      <name val="Arial"/>
      <family val="2"/>
    </font>
    <font>
      <b/>
      <sz val="11"/>
      <color theme="1"/>
      <name val="Calibri"/>
      <family val="2"/>
      <scheme val="minor"/>
    </font>
    <font>
      <b/>
      <sz val="11"/>
      <color indexed="8"/>
      <name val="Arial"/>
      <family val="2"/>
    </font>
    <font>
      <sz val="12"/>
      <color rgb="FFFF0000"/>
      <name val="Arial"/>
      <family val="2"/>
    </font>
    <font>
      <sz val="11"/>
      <color indexed="8"/>
      <name val="Raleway"/>
    </font>
    <font>
      <b/>
      <sz val="11"/>
      <color theme="1"/>
      <name val="Raleway"/>
    </font>
    <font>
      <sz val="11"/>
      <color theme="1"/>
      <name val="Raleway"/>
    </font>
    <font>
      <b/>
      <sz val="11"/>
      <color indexed="8"/>
      <name val="Raleway"/>
    </font>
    <font>
      <b/>
      <sz val="9"/>
      <color indexed="8"/>
      <name val="Raleway"/>
    </font>
    <font>
      <b/>
      <sz val="16"/>
      <color theme="0"/>
      <name val="Raleway"/>
    </font>
    <font>
      <b/>
      <sz val="14"/>
      <color indexed="8"/>
      <name val="Raleway"/>
    </font>
    <font>
      <sz val="16"/>
      <color theme="1"/>
      <name val="Raleway"/>
    </font>
    <font>
      <sz val="14"/>
      <color indexed="8"/>
      <name val="Raleway"/>
    </font>
    <font>
      <b/>
      <sz val="18"/>
      <color indexed="8"/>
      <name val="Raleway"/>
    </font>
    <font>
      <b/>
      <sz val="16"/>
      <color rgb="FFFFFFFF"/>
      <name val="Montserrat Regular"/>
    </font>
    <font>
      <b/>
      <sz val="16"/>
      <color theme="0"/>
      <name val="Montserrat Regular"/>
    </font>
    <font>
      <sz val="10"/>
      <color indexed="8"/>
      <name val="Montserrat Regular"/>
    </font>
    <font>
      <b/>
      <sz val="10"/>
      <color rgb="FF000000"/>
      <name val="Montserrat"/>
    </font>
    <font>
      <b/>
      <sz val="10"/>
      <color indexed="8"/>
      <name val="Montserrat"/>
    </font>
    <font>
      <sz val="10"/>
      <color indexed="8"/>
      <name val="Calibri"/>
      <family val="2"/>
      <charset val="1"/>
    </font>
    <font>
      <b/>
      <sz val="10"/>
      <color rgb="FFE7E6E6"/>
      <name val="Montserrat"/>
    </font>
    <font>
      <sz val="10"/>
      <color indexed="8"/>
      <name val="Montserrat"/>
    </font>
    <font>
      <sz val="10"/>
      <color indexed="8"/>
      <name val="Webdings"/>
      <charset val="2"/>
    </font>
    <font>
      <b/>
      <sz val="8"/>
      <color indexed="8"/>
      <name val="Montserrat Regular"/>
    </font>
    <font>
      <sz val="8"/>
      <color indexed="8"/>
      <name val="Montserrat Regular"/>
    </font>
    <font>
      <sz val="9"/>
      <color indexed="8"/>
      <name val="Montserrat Regular"/>
    </font>
    <font>
      <sz val="9"/>
      <name val="Montserrat Regular"/>
    </font>
    <font>
      <b/>
      <sz val="12"/>
      <color theme="0"/>
      <name val="Montserrat Regular"/>
    </font>
    <font>
      <b/>
      <sz val="8"/>
      <color theme="0"/>
      <name val="Montserrat Regular"/>
    </font>
  </fonts>
  <fills count="58">
    <fill>
      <patternFill patternType="none"/>
    </fill>
    <fill>
      <patternFill patternType="gray125"/>
    </fill>
    <fill>
      <patternFill patternType="solid">
        <fgColor indexed="31"/>
        <bgColor indexed="22"/>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1"/>
      </patternFill>
    </fill>
    <fill>
      <patternFill patternType="solid">
        <fgColor indexed="47"/>
        <bgColor indexed="22"/>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62"/>
        <bgColor indexed="56"/>
      </patternFill>
    </fill>
    <fill>
      <patternFill patternType="solid">
        <fgColor indexed="10"/>
        <bgColor indexed="60"/>
      </patternFill>
    </fill>
    <fill>
      <patternFill patternType="solid">
        <fgColor indexed="57"/>
        <bgColor indexed="21"/>
      </patternFill>
    </fill>
    <fill>
      <patternFill patternType="solid">
        <fgColor indexed="53"/>
        <bgColor indexed="52"/>
      </patternFill>
    </fill>
    <fill>
      <patternFill patternType="solid">
        <fgColor indexed="22"/>
        <bgColor indexed="31"/>
      </patternFill>
    </fill>
    <fill>
      <patternFill patternType="solid">
        <fgColor indexed="55"/>
        <bgColor indexed="23"/>
      </patternFill>
    </fill>
    <fill>
      <patternFill patternType="solid">
        <fgColor indexed="43"/>
        <bgColor indexed="26"/>
      </patternFill>
    </fill>
    <fill>
      <patternFill patternType="solid">
        <fgColor indexed="26"/>
        <bgColor indexed="9"/>
      </patternFill>
    </fill>
    <fill>
      <patternFill patternType="solid">
        <fgColor theme="0" tint="-0.249977111117893"/>
        <bgColor indexed="23"/>
      </patternFill>
    </fill>
    <fill>
      <patternFill patternType="solid">
        <fgColor theme="6" tint="0.59999389629810485"/>
        <bgColor indexed="64"/>
      </patternFill>
    </fill>
    <fill>
      <patternFill patternType="solid">
        <fgColor rgb="FFFFFF00"/>
        <bgColor indexed="64"/>
      </patternFill>
    </fill>
    <fill>
      <patternFill patternType="solid">
        <fgColor theme="3" tint="0.79998168889431442"/>
        <bgColor indexed="64"/>
      </patternFill>
    </fill>
    <fill>
      <patternFill patternType="solid">
        <fgColor theme="1"/>
        <bgColor indexed="64"/>
      </patternFill>
    </fill>
    <fill>
      <patternFill patternType="solid">
        <fgColor theme="1" tint="0.34998626667073579"/>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rgb="FFFFFD78"/>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rgb="FF7030A0"/>
        <bgColor indexed="64"/>
      </patternFill>
    </fill>
    <fill>
      <patternFill patternType="solid">
        <fgColor theme="0" tint="-0.14999847407452621"/>
        <bgColor indexed="64"/>
      </patternFill>
    </fill>
    <fill>
      <patternFill patternType="solid">
        <fgColor rgb="FFC5E0B3"/>
        <bgColor indexed="64"/>
      </patternFill>
    </fill>
    <fill>
      <patternFill patternType="solid">
        <fgColor rgb="FF385623"/>
        <bgColor indexed="64"/>
      </patternFill>
    </fill>
    <fill>
      <patternFill patternType="solid">
        <fgColor theme="9" tint="0.39997558519241921"/>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00B050"/>
        <bgColor indexed="64"/>
      </patternFill>
    </fill>
    <fill>
      <patternFill patternType="solid">
        <fgColor rgb="FF92D050"/>
        <bgColor indexed="64"/>
      </patternFill>
    </fill>
    <fill>
      <patternFill patternType="solid">
        <fgColor rgb="FFFF0000"/>
        <bgColor indexed="64"/>
      </patternFill>
    </fill>
    <fill>
      <patternFill patternType="solid">
        <fgColor theme="8" tint="-0.499984740745262"/>
        <bgColor indexed="64"/>
      </patternFill>
    </fill>
    <fill>
      <patternFill patternType="solid">
        <fgColor rgb="FF002060"/>
        <bgColor indexed="64"/>
      </patternFill>
    </fill>
  </fills>
  <borders count="8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medium">
        <color indexed="64"/>
      </left>
      <right style="thin">
        <color indexed="64"/>
      </right>
      <top/>
      <bottom/>
      <diagonal/>
    </border>
    <border>
      <left style="thin">
        <color auto="1"/>
      </left>
      <right style="medium">
        <color indexed="64"/>
      </right>
      <top style="thin">
        <color auto="1"/>
      </top>
      <bottom/>
      <diagonal/>
    </border>
    <border>
      <left style="medium">
        <color indexed="64"/>
      </left>
      <right style="thin">
        <color indexed="64"/>
      </right>
      <top/>
      <bottom style="thin">
        <color indexed="64"/>
      </bottom>
      <diagonal/>
    </border>
    <border>
      <left style="thin">
        <color auto="1"/>
      </left>
      <right/>
      <top style="thin">
        <color auto="1"/>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top style="medium">
        <color indexed="64"/>
      </top>
      <bottom style="thin">
        <color auto="1"/>
      </bottom>
      <diagonal/>
    </border>
    <border>
      <left style="medium">
        <color indexed="64"/>
      </left>
      <right/>
      <top style="thin">
        <color auto="1"/>
      </top>
      <bottom style="thin">
        <color auto="1"/>
      </bottom>
      <diagonal/>
    </border>
    <border>
      <left/>
      <right style="thin">
        <color auto="1"/>
      </right>
      <top style="medium">
        <color indexed="64"/>
      </top>
      <bottom style="thin">
        <color auto="1"/>
      </bottom>
      <diagonal/>
    </border>
    <border>
      <left/>
      <right style="thin">
        <color indexed="64"/>
      </right>
      <top style="thin">
        <color indexed="64"/>
      </top>
      <bottom style="thin">
        <color indexed="64"/>
      </bottom>
      <diagonal/>
    </border>
    <border>
      <left/>
      <right style="thin">
        <color auto="1"/>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top style="thin">
        <color auto="1"/>
      </top>
      <bottom style="medium">
        <color indexed="64"/>
      </bottom>
      <diagonal/>
    </border>
    <border>
      <left/>
      <right style="medium">
        <color indexed="64"/>
      </right>
      <top style="medium">
        <color indexed="64"/>
      </top>
      <bottom style="thin">
        <color auto="1"/>
      </bottom>
      <diagonal/>
    </border>
    <border>
      <left/>
      <right style="medium">
        <color indexed="64"/>
      </right>
      <top style="thin">
        <color auto="1"/>
      </top>
      <bottom style="thin">
        <color auto="1"/>
      </bottom>
      <diagonal/>
    </border>
    <border>
      <left/>
      <right style="medium">
        <color indexed="64"/>
      </right>
      <top style="thin">
        <color auto="1"/>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style="medium">
        <color indexed="64"/>
      </right>
      <top style="medium">
        <color indexed="64"/>
      </top>
      <bottom style="medium">
        <color indexed="64"/>
      </bottom>
      <diagonal/>
    </border>
    <border>
      <left style="thin">
        <color auto="1"/>
      </left>
      <right/>
      <top style="medium">
        <color indexed="64"/>
      </top>
      <bottom style="medium">
        <color indexed="64"/>
      </bottom>
      <diagonal/>
    </border>
    <border>
      <left/>
      <right style="thin">
        <color auto="1"/>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thin">
        <color auto="1"/>
      </left>
      <right style="medium">
        <color indexed="64"/>
      </right>
      <top/>
      <bottom style="thin">
        <color auto="1"/>
      </bottom>
      <diagonal/>
    </border>
    <border>
      <left style="thin">
        <color auto="1"/>
      </left>
      <right style="medium">
        <color indexed="64"/>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style="thin">
        <color indexed="64"/>
      </bottom>
      <diagonal/>
    </border>
    <border>
      <left/>
      <right style="thin">
        <color auto="1"/>
      </right>
      <top style="medium">
        <color indexed="64"/>
      </top>
      <bottom/>
      <diagonal/>
    </border>
    <border>
      <left/>
      <right style="thin">
        <color indexed="64"/>
      </right>
      <top/>
      <bottom/>
      <diagonal/>
    </border>
    <border>
      <left style="thin">
        <color auto="1"/>
      </left>
      <right style="medium">
        <color indexed="64"/>
      </right>
      <top/>
      <bottom/>
      <diagonal/>
    </border>
    <border>
      <left/>
      <right style="medium">
        <color indexed="64"/>
      </right>
      <top/>
      <bottom style="thin">
        <color auto="1"/>
      </bottom>
      <diagonal/>
    </border>
    <border>
      <left style="medium">
        <color indexed="64"/>
      </left>
      <right/>
      <top style="thin">
        <color auto="1"/>
      </top>
      <bottom/>
      <diagonal/>
    </border>
    <border>
      <left/>
      <right style="medium">
        <color indexed="64"/>
      </right>
      <top style="thin">
        <color auto="1"/>
      </top>
      <bottom/>
      <diagonal/>
    </border>
    <border>
      <left style="medium">
        <color indexed="64"/>
      </left>
      <right style="thin">
        <color auto="1"/>
      </right>
      <top style="thin">
        <color auto="1"/>
      </top>
      <bottom/>
      <diagonal/>
    </border>
  </borders>
  <cellStyleXfs count="46">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9" borderId="0" applyNumberFormat="0" applyBorder="0" applyAlignment="0" applyProtection="0"/>
    <xf numFmtId="0" fontId="3" fillId="3" borderId="0" applyNumberFormat="0" applyBorder="0" applyAlignment="0" applyProtection="0"/>
    <xf numFmtId="0" fontId="4" fillId="20" borderId="1" applyNumberFormat="0" applyAlignment="0" applyProtection="0"/>
    <xf numFmtId="0" fontId="5" fillId="21" borderId="2" applyNumberFormat="0" applyAlignment="0" applyProtection="0"/>
    <xf numFmtId="0" fontId="6" fillId="0" borderId="0" applyNumberFormat="0" applyFill="0" applyBorder="0" applyAlignment="0" applyProtection="0"/>
    <xf numFmtId="0" fontId="7" fillId="4"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7" borderId="1" applyNumberFormat="0" applyAlignment="0" applyProtection="0"/>
    <xf numFmtId="0" fontId="12" fillId="0" borderId="6" applyNumberFormat="0" applyFill="0" applyAlignment="0" applyProtection="0"/>
    <xf numFmtId="0" fontId="13" fillId="22" borderId="0" applyNumberFormat="0" applyBorder="0" applyAlignment="0" applyProtection="0"/>
    <xf numFmtId="0" fontId="20" fillId="0" borderId="0"/>
    <xf numFmtId="0" fontId="25" fillId="0" borderId="0"/>
    <xf numFmtId="0" fontId="25" fillId="0" borderId="0"/>
    <xf numFmtId="0" fontId="20" fillId="23" borderId="7" applyNumberFormat="0" applyAlignment="0" applyProtection="0"/>
    <xf numFmtId="0" fontId="14" fillId="20" borderId="8" applyNumberForma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0" borderId="0" applyNumberFormat="0" applyFill="0" applyBorder="0" applyAlignment="0" applyProtection="0"/>
    <xf numFmtId="0" fontId="29" fillId="0" borderId="0"/>
  </cellStyleXfs>
  <cellXfs count="387">
    <xf numFmtId="0" fontId="0" fillId="0" borderId="0" xfId="0"/>
    <xf numFmtId="0" fontId="18" fillId="0" borderId="0" xfId="0" applyFont="1"/>
    <xf numFmtId="0" fontId="18" fillId="0" borderId="0" xfId="0" applyFont="1" applyAlignment="1">
      <alignment horizontal="center" vertical="center"/>
    </xf>
    <xf numFmtId="0" fontId="19" fillId="0" borderId="0" xfId="0" applyFont="1" applyAlignment="1">
      <alignment horizontal="center" vertical="center"/>
    </xf>
    <xf numFmtId="0" fontId="21" fillId="0" borderId="0" xfId="0" applyFont="1" applyAlignment="1">
      <alignment horizontal="right" vertical="center"/>
    </xf>
    <xf numFmtId="0" fontId="18" fillId="0" borderId="0" xfId="0" applyFont="1" applyAlignment="1">
      <alignment vertical="center"/>
    </xf>
    <xf numFmtId="0" fontId="21" fillId="0" borderId="0" xfId="0" applyFont="1" applyAlignment="1">
      <alignment vertical="center"/>
    </xf>
    <xf numFmtId="0" fontId="23" fillId="0" borderId="0" xfId="0" applyFont="1" applyAlignment="1">
      <alignment vertical="top"/>
    </xf>
    <xf numFmtId="0" fontId="18" fillId="0" borderId="0" xfId="0" applyFont="1" applyAlignment="1">
      <alignment horizontal="center"/>
    </xf>
    <xf numFmtId="2" fontId="18" fillId="0" borderId="0" xfId="0" applyNumberFormat="1" applyFont="1"/>
    <xf numFmtId="0" fontId="27" fillId="0" borderId="0" xfId="0" applyFont="1"/>
    <xf numFmtId="0" fontId="24" fillId="25" borderId="15" xfId="0" applyFont="1" applyFill="1" applyBorder="1" applyAlignment="1">
      <alignment horizontal="center" vertical="center" wrapText="1"/>
    </xf>
    <xf numFmtId="0" fontId="23" fillId="0" borderId="10" xfId="0" applyFont="1" applyBorder="1" applyAlignment="1">
      <alignment horizontal="center" vertical="top" wrapText="1"/>
    </xf>
    <xf numFmtId="0" fontId="26" fillId="0" borderId="10" xfId="0" applyFont="1" applyBorder="1" applyAlignment="1">
      <alignment vertical="top" wrapText="1"/>
    </xf>
    <xf numFmtId="0" fontId="26" fillId="0" borderId="10" xfId="0" applyFont="1" applyBorder="1" applyAlignment="1">
      <alignment horizontal="center" vertical="center" wrapText="1"/>
    </xf>
    <xf numFmtId="0" fontId="24" fillId="26" borderId="15" xfId="0" applyFont="1" applyFill="1" applyBorder="1" applyAlignment="1">
      <alignment horizontal="center" vertical="center" wrapText="1"/>
    </xf>
    <xf numFmtId="0" fontId="23" fillId="0" borderId="10" xfId="0" applyFont="1" applyBorder="1" applyAlignment="1">
      <alignment horizontal="center" vertical="center" wrapText="1"/>
    </xf>
    <xf numFmtId="2" fontId="30" fillId="0" borderId="0" xfId="45" applyNumberFormat="1" applyFont="1" applyAlignment="1">
      <alignment horizontal="center" vertical="center" wrapText="1"/>
    </xf>
    <xf numFmtId="0" fontId="33" fillId="0" borderId="0" xfId="45" applyFont="1" applyAlignment="1">
      <alignment horizontal="center" vertical="center"/>
    </xf>
    <xf numFmtId="0" fontId="34" fillId="0" borderId="0" xfId="45" applyFont="1" applyAlignment="1">
      <alignment horizontal="right" vertical="center"/>
    </xf>
    <xf numFmtId="0" fontId="34" fillId="0" borderId="0" xfId="45" applyFont="1" applyAlignment="1">
      <alignment horizontal="right" vertical="center" wrapText="1"/>
    </xf>
    <xf numFmtId="0" fontId="33" fillId="0" borderId="0" xfId="45" applyFont="1" applyAlignment="1">
      <alignment vertical="center"/>
    </xf>
    <xf numFmtId="0" fontId="29" fillId="0" borderId="0" xfId="45"/>
    <xf numFmtId="0" fontId="29" fillId="0" borderId="0" xfId="45" applyAlignment="1">
      <alignment wrapText="1"/>
    </xf>
    <xf numFmtId="0" fontId="35" fillId="0" borderId="0" xfId="45" applyFont="1"/>
    <xf numFmtId="0" fontId="35" fillId="0" borderId="0" xfId="45" applyFont="1" applyAlignment="1">
      <alignment wrapText="1"/>
    </xf>
    <xf numFmtId="0" fontId="34" fillId="0" borderId="0" xfId="45" applyFont="1" applyAlignment="1">
      <alignment vertical="center"/>
    </xf>
    <xf numFmtId="0" fontId="34" fillId="0" borderId="19" xfId="45" applyFont="1" applyBorder="1" applyAlignment="1">
      <alignment horizontal="center" vertical="center" wrapText="1"/>
    </xf>
    <xf numFmtId="0" fontId="36" fillId="0" borderId="0" xfId="45" applyFont="1" applyAlignment="1">
      <alignment horizontal="center" vertical="center"/>
    </xf>
    <xf numFmtId="0" fontId="30" fillId="0" borderId="19" xfId="45" applyFont="1" applyBorder="1" applyAlignment="1">
      <alignment horizontal="center" vertical="top" wrapText="1"/>
    </xf>
    <xf numFmtId="0" fontId="31" fillId="0" borderId="19" xfId="45" applyFont="1" applyBorder="1" applyAlignment="1">
      <alignment vertical="top" wrapText="1"/>
    </xf>
    <xf numFmtId="0" fontId="31" fillId="0" borderId="19" xfId="45" applyFont="1" applyBorder="1" applyAlignment="1">
      <alignment horizontal="center" vertical="center" wrapText="1"/>
    </xf>
    <xf numFmtId="0" fontId="30" fillId="0" borderId="0" xfId="45" applyFont="1" applyAlignment="1">
      <alignment vertical="top"/>
    </xf>
    <xf numFmtId="0" fontId="30" fillId="0" borderId="19" xfId="45" applyFont="1" applyBorder="1" applyAlignment="1">
      <alignment horizontal="center" vertical="center" wrapText="1"/>
    </xf>
    <xf numFmtId="0" fontId="32" fillId="0" borderId="0" xfId="0" applyFont="1" applyAlignment="1">
      <alignment horizontal="left" vertical="top" wrapText="1"/>
    </xf>
    <xf numFmtId="0" fontId="32" fillId="0" borderId="0" xfId="0" applyFont="1" applyAlignment="1">
      <alignment vertical="top" wrapText="1"/>
    </xf>
    <xf numFmtId="0" fontId="33" fillId="0" borderId="0" xfId="45" applyFont="1" applyAlignment="1">
      <alignment horizontal="center"/>
    </xf>
    <xf numFmtId="0" fontId="33" fillId="0" borderId="0" xfId="45" applyFont="1"/>
    <xf numFmtId="0" fontId="33" fillId="0" borderId="0" xfId="45" applyFont="1" applyAlignment="1">
      <alignment wrapText="1"/>
    </xf>
    <xf numFmtId="2" fontId="33" fillId="0" borderId="0" xfId="45" applyNumberFormat="1" applyFont="1"/>
    <xf numFmtId="0" fontId="31" fillId="0" borderId="0" xfId="45" applyFont="1" applyAlignment="1">
      <alignment vertical="top" wrapText="1"/>
    </xf>
    <xf numFmtId="0" fontId="37" fillId="0" borderId="0" xfId="45" applyFont="1" applyAlignment="1">
      <alignment vertical="top" wrapText="1"/>
    </xf>
    <xf numFmtId="0" fontId="38" fillId="0" borderId="0" xfId="0" applyFont="1"/>
    <xf numFmtId="0" fontId="38" fillId="0" borderId="0" xfId="0" applyFont="1" applyAlignment="1">
      <alignment horizontal="center" vertical="center"/>
    </xf>
    <xf numFmtId="0" fontId="38" fillId="0" borderId="0" xfId="0" applyFont="1" applyAlignment="1">
      <alignment vertical="center"/>
    </xf>
    <xf numFmtId="0" fontId="39" fillId="0" borderId="0" xfId="0" applyFont="1"/>
    <xf numFmtId="0" fontId="41" fillId="0" borderId="0" xfId="0" applyFont="1" applyAlignment="1">
      <alignment horizontal="center" vertical="center"/>
    </xf>
    <xf numFmtId="0" fontId="38" fillId="0" borderId="0" xfId="0" applyFont="1" applyAlignment="1">
      <alignment horizontal="center"/>
    </xf>
    <xf numFmtId="0" fontId="41" fillId="0" borderId="0" xfId="0" applyFont="1" applyAlignment="1">
      <alignment horizontal="right" vertical="center"/>
    </xf>
    <xf numFmtId="0" fontId="41" fillId="0" borderId="0" xfId="0" applyFont="1" applyAlignment="1">
      <alignment vertical="center"/>
    </xf>
    <xf numFmtId="0" fontId="40" fillId="0" borderId="10" xfId="45" applyFont="1" applyBorder="1" applyAlignment="1">
      <alignment vertical="top" wrapText="1"/>
    </xf>
    <xf numFmtId="0" fontId="38" fillId="0" borderId="0" xfId="0" applyFont="1" applyAlignment="1">
      <alignment vertical="top"/>
    </xf>
    <xf numFmtId="0" fontId="40" fillId="0" borderId="20" xfId="45" applyFont="1" applyBorder="1" applyAlignment="1">
      <alignment vertical="top" wrapText="1"/>
    </xf>
    <xf numFmtId="0" fontId="38" fillId="0" borderId="20" xfId="0" applyFont="1" applyBorder="1" applyAlignment="1">
      <alignment vertical="top"/>
    </xf>
    <xf numFmtId="0" fontId="42" fillId="25" borderId="22" xfId="0" applyFont="1" applyFill="1" applyBorder="1" applyAlignment="1">
      <alignment horizontal="center" vertical="top" wrapText="1"/>
    </xf>
    <xf numFmtId="0" fontId="41" fillId="25" borderId="23" xfId="0" applyFont="1" applyFill="1" applyBorder="1" applyAlignment="1">
      <alignment horizontal="center" vertical="top" wrapText="1"/>
    </xf>
    <xf numFmtId="0" fontId="40" fillId="29" borderId="23" xfId="45" applyFont="1" applyFill="1" applyBorder="1" applyAlignment="1">
      <alignment horizontal="center" vertical="center" wrapText="1"/>
    </xf>
    <xf numFmtId="0" fontId="40" fillId="29" borderId="28" xfId="45" applyFont="1" applyFill="1" applyBorder="1" applyAlignment="1">
      <alignment horizontal="center" vertical="center" wrapText="1"/>
    </xf>
    <xf numFmtId="0" fontId="40" fillId="29" borderId="10" xfId="45" applyFont="1" applyFill="1" applyBorder="1" applyAlignment="1">
      <alignment horizontal="center" vertical="center" wrapText="1"/>
    </xf>
    <xf numFmtId="0" fontId="40" fillId="29" borderId="29" xfId="45" applyFont="1" applyFill="1" applyBorder="1" applyAlignment="1">
      <alignment horizontal="center" vertical="center" wrapText="1"/>
    </xf>
    <xf numFmtId="0" fontId="38" fillId="0" borderId="28" xfId="45" applyFont="1" applyBorder="1" applyAlignment="1">
      <alignment horizontal="center" vertical="top" wrapText="1"/>
    </xf>
    <xf numFmtId="0" fontId="38" fillId="0" borderId="30" xfId="45" applyFont="1" applyBorder="1" applyAlignment="1">
      <alignment horizontal="center" vertical="top" wrapText="1"/>
    </xf>
    <xf numFmtId="0" fontId="40" fillId="0" borderId="31" xfId="45" applyFont="1" applyBorder="1" applyAlignment="1">
      <alignment vertical="top" wrapText="1"/>
    </xf>
    <xf numFmtId="0" fontId="40" fillId="0" borderId="38" xfId="45" applyFont="1" applyBorder="1" applyAlignment="1">
      <alignment vertical="top" wrapText="1"/>
    </xf>
    <xf numFmtId="0" fontId="38" fillId="28" borderId="0" xfId="0" applyFont="1" applyFill="1"/>
    <xf numFmtId="0" fontId="39" fillId="28" borderId="0" xfId="0" applyFont="1" applyFill="1"/>
    <xf numFmtId="0" fontId="45" fillId="0" borderId="23" xfId="45" applyFont="1" applyBorder="1" applyAlignment="1">
      <alignment horizontal="center" vertical="center" wrapText="1"/>
    </xf>
    <xf numFmtId="0" fontId="45" fillId="0" borderId="28" xfId="45" applyFont="1" applyBorder="1" applyAlignment="1">
      <alignment horizontal="center" vertical="center" wrapText="1"/>
    </xf>
    <xf numFmtId="0" fontId="45" fillId="0" borderId="10" xfId="45" applyFont="1" applyBorder="1" applyAlignment="1">
      <alignment horizontal="center" vertical="center" wrapText="1"/>
    </xf>
    <xf numFmtId="0" fontId="45" fillId="0" borderId="29" xfId="45" applyFont="1" applyBorder="1" applyAlignment="1">
      <alignment horizontal="center" vertical="center" wrapText="1"/>
    </xf>
    <xf numFmtId="0" fontId="45" fillId="29" borderId="23" xfId="45" applyFont="1" applyFill="1" applyBorder="1" applyAlignment="1">
      <alignment horizontal="center" vertical="center" wrapText="1"/>
    </xf>
    <xf numFmtId="0" fontId="45" fillId="29" borderId="10" xfId="45" applyFont="1" applyFill="1" applyBorder="1" applyAlignment="1">
      <alignment horizontal="center" vertical="center" wrapText="1"/>
    </xf>
    <xf numFmtId="0" fontId="45" fillId="29" borderId="29" xfId="45" applyFont="1" applyFill="1" applyBorder="1" applyAlignment="1">
      <alignment horizontal="center" vertical="center" wrapText="1"/>
    </xf>
    <xf numFmtId="0" fontId="45" fillId="29" borderId="28" xfId="45" applyFont="1" applyFill="1" applyBorder="1" applyAlignment="1">
      <alignment horizontal="center" vertical="center" wrapText="1"/>
    </xf>
    <xf numFmtId="0" fontId="45" fillId="0" borderId="24" xfId="45" applyFont="1" applyBorder="1" applyAlignment="1">
      <alignment horizontal="center" vertical="center" wrapText="1"/>
    </xf>
    <xf numFmtId="0" fontId="45" fillId="0" borderId="31" xfId="45" applyFont="1" applyBorder="1" applyAlignment="1">
      <alignment horizontal="center" vertical="center" wrapText="1"/>
    </xf>
    <xf numFmtId="0" fontId="45" fillId="0" borderId="32" xfId="45" applyFont="1" applyBorder="1" applyAlignment="1">
      <alignment horizontal="center" vertical="center" wrapText="1"/>
    </xf>
    <xf numFmtId="0" fontId="45" fillId="0" borderId="30" xfId="45" applyFont="1" applyBorder="1" applyAlignment="1">
      <alignment horizontal="center" vertical="center" wrapText="1"/>
    </xf>
    <xf numFmtId="0" fontId="42" fillId="30" borderId="26" xfId="0" applyFont="1" applyFill="1" applyBorder="1" applyAlignment="1">
      <alignment horizontal="center" vertical="top" wrapText="1"/>
    </xf>
    <xf numFmtId="0" fontId="42" fillId="26" borderId="40" xfId="0" applyFont="1" applyFill="1" applyBorder="1" applyAlignment="1">
      <alignment horizontal="center" vertical="top" wrapText="1"/>
    </xf>
    <xf numFmtId="0" fontId="41" fillId="26" borderId="20" xfId="0" applyFont="1" applyFill="1" applyBorder="1" applyAlignment="1">
      <alignment horizontal="center" vertical="top" wrapText="1"/>
    </xf>
    <xf numFmtId="0" fontId="40" fillId="29" borderId="20" xfId="45" applyFont="1" applyFill="1" applyBorder="1" applyAlignment="1">
      <alignment horizontal="center" vertical="center" wrapText="1"/>
    </xf>
    <xf numFmtId="0" fontId="45" fillId="0" borderId="41" xfId="45" applyFont="1" applyBorder="1" applyAlignment="1">
      <alignment horizontal="center" vertical="center" wrapText="1"/>
    </xf>
    <xf numFmtId="0" fontId="45" fillId="29" borderId="20" xfId="45" applyFont="1" applyFill="1" applyBorder="1" applyAlignment="1">
      <alignment horizontal="center" vertical="center" wrapText="1"/>
    </xf>
    <xf numFmtId="0" fontId="45" fillId="0" borderId="20" xfId="45" applyFont="1" applyBorder="1" applyAlignment="1">
      <alignment horizontal="center" vertical="center" wrapText="1"/>
    </xf>
    <xf numFmtId="0" fontId="45" fillId="0" borderId="38" xfId="45" applyFont="1" applyBorder="1" applyAlignment="1">
      <alignment horizontal="center" vertical="center" wrapText="1"/>
    </xf>
    <xf numFmtId="0" fontId="40" fillId="29" borderId="43" xfId="45" applyFont="1" applyFill="1" applyBorder="1" applyAlignment="1">
      <alignment horizontal="center" vertical="center" wrapText="1"/>
    </xf>
    <xf numFmtId="0" fontId="45" fillId="0" borderId="43" xfId="45" applyFont="1" applyBorder="1" applyAlignment="1">
      <alignment horizontal="center" vertical="center" wrapText="1"/>
    </xf>
    <xf numFmtId="0" fontId="45" fillId="29" borderId="43" xfId="45" applyFont="1" applyFill="1" applyBorder="1" applyAlignment="1">
      <alignment horizontal="center" vertical="center" wrapText="1"/>
    </xf>
    <xf numFmtId="0" fontId="45" fillId="0" borderId="44" xfId="45" applyFont="1" applyBorder="1" applyAlignment="1">
      <alignment horizontal="center" vertical="center" wrapText="1"/>
    </xf>
    <xf numFmtId="0" fontId="42" fillId="30" borderId="25" xfId="0" applyFont="1" applyFill="1" applyBorder="1" applyAlignment="1">
      <alignment horizontal="center" vertical="top" wrapText="1"/>
    </xf>
    <xf numFmtId="0" fontId="42" fillId="30" borderId="27" xfId="0" applyFont="1" applyFill="1" applyBorder="1" applyAlignment="1">
      <alignment horizontal="center" vertical="top" wrapText="1"/>
    </xf>
    <xf numFmtId="0" fontId="41" fillId="30" borderId="28" xfId="0" applyFont="1" applyFill="1" applyBorder="1" applyAlignment="1">
      <alignment horizontal="center" vertical="top" wrapText="1"/>
    </xf>
    <xf numFmtId="0" fontId="41" fillId="30" borderId="19" xfId="0" applyFont="1" applyFill="1" applyBorder="1" applyAlignment="1">
      <alignment horizontal="center" vertical="top" wrapText="1"/>
    </xf>
    <xf numFmtId="0" fontId="41" fillId="30" borderId="29" xfId="0" applyFont="1" applyFill="1" applyBorder="1" applyAlignment="1">
      <alignment horizontal="center" vertical="top" wrapText="1"/>
    </xf>
    <xf numFmtId="0" fontId="40" fillId="29" borderId="19" xfId="45" applyFont="1" applyFill="1" applyBorder="1" applyAlignment="1">
      <alignment horizontal="center" vertical="center" wrapText="1"/>
    </xf>
    <xf numFmtId="0" fontId="45" fillId="0" borderId="19" xfId="45" applyFont="1" applyBorder="1" applyAlignment="1">
      <alignment horizontal="center" vertical="center" wrapText="1"/>
    </xf>
    <xf numFmtId="0" fontId="45" fillId="29" borderId="19" xfId="45" applyFont="1" applyFill="1" applyBorder="1" applyAlignment="1">
      <alignment horizontal="center" vertical="center" wrapText="1"/>
    </xf>
    <xf numFmtId="0" fontId="45" fillId="0" borderId="46" xfId="45" applyFont="1" applyBorder="1" applyAlignment="1">
      <alignment horizontal="center" vertical="center" wrapText="1"/>
    </xf>
    <xf numFmtId="0" fontId="42" fillId="31" borderId="25" xfId="0" applyFont="1" applyFill="1" applyBorder="1" applyAlignment="1">
      <alignment horizontal="center" vertical="top" wrapText="1"/>
    </xf>
    <xf numFmtId="0" fontId="42" fillId="31" borderId="26" xfId="0" applyFont="1" applyFill="1" applyBorder="1" applyAlignment="1">
      <alignment horizontal="center" vertical="top" wrapText="1"/>
    </xf>
    <xf numFmtId="0" fontId="42" fillId="31" borderId="27" xfId="0" applyFont="1" applyFill="1" applyBorder="1" applyAlignment="1">
      <alignment horizontal="center" vertical="top" wrapText="1"/>
    </xf>
    <xf numFmtId="0" fontId="41" fillId="31" borderId="28" xfId="0" applyFont="1" applyFill="1" applyBorder="1" applyAlignment="1">
      <alignment horizontal="center" vertical="top" wrapText="1"/>
    </xf>
    <xf numFmtId="0" fontId="41" fillId="31" borderId="19" xfId="0" applyFont="1" applyFill="1" applyBorder="1" applyAlignment="1">
      <alignment horizontal="center" vertical="top" wrapText="1"/>
    </xf>
    <xf numFmtId="0" fontId="41" fillId="31" borderId="29" xfId="0" applyFont="1" applyFill="1" applyBorder="1" applyAlignment="1">
      <alignment horizontal="center" vertical="top" wrapText="1"/>
    </xf>
    <xf numFmtId="0" fontId="42" fillId="32" borderId="25" xfId="0" applyFont="1" applyFill="1" applyBorder="1" applyAlignment="1">
      <alignment horizontal="center" vertical="top" wrapText="1"/>
    </xf>
    <xf numFmtId="0" fontId="42" fillId="32" borderId="26" xfId="0" applyFont="1" applyFill="1" applyBorder="1" applyAlignment="1">
      <alignment horizontal="center" vertical="top" wrapText="1"/>
    </xf>
    <xf numFmtId="0" fontId="42" fillId="32" borderId="27" xfId="0" applyFont="1" applyFill="1" applyBorder="1" applyAlignment="1">
      <alignment horizontal="center" vertical="top" wrapText="1"/>
    </xf>
    <xf numFmtId="0" fontId="41" fillId="32" borderId="28" xfId="0" applyFont="1" applyFill="1" applyBorder="1" applyAlignment="1">
      <alignment horizontal="center" vertical="top" wrapText="1"/>
    </xf>
    <xf numFmtId="0" fontId="41" fillId="32" borderId="19" xfId="0" applyFont="1" applyFill="1" applyBorder="1" applyAlignment="1">
      <alignment horizontal="center" vertical="top" wrapText="1"/>
    </xf>
    <xf numFmtId="0" fontId="41" fillId="32" borderId="29" xfId="0" applyFont="1" applyFill="1" applyBorder="1" applyAlignment="1">
      <alignment horizontal="center" vertical="top" wrapText="1"/>
    </xf>
    <xf numFmtId="0" fontId="42" fillId="33" borderId="42" xfId="0" applyFont="1" applyFill="1" applyBorder="1" applyAlignment="1">
      <alignment horizontal="center" vertical="top" wrapText="1"/>
    </xf>
    <xf numFmtId="0" fontId="41" fillId="33" borderId="43" xfId="0" applyFont="1" applyFill="1" applyBorder="1" applyAlignment="1">
      <alignment horizontal="center" vertical="top" wrapText="1"/>
    </xf>
    <xf numFmtId="0" fontId="41" fillId="33" borderId="10" xfId="0" applyFont="1" applyFill="1" applyBorder="1" applyAlignment="1">
      <alignment horizontal="center" vertical="top" wrapText="1"/>
    </xf>
    <xf numFmtId="0" fontId="41" fillId="33" borderId="29" xfId="0" applyFont="1" applyFill="1" applyBorder="1" applyAlignment="1">
      <alignment horizontal="center" vertical="top" wrapText="1"/>
    </xf>
    <xf numFmtId="0" fontId="42" fillId="26" borderId="45" xfId="0" applyFont="1" applyFill="1" applyBorder="1" applyAlignment="1">
      <alignment horizontal="center" vertical="top" wrapText="1"/>
    </xf>
    <xf numFmtId="0" fontId="41" fillId="26" borderId="41" xfId="0" applyFont="1" applyFill="1" applyBorder="1" applyAlignment="1">
      <alignment horizontal="center" vertical="top" wrapText="1"/>
    </xf>
    <xf numFmtId="0" fontId="42" fillId="34" borderId="25" xfId="0" applyFont="1" applyFill="1" applyBorder="1" applyAlignment="1">
      <alignment horizontal="center" vertical="top" wrapText="1"/>
    </xf>
    <xf numFmtId="0" fontId="42" fillId="34" borderId="26" xfId="0" applyFont="1" applyFill="1" applyBorder="1" applyAlignment="1">
      <alignment horizontal="center" vertical="top" wrapText="1"/>
    </xf>
    <xf numFmtId="0" fontId="42" fillId="34" borderId="27" xfId="0" applyFont="1" applyFill="1" applyBorder="1" applyAlignment="1">
      <alignment horizontal="center" vertical="top" wrapText="1"/>
    </xf>
    <xf numFmtId="0" fontId="41" fillId="34" borderId="28" xfId="0" applyFont="1" applyFill="1" applyBorder="1" applyAlignment="1">
      <alignment horizontal="center" vertical="top" wrapText="1"/>
    </xf>
    <xf numFmtId="0" fontId="41" fillId="34" borderId="19" xfId="0" applyFont="1" applyFill="1" applyBorder="1" applyAlignment="1">
      <alignment horizontal="center" vertical="top" wrapText="1"/>
    </xf>
    <xf numFmtId="0" fontId="41" fillId="34" borderId="29" xfId="0" applyFont="1" applyFill="1" applyBorder="1" applyAlignment="1">
      <alignment horizontal="center" vertical="top" wrapText="1"/>
    </xf>
    <xf numFmtId="0" fontId="42" fillId="35" borderId="25" xfId="0" applyFont="1" applyFill="1" applyBorder="1" applyAlignment="1">
      <alignment horizontal="center" vertical="top" wrapText="1"/>
    </xf>
    <xf numFmtId="0" fontId="42" fillId="35" borderId="26" xfId="0" applyFont="1" applyFill="1" applyBorder="1" applyAlignment="1">
      <alignment horizontal="center" vertical="top" wrapText="1"/>
    </xf>
    <xf numFmtId="0" fontId="41" fillId="35" borderId="28" xfId="0" applyFont="1" applyFill="1" applyBorder="1" applyAlignment="1">
      <alignment horizontal="center" vertical="top" wrapText="1"/>
    </xf>
    <xf numFmtId="0" fontId="41" fillId="35" borderId="19" xfId="0" applyFont="1" applyFill="1" applyBorder="1" applyAlignment="1">
      <alignment horizontal="center" vertical="top" wrapText="1"/>
    </xf>
    <xf numFmtId="0" fontId="42" fillId="35" borderId="40" xfId="0" applyFont="1" applyFill="1" applyBorder="1" applyAlignment="1">
      <alignment horizontal="center" vertical="top" wrapText="1"/>
    </xf>
    <xf numFmtId="0" fontId="41" fillId="35" borderId="20" xfId="0" applyFont="1" applyFill="1" applyBorder="1" applyAlignment="1">
      <alignment horizontal="center" vertical="top" wrapText="1"/>
    </xf>
    <xf numFmtId="0" fontId="41" fillId="29" borderId="47" xfId="0" applyFont="1" applyFill="1" applyBorder="1" applyAlignment="1">
      <alignment horizontal="center" vertical="top" wrapText="1"/>
    </xf>
    <xf numFmtId="0" fontId="41" fillId="29" borderId="48" xfId="0" applyFont="1" applyFill="1" applyBorder="1" applyAlignment="1">
      <alignment horizontal="center" vertical="top" wrapText="1"/>
    </xf>
    <xf numFmtId="0" fontId="40" fillId="29" borderId="48" xfId="45" applyFont="1" applyFill="1" applyBorder="1" applyAlignment="1">
      <alignment horizontal="center" vertical="center" wrapText="1"/>
    </xf>
    <xf numFmtId="0" fontId="40" fillId="29" borderId="49" xfId="45" applyFont="1" applyFill="1" applyBorder="1" applyAlignment="1">
      <alignment horizontal="center" vertical="center" wrapText="1"/>
    </xf>
    <xf numFmtId="0" fontId="42" fillId="27" borderId="26" xfId="0" applyFont="1" applyFill="1" applyBorder="1" applyAlignment="1">
      <alignment horizontal="center" vertical="top" wrapText="1"/>
    </xf>
    <xf numFmtId="0" fontId="42" fillId="27" borderId="27" xfId="0" applyFont="1" applyFill="1" applyBorder="1" applyAlignment="1">
      <alignment horizontal="center" vertical="top" wrapText="1"/>
    </xf>
    <xf numFmtId="0" fontId="41" fillId="27" borderId="19" xfId="0" applyFont="1" applyFill="1" applyBorder="1" applyAlignment="1">
      <alignment horizontal="center" vertical="top" wrapText="1"/>
    </xf>
    <xf numFmtId="0" fontId="41" fillId="27" borderId="29" xfId="0" applyFont="1" applyFill="1" applyBorder="1" applyAlignment="1">
      <alignment horizontal="center" vertical="top" wrapText="1"/>
    </xf>
    <xf numFmtId="0" fontId="45" fillId="36" borderId="41" xfId="45" applyFont="1" applyFill="1" applyBorder="1" applyAlignment="1">
      <alignment horizontal="center" vertical="center" wrapText="1"/>
    </xf>
    <xf numFmtId="0" fontId="45" fillId="36" borderId="20" xfId="45" applyFont="1" applyFill="1" applyBorder="1" applyAlignment="1">
      <alignment horizontal="center" vertical="center" wrapText="1"/>
    </xf>
    <xf numFmtId="0" fontId="38" fillId="0" borderId="20" xfId="0" applyFont="1" applyBorder="1" applyAlignment="1">
      <alignment vertical="top" wrapText="1"/>
    </xf>
    <xf numFmtId="0" fontId="46" fillId="0" borderId="0" xfId="0" applyFont="1"/>
    <xf numFmtId="0" fontId="44" fillId="0" borderId="51" xfId="0" applyFont="1" applyBorder="1"/>
    <xf numFmtId="0" fontId="46" fillId="0" borderId="51" xfId="0" applyFont="1" applyBorder="1" applyAlignment="1">
      <alignment horizontal="center"/>
    </xf>
    <xf numFmtId="0" fontId="47" fillId="0" borderId="51" xfId="0" applyFont="1" applyBorder="1" applyAlignment="1">
      <alignment horizontal="center"/>
    </xf>
    <xf numFmtId="0" fontId="47" fillId="0" borderId="52" xfId="0" applyFont="1" applyBorder="1" applyAlignment="1">
      <alignment horizontal="center"/>
    </xf>
    <xf numFmtId="0" fontId="46" fillId="0" borderId="53" xfId="0" applyFont="1" applyBorder="1"/>
    <xf numFmtId="0" fontId="47" fillId="0" borderId="54" xfId="0" applyFont="1" applyBorder="1" applyAlignment="1">
      <alignment horizontal="center"/>
    </xf>
    <xf numFmtId="0" fontId="47" fillId="0" borderId="39" xfId="0" applyFont="1" applyBorder="1" applyAlignment="1">
      <alignment horizontal="center"/>
    </xf>
    <xf numFmtId="0" fontId="47" fillId="0" borderId="50" xfId="0" applyFont="1" applyBorder="1" applyAlignment="1">
      <alignment horizontal="center"/>
    </xf>
    <xf numFmtId="0" fontId="42" fillId="27" borderId="42" xfId="0" applyFont="1" applyFill="1" applyBorder="1" applyAlignment="1">
      <alignment horizontal="center" vertical="top" wrapText="1"/>
    </xf>
    <xf numFmtId="0" fontId="41" fillId="27" borderId="43" xfId="0" applyFont="1" applyFill="1" applyBorder="1" applyAlignment="1">
      <alignment horizontal="center" vertical="top" wrapText="1"/>
    </xf>
    <xf numFmtId="0" fontId="42" fillId="26" borderId="22" xfId="0" applyFont="1" applyFill="1" applyBorder="1" applyAlignment="1">
      <alignment horizontal="center" vertical="top" wrapText="1"/>
    </xf>
    <xf numFmtId="0" fontId="41" fillId="26" borderId="23" xfId="0" applyFont="1" applyFill="1" applyBorder="1" applyAlignment="1">
      <alignment horizontal="center" vertical="top" wrapText="1"/>
    </xf>
    <xf numFmtId="0" fontId="45" fillId="36" borderId="23" xfId="45" applyFont="1" applyFill="1" applyBorder="1" applyAlignment="1">
      <alignment horizontal="center" vertical="center" wrapText="1"/>
    </xf>
    <xf numFmtId="0" fontId="42" fillId="37" borderId="25" xfId="0" applyFont="1" applyFill="1" applyBorder="1" applyAlignment="1">
      <alignment horizontal="center" vertical="top" wrapText="1"/>
    </xf>
    <xf numFmtId="0" fontId="42" fillId="37" borderId="26" xfId="0" applyFont="1" applyFill="1" applyBorder="1" applyAlignment="1">
      <alignment horizontal="center" vertical="top" wrapText="1"/>
    </xf>
    <xf numFmtId="0" fontId="42" fillId="37" borderId="27" xfId="0" applyFont="1" applyFill="1" applyBorder="1" applyAlignment="1">
      <alignment horizontal="center" vertical="top" wrapText="1"/>
    </xf>
    <xf numFmtId="0" fontId="41" fillId="37" borderId="28" xfId="0" applyFont="1" applyFill="1" applyBorder="1" applyAlignment="1">
      <alignment horizontal="center" vertical="top" wrapText="1"/>
    </xf>
    <xf numFmtId="0" fontId="41" fillId="37" borderId="19" xfId="0" applyFont="1" applyFill="1" applyBorder="1" applyAlignment="1">
      <alignment horizontal="center" vertical="top" wrapText="1"/>
    </xf>
    <xf numFmtId="0" fontId="41" fillId="37" borderId="29" xfId="0" applyFont="1" applyFill="1" applyBorder="1" applyAlignment="1">
      <alignment horizontal="center" vertical="top" wrapText="1"/>
    </xf>
    <xf numFmtId="0" fontId="38" fillId="28" borderId="0" xfId="0" applyFont="1" applyFill="1" applyAlignment="1">
      <alignment horizontal="center"/>
    </xf>
    <xf numFmtId="0" fontId="38" fillId="38" borderId="0" xfId="0" applyFont="1" applyFill="1" applyAlignment="1">
      <alignment horizontal="center"/>
    </xf>
    <xf numFmtId="0" fontId="38" fillId="38" borderId="0" xfId="0" applyFont="1" applyFill="1"/>
    <xf numFmtId="0" fontId="46" fillId="39" borderId="50" xfId="0" applyFont="1" applyFill="1" applyBorder="1" applyAlignment="1">
      <alignment horizontal="center"/>
    </xf>
    <xf numFmtId="0" fontId="46" fillId="40" borderId="50" xfId="0" applyFont="1" applyFill="1" applyBorder="1" applyAlignment="1">
      <alignment horizontal="center"/>
    </xf>
    <xf numFmtId="0" fontId="47" fillId="41" borderId="39" xfId="0" applyFont="1" applyFill="1" applyBorder="1" applyAlignment="1">
      <alignment horizontal="center"/>
    </xf>
    <xf numFmtId="0" fontId="47" fillId="41" borderId="51" xfId="0" applyFont="1" applyFill="1" applyBorder="1" applyAlignment="1">
      <alignment horizontal="center"/>
    </xf>
    <xf numFmtId="0" fontId="50" fillId="0" borderId="0" xfId="0" applyFont="1" applyAlignment="1">
      <alignment vertical="top"/>
    </xf>
    <xf numFmtId="0" fontId="55" fillId="0" borderId="57" xfId="0" applyFont="1" applyBorder="1" applyAlignment="1">
      <alignment vertical="top" wrapText="1"/>
    </xf>
    <xf numFmtId="0" fontId="55" fillId="0" borderId="63" xfId="0" applyFont="1" applyBorder="1" applyAlignment="1">
      <alignment vertical="top" wrapText="1"/>
    </xf>
    <xf numFmtId="0" fontId="53" fillId="0" borderId="0" xfId="0" applyFont="1" applyAlignment="1">
      <alignment vertical="top"/>
    </xf>
    <xf numFmtId="0" fontId="56" fillId="0" borderId="39" xfId="0" applyFont="1" applyBorder="1" applyAlignment="1">
      <alignment horizontal="center" vertical="top" wrapText="1"/>
    </xf>
    <xf numFmtId="0" fontId="55" fillId="0" borderId="55" xfId="0" applyFont="1" applyBorder="1" applyAlignment="1">
      <alignment horizontal="center" vertical="top" wrapText="1"/>
    </xf>
    <xf numFmtId="0" fontId="55" fillId="0" borderId="55" xfId="0" applyFont="1" applyBorder="1" applyAlignment="1">
      <alignment vertical="top" wrapText="1"/>
    </xf>
    <xf numFmtId="0" fontId="56" fillId="0" borderId="56" xfId="0" applyFont="1" applyBorder="1" applyAlignment="1">
      <alignment horizontal="center" vertical="top" wrapText="1"/>
    </xf>
    <xf numFmtId="0" fontId="55" fillId="0" borderId="57" xfId="0" applyFont="1" applyBorder="1" applyAlignment="1">
      <alignment horizontal="center" vertical="top" wrapText="1"/>
    </xf>
    <xf numFmtId="0" fontId="55" fillId="0" borderId="66" xfId="0" applyFont="1" applyBorder="1" applyAlignment="1">
      <alignment vertical="top" wrapText="1"/>
    </xf>
    <xf numFmtId="0" fontId="50" fillId="0" borderId="19" xfId="0" applyFont="1" applyBorder="1"/>
    <xf numFmtId="0" fontId="50" fillId="0" borderId="0" xfId="0" applyFont="1"/>
    <xf numFmtId="0" fontId="50" fillId="0" borderId="43" xfId="0" applyFont="1" applyBorder="1"/>
    <xf numFmtId="0" fontId="50" fillId="0" borderId="28" xfId="0" applyFont="1" applyBorder="1"/>
    <xf numFmtId="0" fontId="50" fillId="0" borderId="29" xfId="0" applyFont="1" applyBorder="1"/>
    <xf numFmtId="0" fontId="50" fillId="0" borderId="30" xfId="0" applyFont="1" applyBorder="1"/>
    <xf numFmtId="0" fontId="50" fillId="0" borderId="32" xfId="0" applyFont="1" applyBorder="1"/>
    <xf numFmtId="0" fontId="50" fillId="0" borderId="43" xfId="0" applyFont="1" applyBorder="1" applyAlignment="1">
      <alignment horizontal="center"/>
    </xf>
    <xf numFmtId="0" fontId="50" fillId="0" borderId="19" xfId="0" applyFont="1" applyBorder="1" applyAlignment="1">
      <alignment horizontal="center"/>
    </xf>
    <xf numFmtId="0" fontId="58" fillId="33" borderId="34" xfId="0" applyFont="1" applyFill="1" applyBorder="1" applyAlignment="1">
      <alignment horizontal="left" textRotation="45" wrapText="1"/>
    </xf>
    <xf numFmtId="0" fontId="58" fillId="33" borderId="70" xfId="0" applyFont="1" applyFill="1" applyBorder="1" applyAlignment="1">
      <alignment horizontal="left" textRotation="45" wrapText="1"/>
    </xf>
    <xf numFmtId="0" fontId="58" fillId="37" borderId="33" xfId="0" applyFont="1" applyFill="1" applyBorder="1" applyAlignment="1">
      <alignment horizontal="left" textRotation="45" wrapText="1"/>
    </xf>
    <xf numFmtId="0" fontId="58" fillId="37" borderId="34" xfId="0" applyFont="1" applyFill="1" applyBorder="1" applyAlignment="1">
      <alignment horizontal="left" textRotation="45" wrapText="1"/>
    </xf>
    <xf numFmtId="0" fontId="58" fillId="37" borderId="70" xfId="0" applyFont="1" applyFill="1" applyBorder="1" applyAlignment="1">
      <alignment horizontal="left" textRotation="45" wrapText="1"/>
    </xf>
    <xf numFmtId="0" fontId="58" fillId="0" borderId="0" xfId="0" applyFont="1" applyAlignment="1">
      <alignment horizontal="left" wrapText="1"/>
    </xf>
    <xf numFmtId="0" fontId="57" fillId="0" borderId="0" xfId="0" applyFont="1" applyAlignment="1">
      <alignment vertical="center"/>
    </xf>
    <xf numFmtId="0" fontId="58" fillId="46" borderId="33" xfId="0" applyFont="1" applyFill="1" applyBorder="1" applyAlignment="1">
      <alignment horizontal="left" textRotation="45" wrapText="1"/>
    </xf>
    <xf numFmtId="0" fontId="58" fillId="46" borderId="34" xfId="0" applyFont="1" applyFill="1" applyBorder="1" applyAlignment="1">
      <alignment horizontal="left" textRotation="45" wrapText="1"/>
    </xf>
    <xf numFmtId="0" fontId="58" fillId="46" borderId="70" xfId="0" applyFont="1" applyFill="1" applyBorder="1" applyAlignment="1">
      <alignment horizontal="left" textRotation="45" wrapText="1"/>
    </xf>
    <xf numFmtId="0" fontId="58" fillId="25" borderId="33" xfId="0" applyFont="1" applyFill="1" applyBorder="1" applyAlignment="1">
      <alignment horizontal="left" textRotation="45" wrapText="1"/>
    </xf>
    <xf numFmtId="0" fontId="58" fillId="25" borderId="34" xfId="0" applyFont="1" applyFill="1" applyBorder="1" applyAlignment="1">
      <alignment horizontal="left" textRotation="45" wrapText="1"/>
    </xf>
    <xf numFmtId="0" fontId="58" fillId="25" borderId="70" xfId="0" applyFont="1" applyFill="1" applyBorder="1" applyAlignment="1">
      <alignment horizontal="left" textRotation="45" wrapText="1"/>
    </xf>
    <xf numFmtId="0" fontId="58" fillId="49" borderId="33" xfId="0" applyFont="1" applyFill="1" applyBorder="1" applyAlignment="1">
      <alignment horizontal="left" textRotation="45" wrapText="1"/>
    </xf>
    <xf numFmtId="0" fontId="58" fillId="49" borderId="34" xfId="0" applyFont="1" applyFill="1" applyBorder="1" applyAlignment="1">
      <alignment horizontal="left" textRotation="45" wrapText="1"/>
    </xf>
    <xf numFmtId="0" fontId="58" fillId="49" borderId="70" xfId="0" applyFont="1" applyFill="1" applyBorder="1" applyAlignment="1">
      <alignment horizontal="left" textRotation="45" wrapText="1"/>
    </xf>
    <xf numFmtId="0" fontId="58" fillId="51" borderId="33" xfId="0" applyFont="1" applyFill="1" applyBorder="1" applyAlignment="1">
      <alignment horizontal="left" textRotation="45" wrapText="1"/>
    </xf>
    <xf numFmtId="0" fontId="58" fillId="51" borderId="70" xfId="0" applyFont="1" applyFill="1" applyBorder="1" applyAlignment="1">
      <alignment horizontal="left" textRotation="45" wrapText="1"/>
    </xf>
    <xf numFmtId="0" fontId="58" fillId="41" borderId="33" xfId="0" applyFont="1" applyFill="1" applyBorder="1" applyAlignment="1">
      <alignment horizontal="left" textRotation="45" wrapText="1"/>
    </xf>
    <xf numFmtId="0" fontId="58" fillId="41" borderId="70" xfId="0" applyFont="1" applyFill="1" applyBorder="1" applyAlignment="1">
      <alignment horizontal="left" textRotation="45" wrapText="1"/>
    </xf>
    <xf numFmtId="0" fontId="58" fillId="28" borderId="43" xfId="0" applyFont="1" applyFill="1" applyBorder="1" applyAlignment="1">
      <alignment horizontal="left" wrapText="1"/>
    </xf>
    <xf numFmtId="0" fontId="58" fillId="28" borderId="19" xfId="0" applyFont="1" applyFill="1" applyBorder="1" applyAlignment="1">
      <alignment horizontal="left" wrapText="1"/>
    </xf>
    <xf numFmtId="0" fontId="50" fillId="0" borderId="28" xfId="0" applyFont="1" applyBorder="1" applyAlignment="1">
      <alignment horizontal="center"/>
    </xf>
    <xf numFmtId="0" fontId="50" fillId="0" borderId="29" xfId="0" applyFont="1" applyBorder="1" applyAlignment="1">
      <alignment horizontal="center"/>
    </xf>
    <xf numFmtId="0" fontId="50" fillId="0" borderId="30" xfId="0" applyFont="1" applyBorder="1" applyAlignment="1">
      <alignment horizontal="center"/>
    </xf>
    <xf numFmtId="0" fontId="50" fillId="0" borderId="31" xfId="0" applyFont="1" applyBorder="1" applyAlignment="1">
      <alignment horizontal="center"/>
    </xf>
    <xf numFmtId="0" fontId="50" fillId="0" borderId="32" xfId="0" applyFont="1" applyBorder="1" applyAlignment="1">
      <alignment horizontal="center"/>
    </xf>
    <xf numFmtId="0" fontId="58" fillId="54" borderId="67" xfId="0" applyFont="1" applyFill="1" applyBorder="1" applyAlignment="1">
      <alignment horizontal="left" wrapText="1"/>
    </xf>
    <xf numFmtId="0" fontId="50" fillId="0" borderId="41" xfId="0" applyFont="1" applyBorder="1"/>
    <xf numFmtId="0" fontId="50" fillId="0" borderId="46" xfId="0" applyFont="1" applyBorder="1"/>
    <xf numFmtId="0" fontId="50" fillId="0" borderId="44" xfId="0" applyFont="1" applyBorder="1" applyAlignment="1">
      <alignment horizontal="center"/>
    </xf>
    <xf numFmtId="0" fontId="58" fillId="33" borderId="74" xfId="0" applyFont="1" applyFill="1" applyBorder="1" applyAlignment="1">
      <alignment horizontal="left" textRotation="45" wrapText="1"/>
    </xf>
    <xf numFmtId="0" fontId="58" fillId="54" borderId="66" xfId="0" applyFont="1" applyFill="1" applyBorder="1" applyAlignment="1">
      <alignment horizontal="left" wrapText="1"/>
    </xf>
    <xf numFmtId="0" fontId="50" fillId="0" borderId="48" xfId="0" applyFont="1" applyBorder="1"/>
    <xf numFmtId="0" fontId="50" fillId="0" borderId="49" xfId="0" applyFont="1" applyBorder="1"/>
    <xf numFmtId="0" fontId="50" fillId="0" borderId="67" xfId="0" applyFont="1" applyBorder="1"/>
    <xf numFmtId="0" fontId="50" fillId="0" borderId="66" xfId="0" applyFont="1" applyBorder="1"/>
    <xf numFmtId="0" fontId="50" fillId="0" borderId="75" xfId="0" applyFont="1" applyBorder="1"/>
    <xf numFmtId="0" fontId="50" fillId="0" borderId="12" xfId="0" applyFont="1" applyBorder="1"/>
    <xf numFmtId="0" fontId="50" fillId="0" borderId="76" xfId="0" applyFont="1" applyBorder="1"/>
    <xf numFmtId="0" fontId="50" fillId="0" borderId="35" xfId="0" applyFont="1" applyBorder="1"/>
    <xf numFmtId="0" fontId="50" fillId="25" borderId="50" xfId="0" applyFont="1" applyFill="1" applyBorder="1"/>
    <xf numFmtId="0" fontId="50" fillId="25" borderId="52" xfId="0" applyFont="1" applyFill="1" applyBorder="1"/>
    <xf numFmtId="0" fontId="50" fillId="25" borderId="54" xfId="0" applyFont="1" applyFill="1" applyBorder="1" applyAlignment="1">
      <alignment horizontal="center"/>
    </xf>
    <xf numFmtId="0" fontId="50" fillId="25" borderId="51" xfId="0" applyFont="1" applyFill="1" applyBorder="1" applyAlignment="1">
      <alignment horizontal="center"/>
    </xf>
    <xf numFmtId="0" fontId="50" fillId="25" borderId="52" xfId="0" applyFont="1" applyFill="1" applyBorder="1" applyAlignment="1">
      <alignment horizontal="center"/>
    </xf>
    <xf numFmtId="0" fontId="50" fillId="25" borderId="50" xfId="0" applyFont="1" applyFill="1" applyBorder="1" applyAlignment="1">
      <alignment horizontal="center"/>
    </xf>
    <xf numFmtId="0" fontId="50" fillId="25" borderId="58" xfId="0" applyFont="1" applyFill="1" applyBorder="1"/>
    <xf numFmtId="0" fontId="50" fillId="25" borderId="55" xfId="0" applyFont="1" applyFill="1" applyBorder="1"/>
    <xf numFmtId="0" fontId="59" fillId="0" borderId="73" xfId="0" applyFont="1" applyBorder="1"/>
    <xf numFmtId="0" fontId="59" fillId="0" borderId="77" xfId="0" applyFont="1" applyBorder="1"/>
    <xf numFmtId="0" fontId="59" fillId="0" borderId="72" xfId="0" applyFont="1" applyBorder="1" applyAlignment="1">
      <alignment horizontal="center"/>
    </xf>
    <xf numFmtId="0" fontId="59" fillId="0" borderId="13" xfId="0" applyFont="1" applyBorder="1" applyAlignment="1">
      <alignment horizontal="center"/>
    </xf>
    <xf numFmtId="0" fontId="59" fillId="0" borderId="69" xfId="0" applyFont="1" applyBorder="1" applyAlignment="1">
      <alignment horizontal="center"/>
    </xf>
    <xf numFmtId="0" fontId="59" fillId="0" borderId="37" xfId="0" applyFont="1" applyBorder="1" applyAlignment="1">
      <alignment horizontal="center"/>
    </xf>
    <xf numFmtId="0" fontId="59" fillId="0" borderId="43" xfId="0" applyFont="1" applyBorder="1"/>
    <xf numFmtId="0" fontId="59" fillId="0" borderId="19" xfId="0" applyFont="1" applyBorder="1"/>
    <xf numFmtId="0" fontId="59" fillId="0" borderId="0" xfId="0" applyFont="1"/>
    <xf numFmtId="0" fontId="59" fillId="0" borderId="78" xfId="0" applyFont="1" applyBorder="1"/>
    <xf numFmtId="0" fontId="59" fillId="0" borderId="79" xfId="0" applyFont="1" applyBorder="1"/>
    <xf numFmtId="0" fontId="59" fillId="0" borderId="71" xfId="0" applyFont="1" applyBorder="1" applyAlignment="1">
      <alignment horizontal="center"/>
    </xf>
    <xf numFmtId="0" fontId="59" fillId="0" borderId="18" xfId="0" applyFont="1" applyBorder="1" applyAlignment="1">
      <alignment horizontal="center"/>
    </xf>
    <xf numFmtId="0" fontId="59" fillId="0" borderId="36" xfId="0" applyFont="1" applyBorder="1" applyAlignment="1">
      <alignment horizontal="center"/>
    </xf>
    <xf numFmtId="0" fontId="59" fillId="0" borderId="80" xfId="0" applyFont="1" applyBorder="1" applyAlignment="1">
      <alignment horizontal="center"/>
    </xf>
    <xf numFmtId="0" fontId="59" fillId="0" borderId="65" xfId="0" applyFont="1" applyBorder="1"/>
    <xf numFmtId="0" fontId="59" fillId="0" borderId="63" xfId="0" applyFont="1" applyBorder="1"/>
    <xf numFmtId="0" fontId="59" fillId="0" borderId="12" xfId="0" applyFont="1" applyBorder="1" applyAlignment="1">
      <alignment horizontal="center"/>
    </xf>
    <xf numFmtId="0" fontId="59" fillId="0" borderId="76" xfId="0" applyFont="1" applyBorder="1" applyAlignment="1">
      <alignment horizontal="center"/>
    </xf>
    <xf numFmtId="0" fontId="59" fillId="0" borderId="35" xfId="0" applyFont="1" applyBorder="1" applyAlignment="1">
      <alignment horizontal="center"/>
    </xf>
    <xf numFmtId="0" fontId="57" fillId="28" borderId="19" xfId="0" applyFont="1" applyFill="1" applyBorder="1" applyAlignment="1">
      <alignment vertical="center"/>
    </xf>
    <xf numFmtId="0" fontId="50" fillId="28" borderId="19" xfId="0" applyFont="1" applyFill="1" applyBorder="1"/>
    <xf numFmtId="0" fontId="59" fillId="28" borderId="19" xfId="0" applyFont="1" applyFill="1" applyBorder="1"/>
    <xf numFmtId="0" fontId="60" fillId="55" borderId="72" xfId="0" applyFont="1" applyFill="1" applyBorder="1" applyAlignment="1">
      <alignment horizontal="center"/>
    </xf>
    <xf numFmtId="0" fontId="59" fillId="55" borderId="13" xfId="0" applyFont="1" applyFill="1" applyBorder="1" applyAlignment="1">
      <alignment horizontal="center"/>
    </xf>
    <xf numFmtId="0" fontId="59" fillId="55" borderId="37" xfId="0" applyFont="1" applyFill="1" applyBorder="1" applyAlignment="1">
      <alignment horizontal="center"/>
    </xf>
    <xf numFmtId="0" fontId="59" fillId="55" borderId="69" xfId="0" applyFont="1" applyFill="1" applyBorder="1" applyAlignment="1">
      <alignment horizontal="center"/>
    </xf>
    <xf numFmtId="0" fontId="59" fillId="55" borderId="72" xfId="0" applyFont="1" applyFill="1" applyBorder="1" applyAlignment="1">
      <alignment horizontal="center"/>
    </xf>
    <xf numFmtId="0" fontId="59" fillId="53" borderId="13" xfId="0" applyFont="1" applyFill="1" applyBorder="1" applyAlignment="1">
      <alignment horizontal="center"/>
    </xf>
    <xf numFmtId="0" fontId="59" fillId="53" borderId="69" xfId="0" applyFont="1" applyFill="1" applyBorder="1" applyAlignment="1">
      <alignment horizontal="center"/>
    </xf>
    <xf numFmtId="0" fontId="59" fillId="53" borderId="37" xfId="0" applyFont="1" applyFill="1" applyBorder="1" applyAlignment="1">
      <alignment horizontal="center"/>
    </xf>
    <xf numFmtId="0" fontId="59" fillId="55" borderId="75" xfId="0" applyFont="1" applyFill="1" applyBorder="1" applyAlignment="1">
      <alignment horizontal="center"/>
    </xf>
    <xf numFmtId="0" fontId="59" fillId="53" borderId="12" xfId="0" applyFont="1" applyFill="1" applyBorder="1" applyAlignment="1">
      <alignment horizontal="center"/>
    </xf>
    <xf numFmtId="0" fontId="59" fillId="55" borderId="12" xfId="0" applyFont="1" applyFill="1" applyBorder="1" applyAlignment="1">
      <alignment horizontal="center"/>
    </xf>
    <xf numFmtId="0" fontId="59" fillId="53" borderId="76" xfId="0" applyFont="1" applyFill="1" applyBorder="1" applyAlignment="1">
      <alignment horizontal="center"/>
    </xf>
    <xf numFmtId="0" fontId="59" fillId="55" borderId="35" xfId="0" applyFont="1" applyFill="1" applyBorder="1" applyAlignment="1">
      <alignment horizontal="center"/>
    </xf>
    <xf numFmtId="0" fontId="59" fillId="53" borderId="35" xfId="0" applyFont="1" applyFill="1" applyBorder="1" applyAlignment="1">
      <alignment horizontal="center"/>
    </xf>
    <xf numFmtId="0" fontId="59" fillId="55" borderId="76" xfId="0" applyFont="1" applyFill="1" applyBorder="1" applyAlignment="1">
      <alignment horizontal="center"/>
    </xf>
    <xf numFmtId="0" fontId="59" fillId="26" borderId="13" xfId="0" applyFont="1" applyFill="1" applyBorder="1" applyAlignment="1">
      <alignment horizontal="center"/>
    </xf>
    <xf numFmtId="0" fontId="59" fillId="26" borderId="69" xfId="0" applyFont="1" applyFill="1" applyBorder="1" applyAlignment="1">
      <alignment horizontal="center"/>
    </xf>
    <xf numFmtId="0" fontId="59" fillId="26" borderId="37" xfId="0" applyFont="1" applyFill="1" applyBorder="1" applyAlignment="1">
      <alignment horizontal="center"/>
    </xf>
    <xf numFmtId="0" fontId="59" fillId="55" borderId="18" xfId="0" applyFont="1" applyFill="1" applyBorder="1" applyAlignment="1">
      <alignment horizontal="center"/>
    </xf>
    <xf numFmtId="0" fontId="59" fillId="55" borderId="80" xfId="0" applyFont="1" applyFill="1" applyBorder="1" applyAlignment="1">
      <alignment horizontal="center"/>
    </xf>
    <xf numFmtId="0" fontId="59" fillId="53" borderId="80" xfId="0" applyFont="1" applyFill="1" applyBorder="1" applyAlignment="1">
      <alignment horizontal="center"/>
    </xf>
    <xf numFmtId="0" fontId="59" fillId="53" borderId="18" xfId="0" applyFont="1" applyFill="1" applyBorder="1" applyAlignment="1">
      <alignment horizontal="center"/>
    </xf>
    <xf numFmtId="0" fontId="59" fillId="26" borderId="36" xfId="0" applyFont="1" applyFill="1" applyBorder="1" applyAlignment="1">
      <alignment horizontal="center"/>
    </xf>
    <xf numFmtId="0" fontId="59" fillId="55" borderId="36" xfId="0" applyFont="1" applyFill="1" applyBorder="1" applyAlignment="1">
      <alignment horizontal="center"/>
    </xf>
    <xf numFmtId="0" fontId="59" fillId="53" borderId="36" xfId="0" applyFont="1" applyFill="1" applyBorder="1" applyAlignment="1">
      <alignment horizontal="center"/>
    </xf>
    <xf numFmtId="0" fontId="59" fillId="26" borderId="18" xfId="0" applyFont="1" applyFill="1" applyBorder="1" applyAlignment="1">
      <alignment horizontal="center"/>
    </xf>
    <xf numFmtId="0" fontId="59" fillId="26" borderId="72" xfId="0" applyFont="1" applyFill="1" applyBorder="1" applyAlignment="1">
      <alignment horizontal="center"/>
    </xf>
    <xf numFmtId="0" fontId="50" fillId="35" borderId="56" xfId="0" applyFont="1" applyFill="1" applyBorder="1" applyAlignment="1">
      <alignment horizontal="center" vertical="top" wrapText="1"/>
    </xf>
    <xf numFmtId="0" fontId="50" fillId="35" borderId="57" xfId="0" applyFont="1" applyFill="1" applyBorder="1" applyAlignment="1">
      <alignment vertical="top" wrapText="1"/>
    </xf>
    <xf numFmtId="0" fontId="61" fillId="56" borderId="39" xfId="0" applyFont="1" applyFill="1" applyBorder="1" applyAlignment="1">
      <alignment horizontal="center" vertical="top" wrapText="1"/>
    </xf>
    <xf numFmtId="0" fontId="61" fillId="56" borderId="55" xfId="0" applyFont="1" applyFill="1" applyBorder="1" applyAlignment="1">
      <alignment horizontal="center" vertical="top" wrapText="1"/>
    </xf>
    <xf numFmtId="0" fontId="59" fillId="28" borderId="43" xfId="0" applyFont="1" applyFill="1" applyBorder="1"/>
    <xf numFmtId="0" fontId="50" fillId="28" borderId="43" xfId="0" applyFont="1" applyFill="1" applyBorder="1"/>
    <xf numFmtId="0" fontId="59" fillId="0" borderId="71" xfId="0" applyFont="1" applyBorder="1"/>
    <xf numFmtId="0" fontId="59" fillId="0" borderId="18" xfId="0" applyFont="1" applyBorder="1"/>
    <xf numFmtId="0" fontId="59" fillId="0" borderId="25" xfId="0" applyFont="1" applyBorder="1"/>
    <xf numFmtId="0" fontId="59" fillId="0" borderId="27" xfId="0" applyFont="1" applyBorder="1"/>
    <xf numFmtId="0" fontId="59" fillId="0" borderId="28" xfId="0" applyFont="1" applyBorder="1"/>
    <xf numFmtId="0" fontId="59" fillId="0" borderId="29" xfId="0" applyFont="1" applyBorder="1"/>
    <xf numFmtId="0" fontId="21" fillId="24" borderId="14" xfId="0" applyFont="1" applyFill="1" applyBorder="1" applyAlignment="1">
      <alignment horizontal="center" vertical="center"/>
    </xf>
    <xf numFmtId="0" fontId="21" fillId="24" borderId="0" xfId="0" applyFont="1" applyFill="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19" fillId="24" borderId="10" xfId="0" applyFont="1" applyFill="1" applyBorder="1" applyAlignment="1">
      <alignment horizontal="center" vertical="center"/>
    </xf>
    <xf numFmtId="0" fontId="19" fillId="24" borderId="10" xfId="0" applyFont="1" applyFill="1" applyBorder="1" applyAlignment="1">
      <alignment horizontal="center" vertical="center" wrapText="1"/>
    </xf>
    <xf numFmtId="0" fontId="19" fillId="24" borderId="11" xfId="0" applyFont="1" applyFill="1" applyBorder="1" applyAlignment="1">
      <alignment horizontal="center" vertical="center" wrapText="1"/>
    </xf>
    <xf numFmtId="0" fontId="19" fillId="24" borderId="12" xfId="0" applyFont="1" applyFill="1" applyBorder="1" applyAlignment="1">
      <alignment horizontal="center" vertical="center" wrapText="1"/>
    </xf>
    <xf numFmtId="0" fontId="19" fillId="24" borderId="13" xfId="0" applyFont="1" applyFill="1" applyBorder="1" applyAlignment="1">
      <alignment horizontal="center" vertical="center" wrapText="1"/>
    </xf>
    <xf numFmtId="0" fontId="34" fillId="0" borderId="19" xfId="45" applyFont="1" applyBorder="1" applyAlignment="1">
      <alignment horizontal="center" vertical="center" wrapText="1"/>
    </xf>
    <xf numFmtId="0" fontId="36" fillId="24" borderId="10" xfId="45" applyFont="1" applyFill="1" applyBorder="1" applyAlignment="1">
      <alignment horizontal="center" vertical="center"/>
    </xf>
    <xf numFmtId="0" fontId="36" fillId="24" borderId="19" xfId="45" applyFont="1" applyFill="1" applyBorder="1" applyAlignment="1">
      <alignment horizontal="center" vertical="center"/>
    </xf>
    <xf numFmtId="0" fontId="36" fillId="24" borderId="10" xfId="45" applyFont="1" applyFill="1" applyBorder="1" applyAlignment="1">
      <alignment horizontal="center" vertical="center" wrapText="1"/>
    </xf>
    <xf numFmtId="0" fontId="36" fillId="24" borderId="19" xfId="45" applyFont="1" applyFill="1" applyBorder="1" applyAlignment="1">
      <alignment horizontal="center" vertical="center" wrapText="1"/>
    </xf>
    <xf numFmtId="0" fontId="36" fillId="24" borderId="18" xfId="45" applyFont="1" applyFill="1" applyBorder="1" applyAlignment="1">
      <alignment horizontal="center" vertical="center" wrapText="1"/>
    </xf>
    <xf numFmtId="0" fontId="36" fillId="24" borderId="12" xfId="45" applyFont="1" applyFill="1" applyBorder="1" applyAlignment="1">
      <alignment horizontal="center" vertical="center" wrapText="1"/>
    </xf>
    <xf numFmtId="0" fontId="36" fillId="24" borderId="13" xfId="45" applyFont="1" applyFill="1" applyBorder="1" applyAlignment="1">
      <alignment horizontal="center" vertical="center" wrapText="1"/>
    </xf>
    <xf numFmtId="0" fontId="34" fillId="24" borderId="19" xfId="45" applyFont="1" applyFill="1" applyBorder="1" applyAlignment="1">
      <alignment horizontal="center" vertical="center"/>
    </xf>
    <xf numFmtId="0" fontId="34" fillId="24" borderId="19" xfId="45" applyFont="1" applyFill="1" applyBorder="1" applyAlignment="1">
      <alignment horizontal="center" vertical="top"/>
    </xf>
    <xf numFmtId="0" fontId="55" fillId="0" borderId="60" xfId="0" applyFont="1" applyBorder="1" applyAlignment="1">
      <alignment vertical="top" wrapText="1"/>
    </xf>
    <xf numFmtId="0" fontId="55" fillId="0" borderId="61" xfId="0" applyFont="1" applyBorder="1" applyAlignment="1">
      <alignment vertical="top" wrapText="1"/>
    </xf>
    <xf numFmtId="0" fontId="55" fillId="0" borderId="57" xfId="0" applyFont="1" applyBorder="1" applyAlignment="1">
      <alignment vertical="top" wrapText="1"/>
    </xf>
    <xf numFmtId="0" fontId="55" fillId="0" borderId="58" xfId="0" applyFont="1" applyBorder="1" applyAlignment="1">
      <alignment vertical="top" wrapText="1"/>
    </xf>
    <xf numFmtId="0" fontId="55" fillId="0" borderId="59" xfId="0" applyFont="1" applyBorder="1" applyAlignment="1">
      <alignment vertical="top" wrapText="1"/>
    </xf>
    <xf numFmtId="0" fontId="55" fillId="0" borderId="55" xfId="0" applyFont="1" applyBorder="1" applyAlignment="1">
      <alignment vertical="top" wrapText="1"/>
    </xf>
    <xf numFmtId="0" fontId="55" fillId="0" borderId="65" xfId="0" applyFont="1" applyBorder="1" applyAlignment="1">
      <alignment vertical="top" wrapText="1"/>
    </xf>
    <xf numFmtId="0" fontId="55" fillId="0" borderId="0" xfId="0" applyFont="1" applyAlignment="1">
      <alignment vertical="top" wrapText="1"/>
    </xf>
    <xf numFmtId="0" fontId="55" fillId="0" borderId="63" xfId="0" applyFont="1" applyBorder="1" applyAlignment="1">
      <alignment vertical="top" wrapText="1"/>
    </xf>
    <xf numFmtId="0" fontId="52" fillId="0" borderId="67" xfId="0" applyFont="1" applyBorder="1" applyAlignment="1">
      <alignment vertical="top" wrapText="1"/>
    </xf>
    <xf numFmtId="0" fontId="52" fillId="0" borderId="68" xfId="0" applyFont="1" applyBorder="1" applyAlignment="1">
      <alignment vertical="top" wrapText="1"/>
    </xf>
    <xf numFmtId="0" fontId="52" fillId="0" borderId="66" xfId="0" applyFont="1" applyBorder="1" applyAlignment="1">
      <alignment vertical="top" wrapText="1"/>
    </xf>
    <xf numFmtId="0" fontId="54" fillId="43" borderId="58" xfId="0" applyFont="1" applyFill="1" applyBorder="1" applyAlignment="1">
      <alignment horizontal="center" vertical="top" wrapText="1"/>
    </xf>
    <xf numFmtId="0" fontId="54" fillId="43" borderId="59" xfId="0" applyFont="1" applyFill="1" applyBorder="1" applyAlignment="1">
      <alignment horizontal="center" vertical="top" wrapText="1"/>
    </xf>
    <xf numFmtId="0" fontId="54" fillId="43" borderId="55" xfId="0" applyFont="1" applyFill="1" applyBorder="1" applyAlignment="1">
      <alignment horizontal="center" vertical="top" wrapText="1"/>
    </xf>
    <xf numFmtId="0" fontId="55" fillId="0" borderId="67" xfId="0" applyFont="1" applyBorder="1" applyAlignment="1">
      <alignment vertical="top" wrapText="1"/>
    </xf>
    <xf numFmtId="0" fontId="55" fillId="0" borderId="68" xfId="0" applyFont="1" applyBorder="1" applyAlignment="1">
      <alignment vertical="top" wrapText="1"/>
    </xf>
    <xf numFmtId="0" fontId="55" fillId="0" borderId="66" xfId="0" applyFont="1" applyBorder="1" applyAlignment="1">
      <alignment vertical="top" wrapText="1"/>
    </xf>
    <xf numFmtId="0" fontId="56" fillId="0" borderId="64" xfId="0" applyFont="1" applyBorder="1" applyAlignment="1">
      <alignment horizontal="center" vertical="top" wrapText="1"/>
    </xf>
    <xf numFmtId="0" fontId="56" fillId="0" borderId="62" xfId="0" applyFont="1" applyBorder="1" applyAlignment="1">
      <alignment horizontal="center" vertical="top" wrapText="1"/>
    </xf>
    <xf numFmtId="0" fontId="56" fillId="0" borderId="56" xfId="0" applyFont="1" applyBorder="1" applyAlignment="1">
      <alignment horizontal="center" vertical="top" wrapText="1"/>
    </xf>
    <xf numFmtId="0" fontId="55" fillId="0" borderId="64" xfId="0" applyFont="1" applyBorder="1" applyAlignment="1">
      <alignment horizontal="center" vertical="top" wrapText="1"/>
    </xf>
    <xf numFmtId="0" fontId="55" fillId="0" borderId="62" xfId="0" applyFont="1" applyBorder="1" applyAlignment="1">
      <alignment horizontal="center" vertical="top" wrapText="1"/>
    </xf>
    <xf numFmtId="0" fontId="55" fillId="0" borderId="56" xfId="0" applyFont="1" applyBorder="1" applyAlignment="1">
      <alignment horizontal="center" vertical="top" wrapText="1"/>
    </xf>
    <xf numFmtId="0" fontId="51" fillId="42" borderId="58" xfId="0" applyFont="1" applyFill="1" applyBorder="1" applyAlignment="1">
      <alignment horizontal="center" vertical="top" wrapText="1"/>
    </xf>
    <xf numFmtId="0" fontId="51" fillId="42" borderId="59" xfId="0" applyFont="1" applyFill="1" applyBorder="1" applyAlignment="1">
      <alignment horizontal="center" vertical="top" wrapText="1"/>
    </xf>
    <xf numFmtId="0" fontId="51" fillId="42" borderId="55" xfId="0" applyFont="1" applyFill="1" applyBorder="1" applyAlignment="1">
      <alignment horizontal="center" vertical="top" wrapText="1"/>
    </xf>
    <xf numFmtId="0" fontId="52" fillId="0" borderId="60" xfId="0" applyFont="1" applyBorder="1" applyAlignment="1">
      <alignment vertical="top" wrapText="1"/>
    </xf>
    <xf numFmtId="0" fontId="52" fillId="0" borderId="61" xfId="0" applyFont="1" applyBorder="1" applyAlignment="1">
      <alignment vertical="top" wrapText="1"/>
    </xf>
    <xf numFmtId="0" fontId="52" fillId="0" borderId="57" xfId="0" applyFont="1" applyBorder="1" applyAlignment="1">
      <alignment vertical="top" wrapText="1"/>
    </xf>
    <xf numFmtId="0" fontId="52" fillId="0" borderId="58" xfId="0" applyFont="1" applyBorder="1" applyAlignment="1">
      <alignment vertical="top" wrapText="1"/>
    </xf>
    <xf numFmtId="0" fontId="52" fillId="0" borderId="59" xfId="0" applyFont="1" applyBorder="1" applyAlignment="1">
      <alignment vertical="top" wrapText="1"/>
    </xf>
    <xf numFmtId="0" fontId="52" fillId="0" borderId="55" xfId="0" applyFont="1" applyBorder="1" applyAlignment="1">
      <alignment vertical="top" wrapText="1"/>
    </xf>
    <xf numFmtId="0" fontId="57" fillId="50" borderId="58" xfId="0" applyFont="1" applyFill="1" applyBorder="1" applyAlignment="1">
      <alignment horizontal="center" vertical="center" wrapText="1"/>
    </xf>
    <xf numFmtId="0" fontId="57" fillId="50" borderId="55" xfId="0" applyFont="1" applyFill="1" applyBorder="1" applyAlignment="1">
      <alignment horizontal="center" vertical="center" wrapText="1"/>
    </xf>
    <xf numFmtId="0" fontId="57" fillId="52" borderId="58" xfId="0" applyFont="1" applyFill="1" applyBorder="1" applyAlignment="1">
      <alignment horizontal="center" vertical="center" wrapText="1"/>
    </xf>
    <xf numFmtId="0" fontId="57" fillId="52" borderId="55" xfId="0" applyFont="1" applyFill="1" applyBorder="1" applyAlignment="1">
      <alignment horizontal="center" vertical="center" wrapText="1"/>
    </xf>
    <xf numFmtId="0" fontId="57" fillId="53" borderId="58" xfId="0" applyFont="1" applyFill="1" applyBorder="1" applyAlignment="1">
      <alignment horizontal="center" vertical="center"/>
    </xf>
    <xf numFmtId="0" fontId="57" fillId="53" borderId="55" xfId="0" applyFont="1" applyFill="1" applyBorder="1" applyAlignment="1">
      <alignment horizontal="center" vertical="center"/>
    </xf>
    <xf numFmtId="0" fontId="62" fillId="57" borderId="41" xfId="0" applyFont="1" applyFill="1" applyBorder="1" applyAlignment="1">
      <alignment horizontal="center" vertical="center"/>
    </xf>
    <xf numFmtId="0" fontId="62" fillId="57" borderId="43" xfId="0" applyFont="1" applyFill="1" applyBorder="1" applyAlignment="1">
      <alignment horizontal="center" vertical="center"/>
    </xf>
    <xf numFmtId="0" fontId="57" fillId="30" borderId="59" xfId="0" applyFont="1" applyFill="1" applyBorder="1" applyAlignment="1">
      <alignment horizontal="center" vertical="center"/>
    </xf>
    <xf numFmtId="0" fontId="57" fillId="30" borderId="55" xfId="0" applyFont="1" applyFill="1" applyBorder="1" applyAlignment="1">
      <alignment horizontal="center" vertical="center"/>
    </xf>
    <xf numFmtId="0" fontId="57" fillId="44" borderId="58" xfId="0" applyFont="1" applyFill="1" applyBorder="1" applyAlignment="1">
      <alignment horizontal="center" vertical="center"/>
    </xf>
    <xf numFmtId="0" fontId="57" fillId="44" borderId="59" xfId="0" applyFont="1" applyFill="1" applyBorder="1" applyAlignment="1">
      <alignment horizontal="center" vertical="center"/>
    </xf>
    <xf numFmtId="0" fontId="57" fillId="44" borderId="55" xfId="0" applyFont="1" applyFill="1" applyBorder="1" applyAlignment="1">
      <alignment horizontal="center" vertical="center"/>
    </xf>
    <xf numFmtId="0" fontId="57" fillId="45" borderId="58" xfId="0" applyFont="1" applyFill="1" applyBorder="1" applyAlignment="1">
      <alignment horizontal="center" vertical="center"/>
    </xf>
    <xf numFmtId="0" fontId="57" fillId="45" borderId="59" xfId="0" applyFont="1" applyFill="1" applyBorder="1" applyAlignment="1">
      <alignment horizontal="center" vertical="center"/>
    </xf>
    <xf numFmtId="0" fontId="57" fillId="45" borderId="55" xfId="0" applyFont="1" applyFill="1" applyBorder="1" applyAlignment="1">
      <alignment horizontal="center" vertical="center"/>
    </xf>
    <xf numFmtId="0" fontId="57" fillId="47" borderId="58" xfId="0" applyFont="1" applyFill="1" applyBorder="1" applyAlignment="1">
      <alignment horizontal="center" vertical="center"/>
    </xf>
    <xf numFmtId="0" fontId="57" fillId="47" borderId="59" xfId="0" applyFont="1" applyFill="1" applyBorder="1" applyAlignment="1">
      <alignment horizontal="center" vertical="center"/>
    </xf>
    <xf numFmtId="0" fontId="57" fillId="47" borderId="55" xfId="0" applyFont="1" applyFill="1" applyBorder="1" applyAlignment="1">
      <alignment horizontal="center" vertical="center"/>
    </xf>
    <xf numFmtId="0" fontId="57" fillId="48" borderId="58" xfId="0" applyFont="1" applyFill="1" applyBorder="1" applyAlignment="1">
      <alignment horizontal="center" vertical="center"/>
    </xf>
    <xf numFmtId="0" fontId="57" fillId="48" borderId="59" xfId="0" applyFont="1" applyFill="1" applyBorder="1" applyAlignment="1">
      <alignment horizontal="center" vertical="center"/>
    </xf>
    <xf numFmtId="0" fontId="57" fillId="48" borderId="55" xfId="0" applyFont="1" applyFill="1" applyBorder="1" applyAlignment="1">
      <alignment horizontal="center" vertical="center"/>
    </xf>
    <xf numFmtId="0" fontId="41" fillId="24" borderId="33" xfId="0" applyFont="1" applyFill="1" applyBorder="1" applyAlignment="1">
      <alignment horizontal="center" vertical="center"/>
    </xf>
    <xf numFmtId="0" fontId="41" fillId="24" borderId="35" xfId="0" applyFont="1" applyFill="1" applyBorder="1" applyAlignment="1">
      <alignment horizontal="center" vertical="center"/>
    </xf>
    <xf numFmtId="0" fontId="41" fillId="24" borderId="37" xfId="0" applyFont="1" applyFill="1" applyBorder="1" applyAlignment="1">
      <alignment horizontal="center" vertical="center"/>
    </xf>
    <xf numFmtId="0" fontId="43" fillId="29" borderId="20" xfId="45" applyFont="1" applyFill="1" applyBorder="1" applyAlignment="1">
      <alignment horizontal="center" vertical="top" wrapText="1"/>
    </xf>
    <xf numFmtId="0" fontId="43" fillId="29" borderId="21" xfId="45" applyFont="1" applyFill="1" applyBorder="1" applyAlignment="1">
      <alignment horizontal="center" vertical="top" wrapText="1"/>
    </xf>
    <xf numFmtId="0" fontId="41" fillId="24" borderId="26" xfId="0" applyFont="1" applyFill="1" applyBorder="1" applyAlignment="1">
      <alignment horizontal="center" vertical="center"/>
    </xf>
    <xf numFmtId="0" fontId="41" fillId="24" borderId="27" xfId="0" applyFont="1" applyFill="1" applyBorder="1" applyAlignment="1">
      <alignment horizontal="center" vertical="center"/>
    </xf>
    <xf numFmtId="0" fontId="44" fillId="0" borderId="18" xfId="0" applyFont="1" applyBorder="1" applyAlignment="1">
      <alignment horizontal="center" vertical="center"/>
    </xf>
    <xf numFmtId="0" fontId="44" fillId="0" borderId="36" xfId="0" applyFont="1" applyBorder="1" applyAlignment="1">
      <alignment horizontal="center" vertical="center"/>
    </xf>
    <xf numFmtId="0" fontId="41" fillId="24" borderId="34" xfId="0" applyFont="1" applyFill="1" applyBorder="1" applyAlignment="1">
      <alignment horizontal="center" vertical="center" wrapText="1"/>
    </xf>
    <xf numFmtId="0" fontId="41" fillId="24" borderId="12" xfId="0" applyFont="1" applyFill="1" applyBorder="1" applyAlignment="1">
      <alignment horizontal="center" vertical="center" wrapText="1"/>
    </xf>
    <xf numFmtId="0" fontId="41" fillId="24" borderId="14" xfId="0" applyFont="1" applyFill="1" applyBorder="1" applyAlignment="1">
      <alignment horizontal="center" vertical="center" wrapText="1"/>
    </xf>
    <xf numFmtId="0" fontId="41" fillId="24" borderId="16" xfId="0" applyFont="1" applyFill="1" applyBorder="1" applyAlignment="1">
      <alignment horizontal="center" vertical="center" wrapText="1"/>
    </xf>
    <xf numFmtId="0" fontId="41" fillId="24" borderId="13" xfId="0" applyFont="1" applyFill="1" applyBorder="1" applyAlignment="1">
      <alignment horizontal="center" vertical="center" wrapText="1"/>
    </xf>
    <xf numFmtId="0" fontId="48" fillId="28" borderId="0" xfId="0" applyFont="1" applyFill="1" applyAlignment="1">
      <alignment horizontal="center" vertical="center"/>
    </xf>
    <xf numFmtId="0" fontId="49" fillId="28" borderId="0" xfId="0" applyFont="1" applyFill="1" applyAlignment="1">
      <alignment horizontal="center"/>
    </xf>
  </cellXfs>
  <cellStyles count="46">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 2" xfId="37" xr:uid="{00000000-0005-0000-0000-000025000000}"/>
    <cellStyle name="Normal 2 2" xfId="38" xr:uid="{00000000-0005-0000-0000-000026000000}"/>
    <cellStyle name="Normal 2 2 2" xfId="39" xr:uid="{00000000-0005-0000-0000-000027000000}"/>
    <cellStyle name="Normal 3" xfId="45" xr:uid="{00000000-0005-0000-0000-000028000000}"/>
    <cellStyle name="Note" xfId="40" builtinId="10" customBuiltin="1"/>
    <cellStyle name="Output" xfId="41" builtinId="21" customBuiltin="1"/>
    <cellStyle name="Title" xfId="42" builtinId="15" customBuiltin="1"/>
    <cellStyle name="Total" xfId="43" builtinId="25" customBuiltin="1"/>
    <cellStyle name="Warning Text" xfId="44" builtinId="11" customBuiltin="1"/>
  </cellStyles>
  <dxfs count="0"/>
  <tableStyles count="0" defaultTableStyle="TableStyleMedium9" defaultPivotStyle="PivotStyleLight16"/>
  <colors>
    <mruColors>
      <color rgb="FFFFFD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1973036</xdr:colOff>
      <xdr:row>1</xdr:row>
      <xdr:rowOff>0</xdr:rowOff>
    </xdr:from>
    <xdr:to>
      <xdr:col>22</xdr:col>
      <xdr:colOff>966106</xdr:colOff>
      <xdr:row>5</xdr:row>
      <xdr:rowOff>0</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272393" y="312964"/>
          <a:ext cx="23553963" cy="816429"/>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600" b="1" baseline="0">
              <a:solidFill>
                <a:schemeClr val="bg1"/>
              </a:solidFill>
              <a:latin typeface="Arial Narrow" pitchFamily="34" charset="0"/>
            </a:rPr>
            <a:t>HARD SKILL DIVISI INFORMATION TECHNOLOGY</a:t>
          </a:r>
          <a:endParaRPr lang="en-ID" sz="1600" b="1" baseline="0">
            <a:solidFill>
              <a:schemeClr val="bg1"/>
            </a:solidFill>
            <a:latin typeface="Arial Narrow" pitchFamily="34" charset="0"/>
          </a:endParaRPr>
        </a:p>
      </xdr:txBody>
    </xdr:sp>
    <xdr:clientData/>
  </xdr:twoCellAnchor>
  <xdr:twoCellAnchor>
    <xdr:from>
      <xdr:col>0</xdr:col>
      <xdr:colOff>56029</xdr:colOff>
      <xdr:row>1</xdr:row>
      <xdr:rowOff>7328</xdr:rowOff>
    </xdr:from>
    <xdr:to>
      <xdr:col>1</xdr:col>
      <xdr:colOff>1977090</xdr:colOff>
      <xdr:row>4</xdr:row>
      <xdr:rowOff>171450</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56029" y="321653"/>
          <a:ext cx="3249146" cy="735622"/>
        </a:xfrm>
        <a:prstGeom prst="rect">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US"/>
        </a:p>
      </xdr:txBody>
    </xdr:sp>
    <xdr:clientData/>
  </xdr:twoCellAnchor>
  <xdr:twoCellAnchor editAs="oneCell">
    <xdr:from>
      <xdr:col>1</xdr:col>
      <xdr:colOff>114300</xdr:colOff>
      <xdr:row>1</xdr:row>
      <xdr:rowOff>95250</xdr:rowOff>
    </xdr:from>
    <xdr:to>
      <xdr:col>1</xdr:col>
      <xdr:colOff>1504950</xdr:colOff>
      <xdr:row>4</xdr:row>
      <xdr:rowOff>95250</xdr:rowOff>
    </xdr:to>
    <xdr:pic>
      <xdr:nvPicPr>
        <xdr:cNvPr id="2393" name="Picture 3" descr="Equity11.gif">
          <a:extLst>
            <a:ext uri="{FF2B5EF4-FFF2-40B4-BE49-F238E27FC236}">
              <a16:creationId xmlns:a16="http://schemas.microsoft.com/office/drawing/2014/main" id="{00000000-0008-0000-0100-0000590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9575" y="409575"/>
          <a:ext cx="13906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1973037</xdr:colOff>
      <xdr:row>1</xdr:row>
      <xdr:rowOff>0</xdr:rowOff>
    </xdr:from>
    <xdr:to>
      <xdr:col>17</xdr:col>
      <xdr:colOff>11906</xdr:colOff>
      <xdr:row>5</xdr:row>
      <xdr:rowOff>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2268312" y="314325"/>
          <a:ext cx="14088494" cy="838200"/>
        </a:xfrm>
        <a:prstGeom prst="rect">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600" b="1" baseline="0">
              <a:solidFill>
                <a:schemeClr val="bg1"/>
              </a:solidFill>
              <a:latin typeface="Arial Narrow" panose="020B0606020202030204" pitchFamily="34" charset="0"/>
            </a:rPr>
            <a:t>HARD SKILL </a:t>
          </a:r>
          <a:r>
            <a:rPr lang="id-ID" sz="1600" b="1" baseline="0">
              <a:solidFill>
                <a:schemeClr val="bg1"/>
              </a:solidFill>
              <a:latin typeface="Arial Narrow" panose="020B0606020202030204" pitchFamily="34" charset="0"/>
            </a:rPr>
            <a:t>IT </a:t>
          </a:r>
          <a:r>
            <a:rPr lang="en-US" sz="1600" b="1" baseline="0">
              <a:solidFill>
                <a:schemeClr val="bg1"/>
              </a:solidFill>
              <a:latin typeface="Arial Narrow" panose="020B0606020202030204" pitchFamily="34" charset="0"/>
            </a:rPr>
            <a:t>DIVISI</a:t>
          </a:r>
          <a:r>
            <a:rPr lang="id-ID" sz="1600" b="1" baseline="0">
              <a:solidFill>
                <a:schemeClr val="bg1"/>
              </a:solidFill>
              <a:latin typeface="Arial Narrow" panose="020B0606020202030204" pitchFamily="34" charset="0"/>
            </a:rPr>
            <a:t>ON</a:t>
          </a:r>
        </a:p>
      </xdr:txBody>
    </xdr:sp>
    <xdr:clientData/>
  </xdr:twoCellAnchor>
  <xdr:twoCellAnchor>
    <xdr:from>
      <xdr:col>0</xdr:col>
      <xdr:colOff>56029</xdr:colOff>
      <xdr:row>1</xdr:row>
      <xdr:rowOff>7328</xdr:rowOff>
    </xdr:from>
    <xdr:to>
      <xdr:col>1</xdr:col>
      <xdr:colOff>1977090</xdr:colOff>
      <xdr:row>4</xdr:row>
      <xdr:rowOff>171450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56029" y="321653"/>
          <a:ext cx="2216336" cy="792772"/>
        </a:xfrm>
        <a:prstGeom prst="rect">
          <a:avLst/>
        </a:prstGeom>
      </xdr:spPr>
      <xdr:style>
        <a:lnRef idx="2">
          <a:schemeClr val="dk1"/>
        </a:lnRef>
        <a:fillRef idx="1">
          <a:schemeClr val="lt1"/>
        </a:fillRef>
        <a:effectRef idx="0">
          <a:schemeClr val="dk1"/>
        </a:effectRef>
        <a:fontRef idx="minor">
          <a:schemeClr val="dk1"/>
        </a:fontRef>
      </xdr:style>
      <xdr:txBody>
        <a:bodyPr rtlCol="0" anchor="ctr"/>
        <a:lstStyle/>
        <a:p>
          <a:endParaRPr lang="en-US"/>
        </a:p>
      </xdr:txBody>
    </xdr:sp>
    <xdr:clientData/>
  </xdr:twoCellAnchor>
  <xdr:twoCellAnchor editAs="oneCell">
    <xdr:from>
      <xdr:col>1</xdr:col>
      <xdr:colOff>114300</xdr:colOff>
      <xdr:row>1</xdr:row>
      <xdr:rowOff>95250</xdr:rowOff>
    </xdr:from>
    <xdr:to>
      <xdr:col>1</xdr:col>
      <xdr:colOff>609600</xdr:colOff>
      <xdr:row>4</xdr:row>
      <xdr:rowOff>95250</xdr:rowOff>
    </xdr:to>
    <xdr:pic>
      <xdr:nvPicPr>
        <xdr:cNvPr id="4" name="Picture 3" descr="Equity11.gif">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09575" y="409575"/>
          <a:ext cx="13906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56029</xdr:colOff>
      <xdr:row>1</xdr:row>
      <xdr:rowOff>7328</xdr:rowOff>
    </xdr:from>
    <xdr:to>
      <xdr:col>1</xdr:col>
      <xdr:colOff>1977090</xdr:colOff>
      <xdr:row>4</xdr:row>
      <xdr:rowOff>171450</xdr:rowOff>
    </xdr:to>
    <xdr:sp macro="" textlink="">
      <xdr:nvSpPr>
        <xdr:cNvPr id="3" name="Rectangle 2">
          <a:extLst>
            <a:ext uri="{FF2B5EF4-FFF2-40B4-BE49-F238E27FC236}">
              <a16:creationId xmlns:a16="http://schemas.microsoft.com/office/drawing/2014/main" id="{00000000-0008-0000-0300-000003000000}"/>
            </a:ext>
          </a:extLst>
        </xdr:cNvPr>
        <xdr:cNvSpPr/>
      </xdr:nvSpPr>
      <xdr:spPr>
        <a:xfrm>
          <a:off x="56029" y="321653"/>
          <a:ext cx="2216336" cy="792772"/>
        </a:xfrm>
        <a:prstGeom prst="rect">
          <a:avLst/>
        </a:prstGeom>
        <a:ln/>
      </xdr:spPr>
      <xdr:style>
        <a:lnRef idx="2">
          <a:schemeClr val="dk1"/>
        </a:lnRef>
        <a:fillRef idx="1">
          <a:schemeClr val="lt1"/>
        </a:fillRef>
        <a:effectRef idx="0">
          <a:schemeClr val="dk1"/>
        </a:effectRef>
        <a:fontRef idx="minor">
          <a:schemeClr val="dk1"/>
        </a:fontRef>
      </xdr:style>
      <xdr:txBody>
        <a:bodyPr rtlCol="0" anchor="ctr"/>
        <a:lstStyle/>
        <a:p>
          <a:endParaRPr lang="en-US"/>
        </a:p>
      </xdr:txBody>
    </xdr:sp>
    <xdr:clientData/>
  </xdr:twoCellAnchor>
  <xdr:twoCellAnchor editAs="oneCell">
    <xdr:from>
      <xdr:col>1</xdr:col>
      <xdr:colOff>114300</xdr:colOff>
      <xdr:row>1</xdr:row>
      <xdr:rowOff>95250</xdr:rowOff>
    </xdr:from>
    <xdr:to>
      <xdr:col>1</xdr:col>
      <xdr:colOff>1041400</xdr:colOff>
      <xdr:row>4</xdr:row>
      <xdr:rowOff>21363</xdr:rowOff>
    </xdr:to>
    <xdr:pic>
      <xdr:nvPicPr>
        <xdr:cNvPr id="4" name="Picture 3" descr="Equity11.gif">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57200" y="412750"/>
          <a:ext cx="9271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27</xdr:col>
      <xdr:colOff>596900</xdr:colOff>
      <xdr:row>60</xdr:row>
      <xdr:rowOff>76200</xdr:rowOff>
    </xdr:to>
    <xdr:pic>
      <xdr:nvPicPr>
        <xdr:cNvPr id="2" name="Picture 1">
          <a:extLst>
            <a:ext uri="{FF2B5EF4-FFF2-40B4-BE49-F238E27FC236}">
              <a16:creationId xmlns:a16="http://schemas.microsoft.com/office/drawing/2014/main" id="{786D3063-5C97-5946-2DDC-A147BAA538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885400" cy="11506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Endiaz Ludia Arsanto" id="{3FA8A66F-0E39-524A-9223-F6496B2792CF}" userId="S::endiaz.arsanto@equitylife.onmicrosoft.com::26d3c69d-9f2c-402b-9639-aee4a11917b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O56" dT="2025-02-24T16:27:44.29" personId="{3FA8A66F-0E39-524A-9223-F6496B2792CF}" id="{051C7FF0-BB78-1246-801A-915107235480}">
    <text xml:space="preserve">Regenerasi Leader (Pak Waton)
</text>
  </threadedComment>
  <threadedComment ref="AM56" dT="2025-02-24T16:35:06.20" personId="{3FA8A66F-0E39-524A-9223-F6496B2792CF}" id="{EEB48890-0E5B-E746-8AB9-7B266FB0D67C}">
    <text xml:space="preserve">Regenerasi Pak Noor
</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5C777-0416-8149-811E-C1E16E06DD73}">
  <dimension ref="B2:D10"/>
  <sheetViews>
    <sheetView zoomScale="162" workbookViewId="0">
      <selection activeCell="D21" sqref="D21"/>
    </sheetView>
  </sheetViews>
  <sheetFormatPr baseColWidth="10" defaultRowHeight="14"/>
  <cols>
    <col min="1" max="1" width="4.33203125" style="167" customWidth="1"/>
    <col min="2" max="2" width="7" style="167" customWidth="1"/>
    <col min="3" max="3" width="15.5" style="167" customWidth="1"/>
    <col min="4" max="4" width="86.5" style="167" customWidth="1"/>
    <col min="5" max="5" width="6.5" style="167" customWidth="1"/>
    <col min="6" max="16384" width="10.83203125" style="167"/>
  </cols>
  <sheetData>
    <row r="2" spans="2:4" ht="15" thickBot="1"/>
    <row r="3" spans="2:4" ht="18" thickBot="1">
      <c r="B3" s="287" t="s">
        <v>207</v>
      </c>
      <c r="C3" s="288" t="s">
        <v>208</v>
      </c>
      <c r="D3" s="288" t="s">
        <v>209</v>
      </c>
    </row>
    <row r="4" spans="2:4" ht="31" thickBot="1">
      <c r="B4" s="285">
        <v>1</v>
      </c>
      <c r="C4" s="286" t="s">
        <v>210</v>
      </c>
      <c r="D4" s="286" t="s">
        <v>211</v>
      </c>
    </row>
    <row r="5" spans="2:4" ht="46" thickBot="1">
      <c r="B5" s="285">
        <v>2</v>
      </c>
      <c r="C5" s="286" t="s">
        <v>212</v>
      </c>
      <c r="D5" s="286" t="s">
        <v>213</v>
      </c>
    </row>
    <row r="6" spans="2:4" ht="46" thickBot="1">
      <c r="B6" s="285">
        <v>3</v>
      </c>
      <c r="C6" s="286" t="s">
        <v>214</v>
      </c>
      <c r="D6" s="286" t="s">
        <v>215</v>
      </c>
    </row>
    <row r="7" spans="2:4" ht="46" thickBot="1">
      <c r="B7" s="285">
        <v>4</v>
      </c>
      <c r="C7" s="286" t="s">
        <v>216</v>
      </c>
      <c r="D7" s="286" t="s">
        <v>217</v>
      </c>
    </row>
    <row r="8" spans="2:4" ht="46" thickBot="1">
      <c r="B8" s="285">
        <v>5</v>
      </c>
      <c r="C8" s="286" t="s">
        <v>218</v>
      </c>
      <c r="D8" s="286" t="s">
        <v>219</v>
      </c>
    </row>
    <row r="9" spans="2:4" ht="46" thickBot="1">
      <c r="B9" s="285">
        <v>6</v>
      </c>
      <c r="C9" s="286" t="s">
        <v>220</v>
      </c>
      <c r="D9" s="286" t="s">
        <v>221</v>
      </c>
    </row>
    <row r="10" spans="2:4" ht="31" thickBot="1">
      <c r="B10" s="285">
        <v>7</v>
      </c>
      <c r="C10" s="286" t="s">
        <v>222</v>
      </c>
      <c r="D10" s="286" t="s">
        <v>223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7"/>
  <sheetViews>
    <sheetView zoomScale="80" zoomScaleNormal="80" workbookViewId="0">
      <pane xSplit="4" ySplit="9" topLeftCell="E10" activePane="bottomRight" state="frozen"/>
      <selection pane="topRight" activeCell="E1" sqref="E1"/>
      <selection pane="bottomLeft" activeCell="A10" sqref="A10"/>
      <selection pane="bottomRight" activeCell="E10" sqref="E10"/>
    </sheetView>
  </sheetViews>
  <sheetFormatPr baseColWidth="10" defaultColWidth="9.1640625" defaultRowHeight="14"/>
  <cols>
    <col min="1" max="1" width="4.5" style="8" customWidth="1"/>
    <col min="2" max="2" width="29.6640625" style="1" customWidth="1"/>
    <col min="3" max="3" width="37.1640625" style="1" customWidth="1"/>
    <col min="4" max="4" width="53.33203125" style="1" customWidth="1"/>
    <col min="5" max="5" width="9.6640625" style="1" customWidth="1"/>
    <col min="6" max="28" width="14.6640625" style="1" customWidth="1"/>
    <col min="29" max="16384" width="9.1640625" style="1"/>
  </cols>
  <sheetData>
    <row r="1" spans="1:23" s="5" customFormat="1" ht="25" customHeight="1">
      <c r="A1" s="2"/>
      <c r="B1" s="4"/>
      <c r="C1" s="4"/>
      <c r="D1" s="4"/>
    </row>
    <row r="2" spans="1:23" customFormat="1" ht="17" customHeight="1"/>
    <row r="3" spans="1:23" customFormat="1" ht="17" customHeight="1">
      <c r="B3" s="10"/>
      <c r="C3" s="10"/>
      <c r="D3" s="10"/>
    </row>
    <row r="4" spans="1:23" customFormat="1" ht="17" customHeight="1"/>
    <row r="5" spans="1:23" customFormat="1" ht="17" customHeight="1">
      <c r="B5" s="10"/>
      <c r="C5" s="10"/>
      <c r="D5" s="10"/>
    </row>
    <row r="6" spans="1:23" customFormat="1" ht="7.5" customHeight="1">
      <c r="B6" s="10"/>
      <c r="C6" s="10"/>
      <c r="D6" s="10"/>
    </row>
    <row r="7" spans="1:23" s="6" customFormat="1" ht="20" customHeight="1">
      <c r="A7" s="301" t="s">
        <v>1</v>
      </c>
      <c r="B7" s="302" t="s">
        <v>2</v>
      </c>
      <c r="C7" s="303" t="s">
        <v>3</v>
      </c>
      <c r="D7" s="303" t="s">
        <v>4</v>
      </c>
      <c r="E7" s="297" t="s">
        <v>0</v>
      </c>
      <c r="F7" s="298"/>
      <c r="G7" s="298"/>
      <c r="H7" s="298"/>
      <c r="I7" s="298"/>
      <c r="J7" s="298"/>
      <c r="K7" s="298"/>
      <c r="L7" s="298"/>
      <c r="M7" s="298"/>
      <c r="N7" s="298"/>
      <c r="O7" s="298"/>
      <c r="P7" s="298"/>
      <c r="Q7" s="298"/>
      <c r="R7" s="298"/>
      <c r="S7" s="298"/>
      <c r="T7" s="298"/>
      <c r="U7" s="298"/>
      <c r="V7" s="298"/>
      <c r="W7" s="298"/>
    </row>
    <row r="8" spans="1:23" s="6" customFormat="1" ht="21" customHeight="1">
      <c r="A8" s="301"/>
      <c r="B8" s="302"/>
      <c r="C8" s="304"/>
      <c r="D8" s="304"/>
      <c r="E8" s="299" t="s">
        <v>5</v>
      </c>
      <c r="F8" s="300"/>
      <c r="G8" s="300"/>
      <c r="H8" s="300"/>
      <c r="I8" s="300"/>
      <c r="J8" s="300"/>
      <c r="K8" s="300"/>
      <c r="L8" s="300"/>
      <c r="M8" s="300"/>
      <c r="N8" s="300"/>
      <c r="O8" s="300"/>
      <c r="P8" s="300"/>
      <c r="Q8" s="300"/>
      <c r="R8" s="300"/>
      <c r="S8" s="300"/>
      <c r="T8" s="300"/>
      <c r="U8" s="300"/>
      <c r="V8" s="300"/>
      <c r="W8" s="300"/>
    </row>
    <row r="9" spans="1:23" s="3" customFormat="1" ht="82.5" customHeight="1">
      <c r="A9" s="301"/>
      <c r="B9" s="302"/>
      <c r="C9" s="305"/>
      <c r="D9" s="305"/>
      <c r="E9" s="11" t="s">
        <v>6</v>
      </c>
      <c r="F9" s="11" t="s">
        <v>7</v>
      </c>
      <c r="G9" s="11" t="s">
        <v>8</v>
      </c>
      <c r="H9" s="11" t="s">
        <v>9</v>
      </c>
      <c r="I9" s="11" t="s">
        <v>10</v>
      </c>
      <c r="J9" s="11" t="s">
        <v>11</v>
      </c>
      <c r="K9" s="11" t="s">
        <v>12</v>
      </c>
      <c r="L9" s="15" t="s">
        <v>40</v>
      </c>
      <c r="M9" s="11" t="s">
        <v>13</v>
      </c>
      <c r="N9" s="11" t="s">
        <v>14</v>
      </c>
      <c r="O9" s="11" t="s">
        <v>41</v>
      </c>
      <c r="P9" s="11" t="s">
        <v>15</v>
      </c>
      <c r="Q9" s="11" t="s">
        <v>16</v>
      </c>
      <c r="R9" s="11" t="s">
        <v>17</v>
      </c>
      <c r="S9" s="11" t="s">
        <v>18</v>
      </c>
      <c r="T9" s="11" t="s">
        <v>19</v>
      </c>
      <c r="U9" s="11" t="s">
        <v>20</v>
      </c>
      <c r="V9" s="11" t="s">
        <v>21</v>
      </c>
      <c r="W9" s="11" t="s">
        <v>22</v>
      </c>
    </row>
    <row r="10" spans="1:23" s="7" customFormat="1" ht="170">
      <c r="A10" s="12">
        <v>1</v>
      </c>
      <c r="B10" s="13" t="s">
        <v>23</v>
      </c>
      <c r="C10" s="13" t="s">
        <v>24</v>
      </c>
      <c r="D10" s="13" t="s">
        <v>42</v>
      </c>
      <c r="E10" s="14">
        <v>3</v>
      </c>
      <c r="F10" s="14">
        <v>3</v>
      </c>
      <c r="G10" s="14">
        <v>3</v>
      </c>
      <c r="H10" s="14">
        <v>2</v>
      </c>
      <c r="I10" s="14">
        <v>3</v>
      </c>
      <c r="J10" s="14">
        <v>2</v>
      </c>
      <c r="K10" s="14">
        <v>3</v>
      </c>
      <c r="L10" s="14">
        <v>3</v>
      </c>
      <c r="M10" s="14">
        <v>2</v>
      </c>
      <c r="N10" s="14">
        <v>3</v>
      </c>
      <c r="O10" s="14">
        <v>3</v>
      </c>
      <c r="P10" s="14">
        <v>2</v>
      </c>
      <c r="Q10" s="14">
        <v>2</v>
      </c>
      <c r="R10" s="14">
        <v>3</v>
      </c>
      <c r="S10" s="14">
        <v>3</v>
      </c>
      <c r="T10" s="14">
        <v>2</v>
      </c>
      <c r="U10" s="14">
        <v>3</v>
      </c>
      <c r="V10" s="14">
        <v>2</v>
      </c>
      <c r="W10" s="14">
        <v>2</v>
      </c>
    </row>
    <row r="11" spans="1:23" s="7" customFormat="1" ht="119">
      <c r="A11" s="12">
        <v>2</v>
      </c>
      <c r="B11" s="13" t="s">
        <v>25</v>
      </c>
      <c r="C11" s="13" t="s">
        <v>26</v>
      </c>
      <c r="D11" s="13" t="s">
        <v>44</v>
      </c>
      <c r="E11" s="14">
        <v>3</v>
      </c>
      <c r="F11" s="14">
        <v>3</v>
      </c>
      <c r="G11" s="14">
        <v>3</v>
      </c>
      <c r="H11" s="14">
        <v>2</v>
      </c>
      <c r="I11" s="14">
        <v>3</v>
      </c>
      <c r="J11" s="14">
        <v>2</v>
      </c>
      <c r="K11" s="14">
        <v>3</v>
      </c>
      <c r="L11" s="14">
        <v>3</v>
      </c>
      <c r="M11" s="14">
        <v>2</v>
      </c>
      <c r="N11" s="16">
        <v>4</v>
      </c>
      <c r="O11" s="16">
        <v>4</v>
      </c>
      <c r="P11" s="16">
        <v>3</v>
      </c>
      <c r="Q11" s="16">
        <v>3</v>
      </c>
      <c r="R11" s="14">
        <v>2</v>
      </c>
      <c r="S11" s="14">
        <v>2</v>
      </c>
      <c r="T11" s="14">
        <v>2</v>
      </c>
      <c r="U11" s="14">
        <v>2</v>
      </c>
      <c r="V11" s="14">
        <v>2</v>
      </c>
      <c r="W11" s="14">
        <v>2</v>
      </c>
    </row>
    <row r="12" spans="1:23" s="7" customFormat="1" ht="255">
      <c r="A12" s="12">
        <v>3</v>
      </c>
      <c r="B12" s="13" t="s">
        <v>27</v>
      </c>
      <c r="C12" s="13" t="s">
        <v>28</v>
      </c>
      <c r="D12" s="13" t="s">
        <v>43</v>
      </c>
      <c r="E12" s="14">
        <v>3</v>
      </c>
      <c r="F12" s="14">
        <v>2</v>
      </c>
      <c r="G12" s="14">
        <v>2</v>
      </c>
      <c r="H12" s="14">
        <v>2</v>
      </c>
      <c r="I12" s="14">
        <v>2</v>
      </c>
      <c r="J12" s="14">
        <v>2</v>
      </c>
      <c r="K12" s="14">
        <v>2</v>
      </c>
      <c r="L12" s="14">
        <v>2</v>
      </c>
      <c r="M12" s="14">
        <v>2</v>
      </c>
      <c r="N12" s="14">
        <v>2</v>
      </c>
      <c r="O12" s="14">
        <v>2</v>
      </c>
      <c r="P12" s="14">
        <v>2</v>
      </c>
      <c r="Q12" s="14">
        <v>2</v>
      </c>
      <c r="R12" s="14">
        <v>4</v>
      </c>
      <c r="S12" s="14">
        <v>4</v>
      </c>
      <c r="T12" s="14">
        <v>3</v>
      </c>
      <c r="U12" s="14">
        <v>4</v>
      </c>
      <c r="V12" s="14">
        <v>3</v>
      </c>
      <c r="W12" s="14">
        <v>3</v>
      </c>
    </row>
    <row r="13" spans="1:23" s="7" customFormat="1" ht="136">
      <c r="A13" s="12">
        <v>4</v>
      </c>
      <c r="B13" s="13" t="s">
        <v>29</v>
      </c>
      <c r="C13" s="13" t="s">
        <v>30</v>
      </c>
      <c r="D13" s="13" t="s">
        <v>45</v>
      </c>
      <c r="E13" s="14">
        <v>3</v>
      </c>
      <c r="F13" s="14">
        <v>4</v>
      </c>
      <c r="G13" s="14">
        <v>4</v>
      </c>
      <c r="H13" s="14">
        <v>3</v>
      </c>
      <c r="I13" s="14">
        <v>4</v>
      </c>
      <c r="J13" s="14">
        <v>3</v>
      </c>
      <c r="K13" s="14">
        <v>3</v>
      </c>
      <c r="L13" s="14">
        <v>3</v>
      </c>
      <c r="M13" s="14">
        <v>2</v>
      </c>
      <c r="N13" s="16">
        <v>3</v>
      </c>
      <c r="O13" s="16">
        <v>3</v>
      </c>
      <c r="P13" s="16">
        <v>2</v>
      </c>
      <c r="Q13" s="16">
        <v>2</v>
      </c>
      <c r="R13" s="16">
        <v>1</v>
      </c>
      <c r="S13" s="16">
        <v>1</v>
      </c>
      <c r="T13" s="16">
        <v>1</v>
      </c>
      <c r="U13" s="16">
        <v>1</v>
      </c>
      <c r="V13" s="16">
        <v>1</v>
      </c>
      <c r="W13" s="16">
        <v>1</v>
      </c>
    </row>
    <row r="14" spans="1:23" s="7" customFormat="1" ht="85">
      <c r="A14" s="12">
        <v>5</v>
      </c>
      <c r="B14" s="13" t="s">
        <v>31</v>
      </c>
      <c r="C14" s="13" t="s">
        <v>32</v>
      </c>
      <c r="D14" s="13" t="s">
        <v>33</v>
      </c>
      <c r="E14" s="14">
        <v>3</v>
      </c>
      <c r="F14" s="14">
        <v>3</v>
      </c>
      <c r="G14" s="14">
        <v>3</v>
      </c>
      <c r="H14" s="14">
        <v>3</v>
      </c>
      <c r="I14" s="14">
        <v>3</v>
      </c>
      <c r="J14" s="14">
        <v>3</v>
      </c>
      <c r="K14" s="14">
        <v>3</v>
      </c>
      <c r="L14" s="14">
        <v>3</v>
      </c>
      <c r="M14" s="14">
        <v>3</v>
      </c>
      <c r="N14" s="16">
        <v>3</v>
      </c>
      <c r="O14" s="16">
        <v>3</v>
      </c>
      <c r="P14" s="16">
        <v>3</v>
      </c>
      <c r="Q14" s="16">
        <v>3</v>
      </c>
      <c r="R14" s="16">
        <v>3</v>
      </c>
      <c r="S14" s="16">
        <v>3</v>
      </c>
      <c r="T14" s="16">
        <v>3</v>
      </c>
      <c r="U14" s="16">
        <v>3</v>
      </c>
      <c r="V14" s="16">
        <v>3</v>
      </c>
      <c r="W14" s="16">
        <v>3</v>
      </c>
    </row>
    <row r="15" spans="1:23" s="7" customFormat="1" ht="85">
      <c r="A15" s="12">
        <v>6</v>
      </c>
      <c r="B15" s="13" t="s">
        <v>34</v>
      </c>
      <c r="C15" s="13" t="s">
        <v>35</v>
      </c>
      <c r="D15" s="13" t="s">
        <v>36</v>
      </c>
      <c r="E15" s="14">
        <v>2</v>
      </c>
      <c r="F15" s="14">
        <v>2</v>
      </c>
      <c r="G15" s="14">
        <v>2</v>
      </c>
      <c r="H15" s="14">
        <v>2</v>
      </c>
      <c r="I15" s="14">
        <v>2</v>
      </c>
      <c r="J15" s="14">
        <v>2</v>
      </c>
      <c r="K15" s="14">
        <v>2</v>
      </c>
      <c r="L15" s="14">
        <v>2</v>
      </c>
      <c r="M15" s="14">
        <v>2</v>
      </c>
      <c r="N15" s="16">
        <v>2</v>
      </c>
      <c r="O15" s="16">
        <v>2</v>
      </c>
      <c r="P15" s="16">
        <v>2</v>
      </c>
      <c r="Q15" s="16">
        <v>2</v>
      </c>
      <c r="R15" s="16">
        <v>2</v>
      </c>
      <c r="S15" s="16">
        <v>2</v>
      </c>
      <c r="T15" s="16">
        <v>2</v>
      </c>
      <c r="U15" s="16">
        <v>2</v>
      </c>
      <c r="V15" s="16">
        <v>2</v>
      </c>
      <c r="W15" s="16">
        <v>2</v>
      </c>
    </row>
    <row r="16" spans="1:23" ht="204">
      <c r="A16" s="12">
        <v>7</v>
      </c>
      <c r="B16" s="13" t="s">
        <v>37</v>
      </c>
      <c r="C16" s="13" t="s">
        <v>38</v>
      </c>
      <c r="D16" s="13" t="s">
        <v>39</v>
      </c>
      <c r="E16" s="14">
        <v>2</v>
      </c>
      <c r="F16" s="14">
        <v>2</v>
      </c>
      <c r="G16" s="14">
        <v>2</v>
      </c>
      <c r="H16" s="14">
        <v>2</v>
      </c>
      <c r="I16" s="14">
        <v>2</v>
      </c>
      <c r="J16" s="14">
        <v>2</v>
      </c>
      <c r="K16" s="14">
        <v>2</v>
      </c>
      <c r="L16" s="14">
        <v>2</v>
      </c>
      <c r="M16" s="14">
        <v>2</v>
      </c>
      <c r="N16" s="16">
        <v>2</v>
      </c>
      <c r="O16" s="16">
        <v>2</v>
      </c>
      <c r="P16" s="16">
        <v>2</v>
      </c>
      <c r="Q16" s="16">
        <v>2</v>
      </c>
      <c r="R16" s="16">
        <v>2</v>
      </c>
      <c r="S16" s="16">
        <v>2</v>
      </c>
      <c r="T16" s="16">
        <v>2</v>
      </c>
      <c r="U16" s="16">
        <v>2</v>
      </c>
      <c r="V16" s="16">
        <v>2</v>
      </c>
      <c r="W16" s="16">
        <v>2</v>
      </c>
    </row>
    <row r="17" spans="5:23" s="1" customFormat="1">
      <c r="E17" s="9">
        <f>AVERAGE(E10:E16)</f>
        <v>2.7142857142857144</v>
      </c>
      <c r="F17" s="9">
        <f t="shared" ref="F17:W17" si="0">AVERAGE(F10:F16)</f>
        <v>2.7142857142857144</v>
      </c>
      <c r="G17" s="9">
        <f t="shared" si="0"/>
        <v>2.7142857142857144</v>
      </c>
      <c r="H17" s="9">
        <f t="shared" si="0"/>
        <v>2.2857142857142856</v>
      </c>
      <c r="I17" s="9">
        <f t="shared" si="0"/>
        <v>2.7142857142857144</v>
      </c>
      <c r="J17" s="9">
        <f t="shared" si="0"/>
        <v>2.2857142857142856</v>
      </c>
      <c r="K17" s="9">
        <f t="shared" si="0"/>
        <v>2.5714285714285716</v>
      </c>
      <c r="L17" s="9"/>
      <c r="M17" s="9">
        <f t="shared" si="0"/>
        <v>2.1428571428571428</v>
      </c>
      <c r="N17" s="9">
        <f t="shared" si="0"/>
        <v>2.7142857142857144</v>
      </c>
      <c r="O17" s="9"/>
      <c r="P17" s="9">
        <f t="shared" si="0"/>
        <v>2.2857142857142856</v>
      </c>
      <c r="Q17" s="9">
        <f t="shared" si="0"/>
        <v>2.2857142857142856</v>
      </c>
      <c r="R17" s="9">
        <f t="shared" si="0"/>
        <v>2.4285714285714284</v>
      </c>
      <c r="S17" s="9">
        <f t="shared" si="0"/>
        <v>2.4285714285714284</v>
      </c>
      <c r="T17" s="9">
        <f t="shared" si="0"/>
        <v>2.1428571428571428</v>
      </c>
      <c r="U17" s="9">
        <f t="shared" si="0"/>
        <v>2.4285714285714284</v>
      </c>
      <c r="V17" s="9">
        <f t="shared" si="0"/>
        <v>2.1428571428571428</v>
      </c>
      <c r="W17" s="9">
        <f t="shared" si="0"/>
        <v>2.1428571428571428</v>
      </c>
    </row>
  </sheetData>
  <mergeCells count="6">
    <mergeCell ref="E7:W7"/>
    <mergeCell ref="E8:W8"/>
    <mergeCell ref="A7:A9"/>
    <mergeCell ref="B7:B9"/>
    <mergeCell ref="C7:C9"/>
    <mergeCell ref="D7:D9"/>
  </mergeCells>
  <printOptions horizontalCentered="1"/>
  <pageMargins left="0" right="0" top="0.74803149606299213" bottom="0" header="0.51181102362204722" footer="0"/>
  <pageSetup paperSize="9" scale="55" orientation="landscape" horizontalDpi="4294967293"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3"/>
  <sheetViews>
    <sheetView workbookViewId="0">
      <selection sqref="A1:XFD1048576"/>
    </sheetView>
  </sheetViews>
  <sheetFormatPr baseColWidth="10" defaultColWidth="9.1640625" defaultRowHeight="14"/>
  <cols>
    <col min="1" max="1" width="4.5" style="36" customWidth="1"/>
    <col min="2" max="2" width="31.5" style="37" customWidth="1"/>
    <col min="3" max="3" width="29.6640625" style="38" customWidth="1"/>
    <col min="4" max="4" width="40.5" style="37" customWidth="1"/>
    <col min="5" max="5" width="9.6640625" style="37" customWidth="1"/>
    <col min="6" max="6" width="11.5" style="37" customWidth="1"/>
    <col min="7" max="7" width="11" style="37" customWidth="1"/>
    <col min="8" max="8" width="9.6640625" style="37" customWidth="1"/>
    <col min="9" max="9" width="11" style="37" customWidth="1"/>
    <col min="10" max="10" width="11.83203125" style="37" customWidth="1"/>
    <col min="11" max="11" width="9.6640625" style="37" customWidth="1"/>
    <col min="12" max="12" width="11.6640625" style="37" customWidth="1"/>
    <col min="13" max="13" width="11.33203125" style="37" customWidth="1"/>
    <col min="14" max="14" width="9.1640625" style="37"/>
    <col min="15" max="15" width="11.83203125" style="37" customWidth="1"/>
    <col min="16" max="16" width="11.33203125" style="37" customWidth="1"/>
    <col min="17" max="16384" width="9.1640625" style="37"/>
  </cols>
  <sheetData>
    <row r="1" spans="1:17" s="21" customFormat="1" ht="16">
      <c r="A1" s="18"/>
      <c r="B1" s="19"/>
      <c r="C1" s="20"/>
      <c r="D1" s="19"/>
    </row>
    <row r="2" spans="1:17" s="22" customFormat="1" ht="15">
      <c r="C2" s="23"/>
    </row>
    <row r="3" spans="1:17" s="22" customFormat="1" ht="15">
      <c r="B3" s="24"/>
      <c r="C3" s="25"/>
      <c r="D3" s="24"/>
    </row>
    <row r="4" spans="1:17" s="22" customFormat="1" ht="15">
      <c r="C4" s="23"/>
    </row>
    <row r="5" spans="1:17" s="22" customFormat="1" ht="15">
      <c r="B5" s="24"/>
      <c r="C5" s="25"/>
      <c r="D5" s="24"/>
    </row>
    <row r="6" spans="1:17" s="22" customFormat="1" ht="15">
      <c r="B6" s="24"/>
      <c r="C6" s="25"/>
      <c r="D6" s="24"/>
    </row>
    <row r="7" spans="1:17" s="26" customFormat="1" ht="16">
      <c r="A7" s="307" t="s">
        <v>1</v>
      </c>
      <c r="B7" s="309" t="s">
        <v>101</v>
      </c>
      <c r="C7" s="311" t="s">
        <v>3</v>
      </c>
      <c r="D7" s="311" t="s">
        <v>4</v>
      </c>
      <c r="E7" s="314" t="s">
        <v>0</v>
      </c>
      <c r="F7" s="314"/>
      <c r="G7" s="314"/>
      <c r="H7" s="314"/>
      <c r="I7" s="314"/>
      <c r="J7" s="314"/>
      <c r="K7" s="314"/>
      <c r="L7" s="314"/>
      <c r="M7" s="314"/>
      <c r="N7" s="314"/>
      <c r="O7" s="314"/>
      <c r="P7" s="314"/>
      <c r="Q7" s="314"/>
    </row>
    <row r="8" spans="1:17" s="26" customFormat="1" ht="16">
      <c r="A8" s="308"/>
      <c r="B8" s="310"/>
      <c r="C8" s="312"/>
      <c r="D8" s="312"/>
      <c r="E8" s="315" t="s">
        <v>5</v>
      </c>
      <c r="F8" s="315"/>
      <c r="G8" s="315"/>
      <c r="H8" s="315"/>
      <c r="I8" s="315"/>
      <c r="J8" s="315"/>
      <c r="K8" s="315"/>
      <c r="L8" s="315"/>
      <c r="M8" s="315"/>
      <c r="N8" s="315"/>
      <c r="O8" s="315"/>
      <c r="P8" s="315"/>
      <c r="Q8" s="315"/>
    </row>
    <row r="9" spans="1:17" s="26" customFormat="1" ht="16">
      <c r="A9" s="308"/>
      <c r="B9" s="310"/>
      <c r="C9" s="312"/>
      <c r="D9" s="312"/>
      <c r="E9" s="306" t="s">
        <v>102</v>
      </c>
      <c r="F9" s="306" t="s">
        <v>103</v>
      </c>
      <c r="G9" s="306"/>
      <c r="H9" s="306"/>
      <c r="I9" s="306" t="s">
        <v>104</v>
      </c>
      <c r="J9" s="306"/>
      <c r="K9" s="306"/>
      <c r="L9" s="306" t="s">
        <v>105</v>
      </c>
      <c r="M9" s="306"/>
      <c r="N9" s="306"/>
      <c r="O9" s="306" t="s">
        <v>106</v>
      </c>
      <c r="P9" s="306"/>
      <c r="Q9" s="306"/>
    </row>
    <row r="10" spans="1:17" s="28" customFormat="1" ht="34">
      <c r="A10" s="308"/>
      <c r="B10" s="310"/>
      <c r="C10" s="313"/>
      <c r="D10" s="313"/>
      <c r="E10" s="306"/>
      <c r="F10" s="27" t="s">
        <v>107</v>
      </c>
      <c r="G10" s="27" t="s">
        <v>108</v>
      </c>
      <c r="H10" s="27" t="s">
        <v>109</v>
      </c>
      <c r="I10" s="27" t="s">
        <v>107</v>
      </c>
      <c r="J10" s="27" t="s">
        <v>108</v>
      </c>
      <c r="K10" s="27" t="s">
        <v>109</v>
      </c>
      <c r="L10" s="27" t="s">
        <v>107</v>
      </c>
      <c r="M10" s="27" t="s">
        <v>108</v>
      </c>
      <c r="N10" s="27" t="s">
        <v>109</v>
      </c>
      <c r="O10" s="27" t="s">
        <v>107</v>
      </c>
      <c r="P10" s="27" t="s">
        <v>108</v>
      </c>
      <c r="Q10" s="27" t="s">
        <v>109</v>
      </c>
    </row>
    <row r="11" spans="1:17" s="32" customFormat="1" ht="119">
      <c r="A11" s="29">
        <v>1</v>
      </c>
      <c r="B11" s="30" t="s">
        <v>46</v>
      </c>
      <c r="C11" s="30" t="s">
        <v>47</v>
      </c>
      <c r="D11" s="30" t="s">
        <v>48</v>
      </c>
      <c r="E11" s="31">
        <v>5</v>
      </c>
      <c r="F11" s="31">
        <v>5</v>
      </c>
      <c r="G11" s="31">
        <v>4</v>
      </c>
      <c r="H11" s="31">
        <v>3</v>
      </c>
      <c r="I11" s="31">
        <v>5</v>
      </c>
      <c r="J11" s="31">
        <v>4</v>
      </c>
      <c r="K11" s="31">
        <v>3</v>
      </c>
      <c r="L11" s="31">
        <v>5</v>
      </c>
      <c r="M11" s="31">
        <v>4</v>
      </c>
      <c r="N11" s="31">
        <v>3</v>
      </c>
      <c r="O11" s="31">
        <v>5</v>
      </c>
      <c r="P11" s="31">
        <v>4</v>
      </c>
      <c r="Q11" s="31">
        <v>3</v>
      </c>
    </row>
    <row r="12" spans="1:17" s="32" customFormat="1" ht="51">
      <c r="A12" s="29">
        <v>2</v>
      </c>
      <c r="B12" s="30" t="s">
        <v>49</v>
      </c>
      <c r="C12" s="30" t="s">
        <v>50</v>
      </c>
      <c r="D12" s="30" t="s">
        <v>51</v>
      </c>
      <c r="E12" s="31">
        <v>4</v>
      </c>
      <c r="F12" s="31">
        <v>5</v>
      </c>
      <c r="G12" s="31">
        <v>4</v>
      </c>
      <c r="H12" s="31">
        <v>3</v>
      </c>
      <c r="I12" s="31">
        <v>3</v>
      </c>
      <c r="J12" s="31">
        <v>3</v>
      </c>
      <c r="K12" s="31">
        <v>2</v>
      </c>
      <c r="L12" s="33">
        <v>5</v>
      </c>
      <c r="M12" s="33">
        <v>4</v>
      </c>
      <c r="N12" s="33">
        <v>3</v>
      </c>
      <c r="O12" s="33"/>
      <c r="P12" s="33"/>
      <c r="Q12" s="33"/>
    </row>
    <row r="13" spans="1:17" s="32" customFormat="1" ht="85">
      <c r="A13" s="29">
        <v>3</v>
      </c>
      <c r="B13" s="32" t="s">
        <v>52</v>
      </c>
      <c r="C13" s="30" t="s">
        <v>53</v>
      </c>
      <c r="D13" s="30" t="s">
        <v>54</v>
      </c>
      <c r="E13" s="31"/>
      <c r="F13" s="31">
        <v>5</v>
      </c>
      <c r="G13" s="31">
        <v>4</v>
      </c>
      <c r="H13" s="31">
        <v>3</v>
      </c>
      <c r="I13" s="31"/>
      <c r="J13" s="31"/>
      <c r="K13" s="31"/>
      <c r="L13" s="33">
        <v>5</v>
      </c>
      <c r="M13" s="33">
        <v>4</v>
      </c>
      <c r="N13" s="33">
        <v>3</v>
      </c>
      <c r="O13" s="33"/>
      <c r="P13" s="33"/>
      <c r="Q13" s="33"/>
    </row>
    <row r="14" spans="1:17" s="32" customFormat="1" ht="85">
      <c r="A14" s="29">
        <v>4</v>
      </c>
      <c r="B14" s="30" t="s">
        <v>55</v>
      </c>
      <c r="C14" s="30" t="s">
        <v>56</v>
      </c>
      <c r="D14" s="30" t="s">
        <v>57</v>
      </c>
      <c r="E14" s="31"/>
      <c r="F14" s="31"/>
      <c r="G14" s="31"/>
      <c r="H14" s="31"/>
      <c r="I14" s="31"/>
      <c r="J14" s="31"/>
      <c r="K14" s="31"/>
      <c r="L14" s="33">
        <v>5</v>
      </c>
      <c r="M14" s="33">
        <v>4</v>
      </c>
      <c r="N14" s="33">
        <v>3</v>
      </c>
      <c r="O14" s="33">
        <v>3</v>
      </c>
      <c r="P14" s="33">
        <v>3</v>
      </c>
      <c r="Q14" s="33"/>
    </row>
    <row r="15" spans="1:17" s="32" customFormat="1" ht="68">
      <c r="A15" s="29">
        <v>5</v>
      </c>
      <c r="B15" s="30" t="s">
        <v>58</v>
      </c>
      <c r="C15" s="30" t="s">
        <v>59</v>
      </c>
      <c r="D15" s="30" t="s">
        <v>60</v>
      </c>
      <c r="E15" s="31">
        <v>5</v>
      </c>
      <c r="F15" s="31">
        <v>4</v>
      </c>
      <c r="G15" s="31">
        <v>3</v>
      </c>
      <c r="H15" s="31">
        <v>2</v>
      </c>
      <c r="I15" s="31">
        <v>4</v>
      </c>
      <c r="J15" s="31">
        <v>3</v>
      </c>
      <c r="K15" s="31">
        <v>2</v>
      </c>
      <c r="L15" s="33">
        <v>4</v>
      </c>
      <c r="M15" s="33">
        <v>3</v>
      </c>
      <c r="N15" s="33">
        <v>2</v>
      </c>
      <c r="O15" s="33">
        <v>3</v>
      </c>
      <c r="P15" s="33">
        <v>3</v>
      </c>
      <c r="Q15" s="33"/>
    </row>
    <row r="16" spans="1:17" s="32" customFormat="1" ht="51">
      <c r="A16" s="29">
        <v>6</v>
      </c>
      <c r="B16" s="30" t="s">
        <v>61</v>
      </c>
      <c r="C16" s="30" t="s">
        <v>62</v>
      </c>
      <c r="D16" s="30" t="s">
        <v>63</v>
      </c>
      <c r="E16" s="31"/>
      <c r="F16" s="31">
        <v>3</v>
      </c>
      <c r="G16" s="31">
        <v>3</v>
      </c>
      <c r="H16" s="31">
        <v>2</v>
      </c>
      <c r="I16" s="31">
        <v>5</v>
      </c>
      <c r="J16" s="31">
        <v>4</v>
      </c>
      <c r="K16" s="31">
        <v>3</v>
      </c>
      <c r="L16" s="33">
        <v>3</v>
      </c>
      <c r="M16" s="33">
        <v>3</v>
      </c>
      <c r="N16" s="33">
        <v>2</v>
      </c>
      <c r="O16" s="33"/>
      <c r="P16" s="33"/>
      <c r="Q16" s="33"/>
    </row>
    <row r="17" spans="1:18" s="32" customFormat="1" ht="51">
      <c r="A17" s="29">
        <v>7</v>
      </c>
      <c r="B17" s="30" t="s">
        <v>64</v>
      </c>
      <c r="C17" s="30" t="s">
        <v>65</v>
      </c>
      <c r="D17" s="30" t="s">
        <v>66</v>
      </c>
      <c r="E17" s="31"/>
      <c r="F17" s="31">
        <v>2</v>
      </c>
      <c r="G17" s="31">
        <v>2</v>
      </c>
      <c r="H17" s="31"/>
      <c r="I17" s="31">
        <v>4</v>
      </c>
      <c r="J17" s="31">
        <v>3</v>
      </c>
      <c r="K17" s="31">
        <v>3</v>
      </c>
      <c r="L17" s="31">
        <v>2</v>
      </c>
      <c r="M17" s="31">
        <v>2</v>
      </c>
      <c r="N17" s="33"/>
      <c r="O17" s="33"/>
      <c r="P17" s="33"/>
      <c r="Q17" s="33"/>
    </row>
    <row r="18" spans="1:18" s="32" customFormat="1" ht="85">
      <c r="A18" s="29">
        <v>8</v>
      </c>
      <c r="B18" s="30" t="s">
        <v>67</v>
      </c>
      <c r="C18" s="30" t="s">
        <v>68</v>
      </c>
      <c r="D18" s="30" t="s">
        <v>69</v>
      </c>
      <c r="E18" s="31"/>
      <c r="F18" s="31">
        <v>2</v>
      </c>
      <c r="G18" s="31">
        <v>2</v>
      </c>
      <c r="H18" s="31">
        <v>2</v>
      </c>
      <c r="I18" s="31">
        <v>4</v>
      </c>
      <c r="J18" s="31">
        <v>3</v>
      </c>
      <c r="K18" s="31">
        <v>2</v>
      </c>
      <c r="L18" s="33">
        <v>3</v>
      </c>
      <c r="M18" s="33">
        <v>3</v>
      </c>
      <c r="N18" s="33">
        <v>2</v>
      </c>
      <c r="O18" s="33">
        <v>2</v>
      </c>
      <c r="P18" s="33">
        <v>2</v>
      </c>
      <c r="Q18" s="33">
        <v>2</v>
      </c>
    </row>
    <row r="19" spans="1:18" s="32" customFormat="1" ht="51">
      <c r="A19" s="29">
        <v>9</v>
      </c>
      <c r="B19" s="30" t="s">
        <v>70</v>
      </c>
      <c r="C19" s="30" t="s">
        <v>71</v>
      </c>
      <c r="D19" s="30" t="s">
        <v>72</v>
      </c>
      <c r="E19" s="31">
        <v>4</v>
      </c>
      <c r="F19" s="31">
        <v>3</v>
      </c>
      <c r="G19" s="31">
        <v>2</v>
      </c>
      <c r="H19" s="31">
        <v>2</v>
      </c>
      <c r="I19" s="31">
        <v>4</v>
      </c>
      <c r="J19" s="31">
        <v>3</v>
      </c>
      <c r="K19" s="31">
        <v>2</v>
      </c>
      <c r="L19" s="33">
        <v>3</v>
      </c>
      <c r="M19" s="33">
        <v>3</v>
      </c>
      <c r="N19" s="33">
        <v>2</v>
      </c>
      <c r="O19" s="33"/>
      <c r="P19" s="33"/>
      <c r="Q19" s="33"/>
    </row>
    <row r="20" spans="1:18" s="32" customFormat="1" ht="102">
      <c r="A20" s="29">
        <v>10</v>
      </c>
      <c r="B20" s="30" t="s">
        <v>73</v>
      </c>
      <c r="C20" s="34" t="s">
        <v>74</v>
      </c>
      <c r="D20" s="30" t="s">
        <v>75</v>
      </c>
      <c r="E20" s="31">
        <v>3</v>
      </c>
      <c r="F20" s="31">
        <v>2</v>
      </c>
      <c r="G20" s="31">
        <v>2</v>
      </c>
      <c r="H20" s="31">
        <v>2</v>
      </c>
      <c r="I20" s="31"/>
      <c r="J20" s="31"/>
      <c r="K20" s="31"/>
      <c r="L20" s="33"/>
      <c r="M20" s="33"/>
      <c r="N20" s="33"/>
      <c r="O20" s="33">
        <v>4</v>
      </c>
      <c r="P20" s="33">
        <v>3</v>
      </c>
      <c r="Q20" s="33">
        <v>3</v>
      </c>
    </row>
    <row r="21" spans="1:18" s="32" customFormat="1" ht="187">
      <c r="A21" s="29">
        <v>11</v>
      </c>
      <c r="B21" s="30" t="s">
        <v>76</v>
      </c>
      <c r="C21" s="35" t="s">
        <v>77</v>
      </c>
      <c r="D21" s="30" t="s">
        <v>78</v>
      </c>
      <c r="E21" s="31">
        <v>3</v>
      </c>
      <c r="F21" s="31">
        <v>2</v>
      </c>
      <c r="G21" s="31">
        <v>2</v>
      </c>
      <c r="H21" s="31">
        <v>2</v>
      </c>
      <c r="I21" s="31"/>
      <c r="J21" s="31"/>
      <c r="K21" s="31"/>
      <c r="L21" s="33"/>
      <c r="M21" s="33"/>
      <c r="N21" s="33"/>
      <c r="O21" s="33">
        <v>4</v>
      </c>
      <c r="P21" s="33">
        <v>4</v>
      </c>
      <c r="Q21" s="33">
        <v>3</v>
      </c>
    </row>
    <row r="22" spans="1:18" s="32" customFormat="1" ht="51">
      <c r="A22" s="29">
        <v>12</v>
      </c>
      <c r="B22" s="30" t="s">
        <v>79</v>
      </c>
      <c r="C22" s="35" t="s">
        <v>80</v>
      </c>
      <c r="D22" s="30" t="s">
        <v>81</v>
      </c>
      <c r="E22" s="31">
        <v>3</v>
      </c>
      <c r="F22" s="31"/>
      <c r="G22" s="31"/>
      <c r="H22" s="31"/>
      <c r="I22" s="31"/>
      <c r="J22" s="31"/>
      <c r="K22" s="31"/>
      <c r="L22" s="31"/>
      <c r="M22" s="31"/>
      <c r="N22" s="33"/>
      <c r="O22" s="33">
        <v>4</v>
      </c>
      <c r="P22" s="33">
        <v>3</v>
      </c>
      <c r="Q22" s="33">
        <v>3</v>
      </c>
    </row>
    <row r="23" spans="1:18" s="32" customFormat="1" ht="102">
      <c r="A23" s="29">
        <v>13</v>
      </c>
      <c r="B23" s="30" t="s">
        <v>82</v>
      </c>
      <c r="C23" s="35" t="s">
        <v>83</v>
      </c>
      <c r="D23" s="30" t="s">
        <v>84</v>
      </c>
      <c r="E23" s="31">
        <v>4</v>
      </c>
      <c r="F23" s="31"/>
      <c r="G23" s="31"/>
      <c r="H23" s="31"/>
      <c r="I23" s="31"/>
      <c r="J23" s="31"/>
      <c r="K23" s="31"/>
      <c r="L23" s="33"/>
      <c r="M23" s="33"/>
      <c r="N23" s="33"/>
      <c r="O23" s="33">
        <v>5</v>
      </c>
      <c r="P23" s="33">
        <v>4</v>
      </c>
      <c r="Q23" s="33">
        <v>3</v>
      </c>
    </row>
    <row r="24" spans="1:18" s="32" customFormat="1" ht="136">
      <c r="A24" s="29">
        <v>14</v>
      </c>
      <c r="B24" s="30" t="s">
        <v>85</v>
      </c>
      <c r="C24" s="30" t="s">
        <v>86</v>
      </c>
      <c r="D24" s="30" t="s">
        <v>87</v>
      </c>
      <c r="E24" s="31">
        <v>4</v>
      </c>
      <c r="F24" s="31"/>
      <c r="G24" s="31"/>
      <c r="H24" s="31"/>
      <c r="I24" s="31"/>
      <c r="J24" s="31"/>
      <c r="K24" s="31"/>
      <c r="L24" s="33"/>
      <c r="M24" s="33"/>
      <c r="N24" s="33"/>
      <c r="O24" s="33">
        <v>5</v>
      </c>
      <c r="P24" s="33">
        <v>4</v>
      </c>
      <c r="Q24" s="33">
        <v>3</v>
      </c>
    </row>
    <row r="25" spans="1:18" s="32" customFormat="1" ht="68">
      <c r="A25" s="29">
        <v>15</v>
      </c>
      <c r="B25" s="30" t="s">
        <v>88</v>
      </c>
      <c r="C25" s="30" t="s">
        <v>89</v>
      </c>
      <c r="D25" s="30" t="s">
        <v>90</v>
      </c>
      <c r="E25" s="31">
        <v>3</v>
      </c>
      <c r="F25" s="31"/>
      <c r="G25" s="31"/>
      <c r="H25" s="31"/>
      <c r="I25" s="31"/>
      <c r="J25" s="31"/>
      <c r="K25" s="31"/>
      <c r="L25" s="33"/>
      <c r="M25" s="33"/>
      <c r="N25" s="33"/>
      <c r="O25" s="33">
        <v>4</v>
      </c>
      <c r="P25" s="33">
        <v>4</v>
      </c>
      <c r="Q25" s="33">
        <v>3</v>
      </c>
    </row>
    <row r="26" spans="1:18" s="32" customFormat="1" ht="68">
      <c r="A26" s="29">
        <v>16</v>
      </c>
      <c r="B26" s="30" t="s">
        <v>91</v>
      </c>
      <c r="C26" s="30" t="s">
        <v>92</v>
      </c>
      <c r="D26" s="30" t="s">
        <v>93</v>
      </c>
      <c r="E26" s="31"/>
      <c r="F26" s="31">
        <v>5</v>
      </c>
      <c r="G26" s="31">
        <v>4</v>
      </c>
      <c r="H26" s="31">
        <v>3</v>
      </c>
      <c r="I26" s="31">
        <v>2</v>
      </c>
      <c r="J26" s="31">
        <v>2</v>
      </c>
      <c r="K26" s="31">
        <v>2</v>
      </c>
      <c r="L26" s="33"/>
      <c r="M26" s="33"/>
      <c r="N26" s="33"/>
      <c r="O26" s="33"/>
      <c r="P26" s="33"/>
      <c r="Q26" s="33"/>
    </row>
    <row r="27" spans="1:18" s="32" customFormat="1" ht="51">
      <c r="A27" s="29">
        <v>17</v>
      </c>
      <c r="B27" s="30" t="s">
        <v>94</v>
      </c>
      <c r="C27" s="30" t="s">
        <v>95</v>
      </c>
      <c r="D27" s="30" t="s">
        <v>96</v>
      </c>
      <c r="E27" s="31"/>
      <c r="F27" s="31">
        <v>5</v>
      </c>
      <c r="G27" s="31">
        <v>4</v>
      </c>
      <c r="H27" s="31">
        <v>3</v>
      </c>
      <c r="I27" s="31"/>
      <c r="J27" s="31"/>
      <c r="K27" s="31"/>
      <c r="L27" s="33"/>
      <c r="M27" s="33"/>
      <c r="N27" s="33"/>
      <c r="O27" s="33"/>
      <c r="P27" s="33"/>
      <c r="Q27" s="33"/>
    </row>
    <row r="28" spans="1:18" s="32" customFormat="1" ht="34">
      <c r="A28" s="29">
        <v>18</v>
      </c>
      <c r="B28" s="30" t="s">
        <v>97</v>
      </c>
      <c r="C28" s="30" t="s">
        <v>95</v>
      </c>
      <c r="D28" s="30" t="s">
        <v>98</v>
      </c>
      <c r="E28" s="31"/>
      <c r="F28" s="31">
        <v>5</v>
      </c>
      <c r="G28" s="31">
        <v>4</v>
      </c>
      <c r="H28" s="31">
        <v>3</v>
      </c>
      <c r="I28" s="31"/>
      <c r="J28" s="31"/>
      <c r="K28" s="31"/>
      <c r="L28" s="33"/>
      <c r="M28" s="33"/>
      <c r="N28" s="33"/>
      <c r="O28" s="33"/>
      <c r="P28" s="33"/>
      <c r="Q28" s="33"/>
    </row>
    <row r="29" spans="1:18" s="32" customFormat="1" ht="34">
      <c r="A29" s="29">
        <v>19</v>
      </c>
      <c r="B29" s="30" t="s">
        <v>99</v>
      </c>
      <c r="C29" s="30" t="s">
        <v>95</v>
      </c>
      <c r="D29" s="30" t="s">
        <v>100</v>
      </c>
      <c r="E29" s="31"/>
      <c r="F29" s="31">
        <v>5</v>
      </c>
      <c r="G29" s="31">
        <v>4</v>
      </c>
      <c r="H29" s="31">
        <v>3</v>
      </c>
      <c r="I29" s="31"/>
      <c r="J29" s="31"/>
      <c r="K29" s="31"/>
      <c r="L29" s="33"/>
      <c r="M29" s="33"/>
      <c r="N29" s="33"/>
      <c r="O29" s="33"/>
      <c r="P29" s="33"/>
      <c r="Q29" s="33"/>
    </row>
    <row r="30" spans="1:18" ht="23.25" customHeight="1">
      <c r="E30" s="17">
        <f t="shared" ref="E30:Q30" si="0">AVERAGE(E11:E29)</f>
        <v>3.8</v>
      </c>
      <c r="F30" s="17">
        <f t="shared" si="0"/>
        <v>3.7857142857142856</v>
      </c>
      <c r="G30" s="17">
        <f t="shared" si="0"/>
        <v>3.1428571428571428</v>
      </c>
      <c r="H30" s="17">
        <f t="shared" si="0"/>
        <v>2.5384615384615383</v>
      </c>
      <c r="I30" s="17">
        <f t="shared" si="0"/>
        <v>3.875</v>
      </c>
      <c r="J30" s="17">
        <f t="shared" si="0"/>
        <v>3.125</v>
      </c>
      <c r="K30" s="17">
        <f t="shared" si="0"/>
        <v>2.375</v>
      </c>
      <c r="L30" s="17">
        <f t="shared" si="0"/>
        <v>3.8888888888888888</v>
      </c>
      <c r="M30" s="17">
        <f t="shared" si="0"/>
        <v>3.3333333333333335</v>
      </c>
      <c r="N30" s="17">
        <f t="shared" si="0"/>
        <v>2.5</v>
      </c>
      <c r="O30" s="17">
        <f t="shared" si="0"/>
        <v>3.9</v>
      </c>
      <c r="P30" s="17">
        <f t="shared" si="0"/>
        <v>3.4</v>
      </c>
      <c r="Q30" s="17">
        <f t="shared" si="0"/>
        <v>2.875</v>
      </c>
      <c r="R30" s="39"/>
    </row>
    <row r="31" spans="1:18" ht="16">
      <c r="B31" s="40"/>
      <c r="C31" s="40"/>
      <c r="D31" s="40"/>
    </row>
    <row r="32" spans="1:18" ht="16">
      <c r="B32" s="40"/>
      <c r="C32" s="40"/>
      <c r="D32" s="40"/>
    </row>
    <row r="33" spans="2:4" s="37" customFormat="1" ht="16">
      <c r="B33" s="40"/>
      <c r="C33" s="40"/>
      <c r="D33" s="40"/>
    </row>
    <row r="34" spans="2:4" s="37" customFormat="1" ht="16">
      <c r="B34" s="40"/>
      <c r="C34" s="40"/>
      <c r="D34" s="40"/>
    </row>
    <row r="35" spans="2:4" s="37" customFormat="1" ht="16">
      <c r="C35" s="40"/>
      <c r="D35" s="40"/>
    </row>
    <row r="36" spans="2:4" s="37" customFormat="1" ht="16">
      <c r="C36" s="40"/>
      <c r="D36" s="40"/>
    </row>
    <row r="37" spans="2:4" s="37" customFormat="1" ht="16">
      <c r="C37" s="40"/>
      <c r="D37" s="40"/>
    </row>
    <row r="38" spans="2:4" s="37" customFormat="1" ht="16">
      <c r="C38" s="41"/>
    </row>
    <row r="39" spans="2:4" s="37" customFormat="1" ht="16">
      <c r="C39" s="41"/>
    </row>
    <row r="40" spans="2:4" s="37" customFormat="1" ht="16">
      <c r="C40" s="41"/>
    </row>
    <row r="41" spans="2:4" s="37" customFormat="1" ht="16">
      <c r="C41" s="41"/>
    </row>
    <row r="42" spans="2:4" s="37" customFormat="1" ht="16">
      <c r="C42" s="41"/>
    </row>
    <row r="43" spans="2:4" s="37" customFormat="1" ht="16">
      <c r="C43" s="40"/>
      <c r="D43" s="40"/>
    </row>
  </sheetData>
  <mergeCells count="11">
    <mergeCell ref="O9:Q9"/>
    <mergeCell ref="A7:A10"/>
    <mergeCell ref="B7:B10"/>
    <mergeCell ref="C7:C10"/>
    <mergeCell ref="D7:D10"/>
    <mergeCell ref="E7:Q7"/>
    <mergeCell ref="E8:Q8"/>
    <mergeCell ref="E9:E10"/>
    <mergeCell ref="F9:H9"/>
    <mergeCell ref="I9:K9"/>
    <mergeCell ref="L9:N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D2884-BBEA-9946-BC08-08AAB1A14642}">
  <dimension ref="B1:D902"/>
  <sheetViews>
    <sheetView topLeftCell="A826" zoomScale="125" workbookViewId="0">
      <selection activeCell="B836" sqref="B836:D836"/>
    </sheetView>
  </sheetViews>
  <sheetFormatPr baseColWidth="10" defaultRowHeight="14"/>
  <cols>
    <col min="1" max="1" width="3.1640625" style="170" customWidth="1"/>
    <col min="2" max="3" width="10.83203125" style="170"/>
    <col min="4" max="4" width="104.1640625" style="170" customWidth="1"/>
    <col min="5" max="16384" width="10.83203125" style="170"/>
  </cols>
  <sheetData>
    <row r="1" spans="2:4" ht="15" thickBot="1">
      <c r="B1" s="340" t="s">
        <v>225</v>
      </c>
      <c r="C1" s="341"/>
      <c r="D1" s="342"/>
    </row>
    <row r="2" spans="2:4" ht="15" thickBot="1">
      <c r="B2" s="328" t="s">
        <v>226</v>
      </c>
      <c r="C2" s="329"/>
      <c r="D2" s="330"/>
    </row>
    <row r="3" spans="2:4">
      <c r="B3" s="325" t="s">
        <v>224</v>
      </c>
      <c r="C3" s="326"/>
      <c r="D3" s="327"/>
    </row>
    <row r="4" spans="2:4">
      <c r="B4" s="322" t="s">
        <v>227</v>
      </c>
      <c r="C4" s="323"/>
      <c r="D4" s="324"/>
    </row>
    <row r="5" spans="2:4" ht="15" thickBot="1">
      <c r="B5" s="343"/>
      <c r="C5" s="344"/>
      <c r="D5" s="345"/>
    </row>
    <row r="6" spans="2:4" ht="16" thickBot="1">
      <c r="B6" s="171" t="s">
        <v>228</v>
      </c>
      <c r="C6" s="172">
        <v>1</v>
      </c>
      <c r="D6" s="173" t="s">
        <v>229</v>
      </c>
    </row>
    <row r="7" spans="2:4" ht="16" thickBot="1">
      <c r="B7" s="174" t="s">
        <v>228</v>
      </c>
      <c r="C7" s="175">
        <v>2</v>
      </c>
      <c r="D7" s="168" t="s">
        <v>229</v>
      </c>
    </row>
    <row r="8" spans="2:4" ht="16" thickBot="1">
      <c r="B8" s="174" t="s">
        <v>228</v>
      </c>
      <c r="C8" s="175">
        <v>3</v>
      </c>
      <c r="D8" s="168" t="s">
        <v>229</v>
      </c>
    </row>
    <row r="9" spans="2:4" ht="16" thickBot="1">
      <c r="B9" s="174" t="s">
        <v>228</v>
      </c>
      <c r="C9" s="175">
        <v>4</v>
      </c>
      <c r="D9" s="168" t="s">
        <v>229</v>
      </c>
    </row>
    <row r="10" spans="2:4" ht="16" thickBot="1">
      <c r="B10" s="174" t="s">
        <v>228</v>
      </c>
      <c r="C10" s="175">
        <v>5</v>
      </c>
      <c r="D10" s="168" t="s">
        <v>229</v>
      </c>
    </row>
    <row r="11" spans="2:4" ht="15">
      <c r="B11" s="334" t="s">
        <v>228</v>
      </c>
      <c r="C11" s="337">
        <v>6</v>
      </c>
      <c r="D11" s="169" t="s">
        <v>230</v>
      </c>
    </row>
    <row r="12" spans="2:4" ht="45">
      <c r="B12" s="335"/>
      <c r="C12" s="338"/>
      <c r="D12" s="169" t="s">
        <v>231</v>
      </c>
    </row>
    <row r="13" spans="2:4" ht="30">
      <c r="B13" s="335"/>
      <c r="C13" s="338"/>
      <c r="D13" s="169" t="s">
        <v>232</v>
      </c>
    </row>
    <row r="14" spans="2:4" ht="31" thickBot="1">
      <c r="B14" s="336"/>
      <c r="C14" s="339"/>
      <c r="D14" s="168" t="s">
        <v>233</v>
      </c>
    </row>
    <row r="15" spans="2:4" ht="30">
      <c r="B15" s="334" t="s">
        <v>228</v>
      </c>
      <c r="C15" s="337">
        <v>7</v>
      </c>
      <c r="D15" s="169" t="s">
        <v>234</v>
      </c>
    </row>
    <row r="16" spans="2:4" ht="30">
      <c r="B16" s="335"/>
      <c r="C16" s="338"/>
      <c r="D16" s="169" t="s">
        <v>235</v>
      </c>
    </row>
    <row r="17" spans="2:4" ht="30">
      <c r="B17" s="335"/>
      <c r="C17" s="338"/>
      <c r="D17" s="169" t="s">
        <v>236</v>
      </c>
    </row>
    <row r="18" spans="2:4" ht="31" thickBot="1">
      <c r="B18" s="336"/>
      <c r="C18" s="339"/>
      <c r="D18" s="168" t="s">
        <v>237</v>
      </c>
    </row>
    <row r="19" spans="2:4" ht="15" thickBot="1">
      <c r="B19" s="319" t="s">
        <v>238</v>
      </c>
      <c r="C19" s="320"/>
      <c r="D19" s="321"/>
    </row>
    <row r="20" spans="2:4">
      <c r="B20" s="325" t="s">
        <v>239</v>
      </c>
      <c r="C20" s="326"/>
      <c r="D20" s="327"/>
    </row>
    <row r="21" spans="2:4">
      <c r="B21" s="322" t="s">
        <v>240</v>
      </c>
      <c r="C21" s="323"/>
      <c r="D21" s="324"/>
    </row>
    <row r="22" spans="2:4" ht="15" thickBot="1">
      <c r="B22" s="316"/>
      <c r="C22" s="317"/>
      <c r="D22" s="318"/>
    </row>
    <row r="23" spans="2:4" ht="15" thickBot="1">
      <c r="B23" s="171" t="s">
        <v>228</v>
      </c>
      <c r="C23" s="172">
        <v>1</v>
      </c>
      <c r="D23" s="173"/>
    </row>
    <row r="24" spans="2:4" ht="15" thickBot="1">
      <c r="B24" s="174" t="s">
        <v>228</v>
      </c>
      <c r="C24" s="175">
        <v>2</v>
      </c>
      <c r="D24" s="168"/>
    </row>
    <row r="25" spans="2:4" ht="15" thickBot="1">
      <c r="B25" s="174" t="s">
        <v>228</v>
      </c>
      <c r="C25" s="175">
        <v>3</v>
      </c>
      <c r="D25" s="168"/>
    </row>
    <row r="26" spans="2:4" ht="15">
      <c r="B26" s="334" t="s">
        <v>228</v>
      </c>
      <c r="C26" s="337">
        <v>4</v>
      </c>
      <c r="D26" s="169" t="s">
        <v>241</v>
      </c>
    </row>
    <row r="27" spans="2:4" ht="15">
      <c r="B27" s="335"/>
      <c r="C27" s="338"/>
      <c r="D27" s="169" t="s">
        <v>242</v>
      </c>
    </row>
    <row r="28" spans="2:4" ht="30">
      <c r="B28" s="335"/>
      <c r="C28" s="338"/>
      <c r="D28" s="169" t="s">
        <v>243</v>
      </c>
    </row>
    <row r="29" spans="2:4" ht="16" thickBot="1">
      <c r="B29" s="336"/>
      <c r="C29" s="339"/>
      <c r="D29" s="168" t="s">
        <v>244</v>
      </c>
    </row>
    <row r="30" spans="2:4" ht="15">
      <c r="B30" s="334" t="s">
        <v>228</v>
      </c>
      <c r="C30" s="337">
        <v>5</v>
      </c>
      <c r="D30" s="169" t="s">
        <v>245</v>
      </c>
    </row>
    <row r="31" spans="2:4" ht="15">
      <c r="B31" s="335"/>
      <c r="C31" s="338"/>
      <c r="D31" s="169" t="s">
        <v>949</v>
      </c>
    </row>
    <row r="32" spans="2:4" ht="30">
      <c r="B32" s="335"/>
      <c r="C32" s="338"/>
      <c r="D32" s="169" t="s">
        <v>950</v>
      </c>
    </row>
    <row r="33" spans="2:4" ht="30">
      <c r="B33" s="335"/>
      <c r="C33" s="338"/>
      <c r="D33" s="169" t="s">
        <v>246</v>
      </c>
    </row>
    <row r="34" spans="2:4" ht="31" thickBot="1">
      <c r="B34" s="336"/>
      <c r="C34" s="339"/>
      <c r="D34" s="168" t="s">
        <v>247</v>
      </c>
    </row>
    <row r="35" spans="2:4" ht="30">
      <c r="B35" s="334" t="s">
        <v>228</v>
      </c>
      <c r="C35" s="337">
        <v>6</v>
      </c>
      <c r="D35" s="169" t="s">
        <v>248</v>
      </c>
    </row>
    <row r="36" spans="2:4" ht="15">
      <c r="B36" s="335"/>
      <c r="C36" s="338"/>
      <c r="D36" s="169" t="s">
        <v>249</v>
      </c>
    </row>
    <row r="37" spans="2:4" ht="30">
      <c r="B37" s="335"/>
      <c r="C37" s="338"/>
      <c r="D37" s="169" t="s">
        <v>250</v>
      </c>
    </row>
    <row r="38" spans="2:4" ht="15" thickBot="1">
      <c r="B38" s="336"/>
      <c r="C38" s="339"/>
      <c r="D38" s="168"/>
    </row>
    <row r="39" spans="2:4" ht="15">
      <c r="B39" s="334" t="s">
        <v>228</v>
      </c>
      <c r="C39" s="337">
        <v>7</v>
      </c>
      <c r="D39" s="169" t="s">
        <v>251</v>
      </c>
    </row>
    <row r="40" spans="2:4" ht="16" thickBot="1">
      <c r="B40" s="336"/>
      <c r="C40" s="339"/>
      <c r="D40" s="168" t="s">
        <v>252</v>
      </c>
    </row>
    <row r="41" spans="2:4">
      <c r="B41" s="325" t="s">
        <v>253</v>
      </c>
      <c r="C41" s="326"/>
      <c r="D41" s="327"/>
    </row>
    <row r="42" spans="2:4">
      <c r="B42" s="322" t="s">
        <v>254</v>
      </c>
      <c r="C42" s="323"/>
      <c r="D42" s="324"/>
    </row>
    <row r="43" spans="2:4" ht="15" thickBot="1">
      <c r="B43" s="316"/>
      <c r="C43" s="317"/>
      <c r="D43" s="318"/>
    </row>
    <row r="44" spans="2:4" ht="15" thickBot="1">
      <c r="B44" s="171" t="s">
        <v>228</v>
      </c>
      <c r="C44" s="172">
        <v>1</v>
      </c>
      <c r="D44" s="173"/>
    </row>
    <row r="45" spans="2:4" ht="30">
      <c r="B45" s="334" t="s">
        <v>228</v>
      </c>
      <c r="C45" s="337">
        <v>2</v>
      </c>
      <c r="D45" s="169" t="s">
        <v>255</v>
      </c>
    </row>
    <row r="46" spans="2:4" ht="15">
      <c r="B46" s="335"/>
      <c r="C46" s="338"/>
      <c r="D46" s="169" t="s">
        <v>256</v>
      </c>
    </row>
    <row r="47" spans="2:4" ht="16" thickBot="1">
      <c r="B47" s="336"/>
      <c r="C47" s="339"/>
      <c r="D47" s="168" t="s">
        <v>257</v>
      </c>
    </row>
    <row r="48" spans="2:4" ht="15">
      <c r="B48" s="334" t="s">
        <v>228</v>
      </c>
      <c r="C48" s="337">
        <v>3</v>
      </c>
      <c r="D48" s="169" t="s">
        <v>258</v>
      </c>
    </row>
    <row r="49" spans="2:4" ht="16" thickBot="1">
      <c r="B49" s="336"/>
      <c r="C49" s="339"/>
      <c r="D49" s="168" t="s">
        <v>259</v>
      </c>
    </row>
    <row r="50" spans="2:4" ht="30">
      <c r="B50" s="334" t="s">
        <v>228</v>
      </c>
      <c r="C50" s="337">
        <v>4</v>
      </c>
      <c r="D50" s="169" t="s">
        <v>260</v>
      </c>
    </row>
    <row r="51" spans="2:4" ht="30">
      <c r="B51" s="335"/>
      <c r="C51" s="338"/>
      <c r="D51" s="169" t="s">
        <v>261</v>
      </c>
    </row>
    <row r="52" spans="2:4" ht="16" thickBot="1">
      <c r="B52" s="336"/>
      <c r="C52" s="339"/>
      <c r="D52" s="168" t="s">
        <v>262</v>
      </c>
    </row>
    <row r="53" spans="2:4" ht="30">
      <c r="B53" s="334" t="s">
        <v>228</v>
      </c>
      <c r="C53" s="337">
        <v>5</v>
      </c>
      <c r="D53" s="169" t="s">
        <v>263</v>
      </c>
    </row>
    <row r="54" spans="2:4" ht="30">
      <c r="B54" s="335"/>
      <c r="C54" s="338"/>
      <c r="D54" s="169" t="s">
        <v>264</v>
      </c>
    </row>
    <row r="55" spans="2:4" ht="15">
      <c r="B55" s="335"/>
      <c r="C55" s="338"/>
      <c r="D55" s="169" t="s">
        <v>262</v>
      </c>
    </row>
    <row r="56" spans="2:4" ht="16" thickBot="1">
      <c r="B56" s="336"/>
      <c r="C56" s="339"/>
      <c r="D56" s="168" t="s">
        <v>265</v>
      </c>
    </row>
    <row r="57" spans="2:4" ht="30">
      <c r="B57" s="334" t="s">
        <v>228</v>
      </c>
      <c r="C57" s="337">
        <v>6</v>
      </c>
      <c r="D57" s="169" t="s">
        <v>266</v>
      </c>
    </row>
    <row r="58" spans="2:4" ht="30">
      <c r="B58" s="335"/>
      <c r="C58" s="338"/>
      <c r="D58" s="169" t="s">
        <v>267</v>
      </c>
    </row>
    <row r="59" spans="2:4" ht="31" thickBot="1">
      <c r="B59" s="336"/>
      <c r="C59" s="339"/>
      <c r="D59" s="168" t="s">
        <v>268</v>
      </c>
    </row>
    <row r="60" spans="2:4" ht="30">
      <c r="B60" s="334" t="s">
        <v>228</v>
      </c>
      <c r="C60" s="337">
        <v>7</v>
      </c>
      <c r="D60" s="169" t="s">
        <v>269</v>
      </c>
    </row>
    <row r="61" spans="2:4" ht="15">
      <c r="B61" s="335"/>
      <c r="C61" s="338"/>
      <c r="D61" s="169" t="s">
        <v>270</v>
      </c>
    </row>
    <row r="62" spans="2:4" ht="15">
      <c r="B62" s="335"/>
      <c r="C62" s="338"/>
      <c r="D62" s="169" t="s">
        <v>271</v>
      </c>
    </row>
    <row r="63" spans="2:4" ht="31" thickBot="1">
      <c r="B63" s="336"/>
      <c r="C63" s="339"/>
      <c r="D63" s="168" t="s">
        <v>272</v>
      </c>
    </row>
    <row r="64" spans="2:4">
      <c r="B64" s="331"/>
      <c r="C64" s="332"/>
      <c r="D64" s="333"/>
    </row>
    <row r="65" spans="2:4">
      <c r="B65" s="322"/>
      <c r="C65" s="323"/>
      <c r="D65" s="324"/>
    </row>
    <row r="66" spans="2:4">
      <c r="B66" s="322"/>
      <c r="C66" s="323"/>
      <c r="D66" s="324"/>
    </row>
    <row r="67" spans="2:4">
      <c r="B67" s="322"/>
      <c r="C67" s="323"/>
      <c r="D67" s="324"/>
    </row>
    <row r="68" spans="2:4">
      <c r="B68" s="322"/>
      <c r="C68" s="323"/>
      <c r="D68" s="324"/>
    </row>
    <row r="69" spans="2:4" ht="15" thickBot="1">
      <c r="B69" s="316"/>
      <c r="C69" s="317"/>
      <c r="D69" s="318"/>
    </row>
    <row r="70" spans="2:4">
      <c r="B70" s="325" t="s">
        <v>273</v>
      </c>
      <c r="C70" s="326"/>
      <c r="D70" s="327"/>
    </row>
    <row r="71" spans="2:4">
      <c r="B71" s="322" t="s">
        <v>274</v>
      </c>
      <c r="C71" s="323"/>
      <c r="D71" s="324"/>
    </row>
    <row r="72" spans="2:4" ht="15" thickBot="1">
      <c r="B72" s="316"/>
      <c r="C72" s="317"/>
      <c r="D72" s="318"/>
    </row>
    <row r="73" spans="2:4" ht="15" thickBot="1">
      <c r="B73" s="171" t="s">
        <v>228</v>
      </c>
      <c r="C73" s="172">
        <v>1</v>
      </c>
      <c r="D73" s="173"/>
    </row>
    <row r="74" spans="2:4" ht="15">
      <c r="B74" s="334" t="s">
        <v>228</v>
      </c>
      <c r="C74" s="337">
        <v>2</v>
      </c>
      <c r="D74" s="169" t="s">
        <v>275</v>
      </c>
    </row>
    <row r="75" spans="2:4" ht="16" thickBot="1">
      <c r="B75" s="336"/>
      <c r="C75" s="339"/>
      <c r="D75" s="168" t="s">
        <v>276</v>
      </c>
    </row>
    <row r="76" spans="2:4" ht="15">
      <c r="B76" s="334" t="s">
        <v>228</v>
      </c>
      <c r="C76" s="337">
        <v>3</v>
      </c>
      <c r="D76" s="169" t="s">
        <v>277</v>
      </c>
    </row>
    <row r="77" spans="2:4" ht="15">
      <c r="B77" s="335"/>
      <c r="C77" s="338"/>
      <c r="D77" s="169" t="s">
        <v>278</v>
      </c>
    </row>
    <row r="78" spans="2:4" ht="16" thickBot="1">
      <c r="B78" s="336"/>
      <c r="C78" s="339"/>
      <c r="D78" s="168" t="s">
        <v>279</v>
      </c>
    </row>
    <row r="79" spans="2:4" ht="30">
      <c r="B79" s="334" t="s">
        <v>228</v>
      </c>
      <c r="C79" s="337">
        <v>4</v>
      </c>
      <c r="D79" s="169" t="s">
        <v>280</v>
      </c>
    </row>
    <row r="80" spans="2:4" ht="30">
      <c r="B80" s="335"/>
      <c r="C80" s="338"/>
      <c r="D80" s="169" t="s">
        <v>281</v>
      </c>
    </row>
    <row r="81" spans="2:4" ht="45">
      <c r="B81" s="335"/>
      <c r="C81" s="338"/>
      <c r="D81" s="169" t="s">
        <v>282</v>
      </c>
    </row>
    <row r="82" spans="2:4" ht="31" thickBot="1">
      <c r="B82" s="336"/>
      <c r="C82" s="339"/>
      <c r="D82" s="168" t="s">
        <v>283</v>
      </c>
    </row>
    <row r="83" spans="2:4" ht="15">
      <c r="B83" s="334" t="s">
        <v>228</v>
      </c>
      <c r="C83" s="337">
        <v>5</v>
      </c>
      <c r="D83" s="169" t="s">
        <v>284</v>
      </c>
    </row>
    <row r="84" spans="2:4" ht="45">
      <c r="B84" s="335"/>
      <c r="C84" s="338"/>
      <c r="D84" s="169" t="s">
        <v>285</v>
      </c>
    </row>
    <row r="85" spans="2:4" ht="45">
      <c r="B85" s="335"/>
      <c r="C85" s="338"/>
      <c r="D85" s="169" t="s">
        <v>286</v>
      </c>
    </row>
    <row r="86" spans="2:4" ht="46" thickBot="1">
      <c r="B86" s="336"/>
      <c r="C86" s="339"/>
      <c r="D86" s="168" t="s">
        <v>287</v>
      </c>
    </row>
    <row r="87" spans="2:4" ht="15">
      <c r="B87" s="334" t="s">
        <v>228</v>
      </c>
      <c r="C87" s="337">
        <v>6</v>
      </c>
      <c r="D87" s="169" t="s">
        <v>288</v>
      </c>
    </row>
    <row r="88" spans="2:4" ht="45">
      <c r="B88" s="335"/>
      <c r="C88" s="338"/>
      <c r="D88" s="169" t="s">
        <v>289</v>
      </c>
    </row>
    <row r="89" spans="2:4" ht="45">
      <c r="B89" s="335"/>
      <c r="C89" s="338"/>
      <c r="D89" s="169" t="s">
        <v>290</v>
      </c>
    </row>
    <row r="90" spans="2:4" ht="31" thickBot="1">
      <c r="B90" s="336"/>
      <c r="C90" s="339"/>
      <c r="D90" s="168" t="s">
        <v>291</v>
      </c>
    </row>
    <row r="91" spans="2:4" ht="15">
      <c r="B91" s="334" t="s">
        <v>228</v>
      </c>
      <c r="C91" s="337">
        <v>7</v>
      </c>
      <c r="D91" s="169" t="s">
        <v>292</v>
      </c>
    </row>
    <row r="92" spans="2:4" ht="60">
      <c r="B92" s="335"/>
      <c r="C92" s="338"/>
      <c r="D92" s="169" t="s">
        <v>293</v>
      </c>
    </row>
    <row r="93" spans="2:4" ht="30">
      <c r="B93" s="335"/>
      <c r="C93" s="338"/>
      <c r="D93" s="169" t="s">
        <v>294</v>
      </c>
    </row>
    <row r="94" spans="2:4" ht="31" thickBot="1">
      <c r="B94" s="336"/>
      <c r="C94" s="339"/>
      <c r="D94" s="168" t="s">
        <v>295</v>
      </c>
    </row>
    <row r="95" spans="2:4" ht="15" thickBot="1">
      <c r="B95" s="319" t="s">
        <v>238</v>
      </c>
      <c r="C95" s="320"/>
      <c r="D95" s="321"/>
    </row>
    <row r="96" spans="2:4">
      <c r="B96" s="325" t="s">
        <v>296</v>
      </c>
      <c r="C96" s="326"/>
      <c r="D96" s="327"/>
    </row>
    <row r="97" spans="2:4">
      <c r="B97" s="322" t="s">
        <v>297</v>
      </c>
      <c r="C97" s="323"/>
      <c r="D97" s="324"/>
    </row>
    <row r="98" spans="2:4" ht="15" thickBot="1">
      <c r="B98" s="316"/>
      <c r="C98" s="317"/>
      <c r="D98" s="318"/>
    </row>
    <row r="99" spans="2:4" ht="15" thickBot="1">
      <c r="B99" s="171" t="s">
        <v>228</v>
      </c>
      <c r="C99" s="172">
        <v>1</v>
      </c>
      <c r="D99" s="173"/>
    </row>
    <row r="100" spans="2:4" ht="15">
      <c r="B100" s="334" t="s">
        <v>228</v>
      </c>
      <c r="C100" s="337">
        <v>2</v>
      </c>
      <c r="D100" s="169" t="s">
        <v>298</v>
      </c>
    </row>
    <row r="101" spans="2:4" ht="16" thickBot="1">
      <c r="B101" s="336"/>
      <c r="C101" s="339"/>
      <c r="D101" s="168" t="s">
        <v>299</v>
      </c>
    </row>
    <row r="102" spans="2:4" ht="15">
      <c r="B102" s="334" t="s">
        <v>228</v>
      </c>
      <c r="C102" s="337">
        <v>3</v>
      </c>
      <c r="D102" s="169" t="s">
        <v>300</v>
      </c>
    </row>
    <row r="103" spans="2:4" ht="15">
      <c r="B103" s="335"/>
      <c r="C103" s="338"/>
      <c r="D103" s="169" t="s">
        <v>301</v>
      </c>
    </row>
    <row r="104" spans="2:4" ht="16" thickBot="1">
      <c r="B104" s="336"/>
      <c r="C104" s="339"/>
      <c r="D104" s="168" t="s">
        <v>302</v>
      </c>
    </row>
    <row r="105" spans="2:4" ht="15">
      <c r="B105" s="334" t="s">
        <v>228</v>
      </c>
      <c r="C105" s="337">
        <v>4</v>
      </c>
      <c r="D105" s="169" t="s">
        <v>303</v>
      </c>
    </row>
    <row r="106" spans="2:4" ht="30">
      <c r="B106" s="335"/>
      <c r="C106" s="338"/>
      <c r="D106" s="169" t="s">
        <v>304</v>
      </c>
    </row>
    <row r="107" spans="2:4" ht="30">
      <c r="B107" s="335"/>
      <c r="C107" s="338"/>
      <c r="D107" s="169" t="s">
        <v>305</v>
      </c>
    </row>
    <row r="108" spans="2:4" ht="16" thickBot="1">
      <c r="B108" s="336"/>
      <c r="C108" s="339"/>
      <c r="D108" s="168" t="s">
        <v>306</v>
      </c>
    </row>
    <row r="109" spans="2:4" ht="15">
      <c r="B109" s="334" t="s">
        <v>228</v>
      </c>
      <c r="C109" s="337">
        <v>5</v>
      </c>
      <c r="D109" s="169" t="s">
        <v>307</v>
      </c>
    </row>
    <row r="110" spans="2:4" ht="30">
      <c r="B110" s="335"/>
      <c r="C110" s="338"/>
      <c r="D110" s="169" t="s">
        <v>308</v>
      </c>
    </row>
    <row r="111" spans="2:4" ht="45">
      <c r="B111" s="335"/>
      <c r="C111" s="338"/>
      <c r="D111" s="169" t="s">
        <v>309</v>
      </c>
    </row>
    <row r="112" spans="2:4" ht="31" thickBot="1">
      <c r="B112" s="336"/>
      <c r="C112" s="339"/>
      <c r="D112" s="168" t="s">
        <v>310</v>
      </c>
    </row>
    <row r="113" spans="2:4" ht="30">
      <c r="B113" s="334" t="s">
        <v>228</v>
      </c>
      <c r="C113" s="337">
        <v>6</v>
      </c>
      <c r="D113" s="169" t="s">
        <v>311</v>
      </c>
    </row>
    <row r="114" spans="2:4" ht="30">
      <c r="B114" s="335"/>
      <c r="C114" s="338"/>
      <c r="D114" s="169" t="s">
        <v>312</v>
      </c>
    </row>
    <row r="115" spans="2:4" ht="30">
      <c r="B115" s="335"/>
      <c r="C115" s="338"/>
      <c r="D115" s="169" t="s">
        <v>313</v>
      </c>
    </row>
    <row r="116" spans="2:4" ht="16" thickBot="1">
      <c r="B116" s="336"/>
      <c r="C116" s="339"/>
      <c r="D116" s="168" t="s">
        <v>314</v>
      </c>
    </row>
    <row r="117" spans="2:4" ht="30">
      <c r="B117" s="334" t="s">
        <v>228</v>
      </c>
      <c r="C117" s="337">
        <v>7</v>
      </c>
      <c r="D117" s="169" t="s">
        <v>315</v>
      </c>
    </row>
    <row r="118" spans="2:4" ht="30">
      <c r="B118" s="335"/>
      <c r="C118" s="338"/>
      <c r="D118" s="169" t="s">
        <v>316</v>
      </c>
    </row>
    <row r="119" spans="2:4" ht="15">
      <c r="B119" s="335"/>
      <c r="C119" s="338"/>
      <c r="D119" s="169" t="s">
        <v>317</v>
      </c>
    </row>
    <row r="120" spans="2:4" ht="16" thickBot="1">
      <c r="B120" s="336"/>
      <c r="C120" s="339"/>
      <c r="D120" s="168" t="s">
        <v>318</v>
      </c>
    </row>
    <row r="121" spans="2:4" ht="15" thickBot="1">
      <c r="B121" s="319" t="s">
        <v>238</v>
      </c>
      <c r="C121" s="320"/>
      <c r="D121" s="321"/>
    </row>
    <row r="122" spans="2:4">
      <c r="B122" s="325" t="s">
        <v>319</v>
      </c>
      <c r="C122" s="326"/>
      <c r="D122" s="327"/>
    </row>
    <row r="123" spans="2:4">
      <c r="B123" s="322" t="s">
        <v>320</v>
      </c>
      <c r="C123" s="323"/>
      <c r="D123" s="324"/>
    </row>
    <row r="124" spans="2:4">
      <c r="B124" s="322"/>
      <c r="C124" s="323"/>
      <c r="D124" s="324"/>
    </row>
    <row r="125" spans="2:4" ht="15" thickBot="1">
      <c r="B125" s="316"/>
      <c r="C125" s="317"/>
      <c r="D125" s="318"/>
    </row>
    <row r="126" spans="2:4" ht="15" thickBot="1">
      <c r="B126" s="171" t="s">
        <v>228</v>
      </c>
      <c r="C126" s="172">
        <v>1</v>
      </c>
      <c r="D126" s="173"/>
    </row>
    <row r="127" spans="2:4" ht="15">
      <c r="B127" s="334" t="s">
        <v>228</v>
      </c>
      <c r="C127" s="337">
        <v>2</v>
      </c>
      <c r="D127" s="169" t="s">
        <v>321</v>
      </c>
    </row>
    <row r="128" spans="2:4" ht="15">
      <c r="B128" s="335"/>
      <c r="C128" s="338"/>
      <c r="D128" s="169" t="s">
        <v>322</v>
      </c>
    </row>
    <row r="129" spans="2:4" ht="16" thickBot="1">
      <c r="B129" s="336"/>
      <c r="C129" s="339"/>
      <c r="D129" s="168" t="s">
        <v>323</v>
      </c>
    </row>
    <row r="130" spans="2:4" ht="30">
      <c r="B130" s="334" t="s">
        <v>228</v>
      </c>
      <c r="C130" s="337">
        <v>3</v>
      </c>
      <c r="D130" s="169" t="s">
        <v>324</v>
      </c>
    </row>
    <row r="131" spans="2:4" ht="30">
      <c r="B131" s="335"/>
      <c r="C131" s="338"/>
      <c r="D131" s="169" t="s">
        <v>325</v>
      </c>
    </row>
    <row r="132" spans="2:4" ht="16" thickBot="1">
      <c r="B132" s="336"/>
      <c r="C132" s="339"/>
      <c r="D132" s="168" t="s">
        <v>326</v>
      </c>
    </row>
    <row r="133" spans="2:4" ht="15">
      <c r="B133" s="334" t="s">
        <v>228</v>
      </c>
      <c r="C133" s="337">
        <v>4</v>
      </c>
      <c r="D133" s="169" t="s">
        <v>327</v>
      </c>
    </row>
    <row r="134" spans="2:4" ht="45">
      <c r="B134" s="335"/>
      <c r="C134" s="338"/>
      <c r="D134" s="169" t="s">
        <v>328</v>
      </c>
    </row>
    <row r="135" spans="2:4" ht="30">
      <c r="B135" s="335"/>
      <c r="C135" s="338"/>
      <c r="D135" s="169" t="s">
        <v>329</v>
      </c>
    </row>
    <row r="136" spans="2:4" ht="31" thickBot="1">
      <c r="B136" s="336"/>
      <c r="C136" s="339"/>
      <c r="D136" s="168" t="s">
        <v>330</v>
      </c>
    </row>
    <row r="137" spans="2:4" ht="30">
      <c r="B137" s="334" t="s">
        <v>228</v>
      </c>
      <c r="C137" s="337">
        <v>5</v>
      </c>
      <c r="D137" s="169" t="s">
        <v>331</v>
      </c>
    </row>
    <row r="138" spans="2:4" ht="45">
      <c r="B138" s="335"/>
      <c r="C138" s="338"/>
      <c r="D138" s="169" t="s">
        <v>332</v>
      </c>
    </row>
    <row r="139" spans="2:4" ht="30">
      <c r="B139" s="335"/>
      <c r="C139" s="338"/>
      <c r="D139" s="169" t="s">
        <v>333</v>
      </c>
    </row>
    <row r="140" spans="2:4" ht="31" thickBot="1">
      <c r="B140" s="336"/>
      <c r="C140" s="339"/>
      <c r="D140" s="168" t="s">
        <v>334</v>
      </c>
    </row>
    <row r="141" spans="2:4" ht="30">
      <c r="B141" s="334" t="s">
        <v>228</v>
      </c>
      <c r="C141" s="337">
        <v>6</v>
      </c>
      <c r="D141" s="169" t="s">
        <v>335</v>
      </c>
    </row>
    <row r="142" spans="2:4" ht="45">
      <c r="B142" s="335"/>
      <c r="C142" s="338"/>
      <c r="D142" s="169" t="s">
        <v>336</v>
      </c>
    </row>
    <row r="143" spans="2:4" ht="15">
      <c r="B143" s="335"/>
      <c r="C143" s="338"/>
      <c r="D143" s="169" t="s">
        <v>337</v>
      </c>
    </row>
    <row r="144" spans="2:4" ht="31" thickBot="1">
      <c r="B144" s="336"/>
      <c r="C144" s="339"/>
      <c r="D144" s="168" t="s">
        <v>338</v>
      </c>
    </row>
    <row r="145" spans="2:4" ht="15" thickBot="1">
      <c r="B145" s="174" t="s">
        <v>228</v>
      </c>
      <c r="C145" s="175">
        <v>7</v>
      </c>
      <c r="D145" s="168"/>
    </row>
    <row r="146" spans="2:4">
      <c r="B146" s="325" t="s">
        <v>339</v>
      </c>
      <c r="C146" s="326"/>
      <c r="D146" s="327"/>
    </row>
    <row r="147" spans="2:4">
      <c r="B147" s="322" t="s">
        <v>340</v>
      </c>
      <c r="C147" s="323"/>
      <c r="D147" s="324"/>
    </row>
    <row r="148" spans="2:4" ht="15" thickBot="1">
      <c r="B148" s="316"/>
      <c r="C148" s="317"/>
      <c r="D148" s="318"/>
    </row>
    <row r="149" spans="2:4" ht="15" thickBot="1">
      <c r="B149" s="171" t="s">
        <v>228</v>
      </c>
      <c r="C149" s="172">
        <v>1</v>
      </c>
      <c r="D149" s="173"/>
    </row>
    <row r="150" spans="2:4" ht="15">
      <c r="B150" s="334" t="s">
        <v>228</v>
      </c>
      <c r="C150" s="337">
        <v>2</v>
      </c>
      <c r="D150" s="169" t="s">
        <v>341</v>
      </c>
    </row>
    <row r="151" spans="2:4" ht="16" thickBot="1">
      <c r="B151" s="336"/>
      <c r="C151" s="339"/>
      <c r="D151" s="168" t="s">
        <v>342</v>
      </c>
    </row>
    <row r="152" spans="2:4" ht="30">
      <c r="B152" s="334" t="s">
        <v>228</v>
      </c>
      <c r="C152" s="337">
        <v>3</v>
      </c>
      <c r="D152" s="169" t="s">
        <v>343</v>
      </c>
    </row>
    <row r="153" spans="2:4" ht="15">
      <c r="B153" s="335"/>
      <c r="C153" s="338"/>
      <c r="D153" s="169" t="s">
        <v>344</v>
      </c>
    </row>
    <row r="154" spans="2:4" ht="16" thickBot="1">
      <c r="B154" s="336"/>
      <c r="C154" s="339"/>
      <c r="D154" s="168" t="s">
        <v>345</v>
      </c>
    </row>
    <row r="155" spans="2:4" ht="15">
      <c r="B155" s="334" t="s">
        <v>228</v>
      </c>
      <c r="C155" s="337">
        <v>4</v>
      </c>
      <c r="D155" s="169" t="s">
        <v>346</v>
      </c>
    </row>
    <row r="156" spans="2:4" ht="15">
      <c r="B156" s="335"/>
      <c r="C156" s="338"/>
      <c r="D156" s="169" t="s">
        <v>347</v>
      </c>
    </row>
    <row r="157" spans="2:4" ht="31" thickBot="1">
      <c r="B157" s="336"/>
      <c r="C157" s="339"/>
      <c r="D157" s="168" t="s">
        <v>348</v>
      </c>
    </row>
    <row r="158" spans="2:4" ht="15">
      <c r="B158" s="334" t="s">
        <v>228</v>
      </c>
      <c r="C158" s="337">
        <v>5</v>
      </c>
      <c r="D158" s="169" t="s">
        <v>349</v>
      </c>
    </row>
    <row r="159" spans="2:4" ht="30">
      <c r="B159" s="335"/>
      <c r="C159" s="338"/>
      <c r="D159" s="169" t="s">
        <v>350</v>
      </c>
    </row>
    <row r="160" spans="2:4" ht="30">
      <c r="B160" s="335"/>
      <c r="C160" s="338"/>
      <c r="D160" s="169" t="s">
        <v>351</v>
      </c>
    </row>
    <row r="161" spans="2:4" ht="31" thickBot="1">
      <c r="B161" s="336"/>
      <c r="C161" s="339"/>
      <c r="D161" s="168" t="s">
        <v>352</v>
      </c>
    </row>
    <row r="162" spans="2:4" ht="30">
      <c r="B162" s="334" t="s">
        <v>228</v>
      </c>
      <c r="C162" s="337">
        <v>6</v>
      </c>
      <c r="D162" s="169" t="s">
        <v>353</v>
      </c>
    </row>
    <row r="163" spans="2:4" ht="15">
      <c r="B163" s="335"/>
      <c r="C163" s="338"/>
      <c r="D163" s="169" t="s">
        <v>354</v>
      </c>
    </row>
    <row r="164" spans="2:4" ht="45">
      <c r="B164" s="335"/>
      <c r="C164" s="338"/>
      <c r="D164" s="169" t="s">
        <v>355</v>
      </c>
    </row>
    <row r="165" spans="2:4" ht="46" thickBot="1">
      <c r="B165" s="336"/>
      <c r="C165" s="339"/>
      <c r="D165" s="168" t="s">
        <v>356</v>
      </c>
    </row>
    <row r="166" spans="2:4" ht="15" thickBot="1">
      <c r="B166" s="174" t="s">
        <v>228</v>
      </c>
      <c r="C166" s="175">
        <v>7</v>
      </c>
      <c r="D166" s="168"/>
    </row>
    <row r="167" spans="2:4">
      <c r="B167" s="331"/>
      <c r="C167" s="332"/>
      <c r="D167" s="333"/>
    </row>
    <row r="168" spans="2:4" ht="15" thickBot="1">
      <c r="B168" s="316" t="s">
        <v>238</v>
      </c>
      <c r="C168" s="317"/>
      <c r="D168" s="318"/>
    </row>
    <row r="169" spans="2:4">
      <c r="B169" s="325" t="s">
        <v>357</v>
      </c>
      <c r="C169" s="326"/>
      <c r="D169" s="327"/>
    </row>
    <row r="170" spans="2:4">
      <c r="B170" s="322" t="s">
        <v>358</v>
      </c>
      <c r="C170" s="323"/>
      <c r="D170" s="324"/>
    </row>
    <row r="171" spans="2:4" ht="15" thickBot="1">
      <c r="B171" s="316"/>
      <c r="C171" s="317"/>
      <c r="D171" s="318"/>
    </row>
    <row r="172" spans="2:4" ht="15" thickBot="1">
      <c r="B172" s="171" t="s">
        <v>228</v>
      </c>
      <c r="C172" s="172">
        <v>1</v>
      </c>
      <c r="D172" s="173"/>
    </row>
    <row r="173" spans="2:4" ht="15" thickBot="1">
      <c r="B173" s="174" t="s">
        <v>228</v>
      </c>
      <c r="C173" s="175">
        <v>2</v>
      </c>
      <c r="D173" s="168"/>
    </row>
    <row r="174" spans="2:4" ht="15">
      <c r="B174" s="334" t="s">
        <v>228</v>
      </c>
      <c r="C174" s="337">
        <v>3</v>
      </c>
      <c r="D174" s="169" t="s">
        <v>359</v>
      </c>
    </row>
    <row r="175" spans="2:4" ht="30">
      <c r="B175" s="335"/>
      <c r="C175" s="338"/>
      <c r="D175" s="169" t="s">
        <v>360</v>
      </c>
    </row>
    <row r="176" spans="2:4" ht="30">
      <c r="B176" s="335"/>
      <c r="C176" s="338"/>
      <c r="D176" s="169" t="s">
        <v>361</v>
      </c>
    </row>
    <row r="177" spans="2:4" ht="46" thickBot="1">
      <c r="B177" s="336"/>
      <c r="C177" s="339"/>
      <c r="D177" s="168" t="s">
        <v>362</v>
      </c>
    </row>
    <row r="178" spans="2:4" ht="15">
      <c r="B178" s="334" t="s">
        <v>228</v>
      </c>
      <c r="C178" s="337">
        <v>4</v>
      </c>
      <c r="D178" s="169" t="s">
        <v>363</v>
      </c>
    </row>
    <row r="179" spans="2:4" ht="30">
      <c r="B179" s="335"/>
      <c r="C179" s="338"/>
      <c r="D179" s="169" t="s">
        <v>364</v>
      </c>
    </row>
    <row r="180" spans="2:4" ht="30">
      <c r="B180" s="335"/>
      <c r="C180" s="338"/>
      <c r="D180" s="169" t="s">
        <v>365</v>
      </c>
    </row>
    <row r="181" spans="2:4" ht="61" thickBot="1">
      <c r="B181" s="336"/>
      <c r="C181" s="339"/>
      <c r="D181" s="168" t="s">
        <v>366</v>
      </c>
    </row>
    <row r="182" spans="2:4" ht="30">
      <c r="B182" s="334" t="s">
        <v>228</v>
      </c>
      <c r="C182" s="337">
        <v>5</v>
      </c>
      <c r="D182" s="169" t="s">
        <v>367</v>
      </c>
    </row>
    <row r="183" spans="2:4" ht="30">
      <c r="B183" s="335"/>
      <c r="C183" s="338"/>
      <c r="D183" s="169" t="s">
        <v>368</v>
      </c>
    </row>
    <row r="184" spans="2:4" ht="30">
      <c r="B184" s="335"/>
      <c r="C184" s="338"/>
      <c r="D184" s="169" t="s">
        <v>369</v>
      </c>
    </row>
    <row r="185" spans="2:4" ht="46" thickBot="1">
      <c r="B185" s="336"/>
      <c r="C185" s="339"/>
      <c r="D185" s="168" t="s">
        <v>370</v>
      </c>
    </row>
    <row r="186" spans="2:4" ht="15" thickBot="1">
      <c r="B186" s="174" t="s">
        <v>228</v>
      </c>
      <c r="C186" s="175">
        <v>6</v>
      </c>
      <c r="D186" s="168"/>
    </row>
    <row r="187" spans="2:4" ht="15" thickBot="1">
      <c r="B187" s="174" t="s">
        <v>228</v>
      </c>
      <c r="C187" s="175">
        <v>7</v>
      </c>
      <c r="D187" s="168"/>
    </row>
    <row r="188" spans="2:4" ht="15" thickBot="1">
      <c r="B188" s="319" t="s">
        <v>238</v>
      </c>
      <c r="C188" s="320"/>
      <c r="D188" s="321"/>
    </row>
    <row r="189" spans="2:4" ht="15" thickBot="1">
      <c r="B189" s="319"/>
      <c r="C189" s="320"/>
      <c r="D189" s="321"/>
    </row>
    <row r="190" spans="2:4" ht="15" thickBot="1">
      <c r="B190" s="328" t="s">
        <v>371</v>
      </c>
      <c r="C190" s="329"/>
      <c r="D190" s="330"/>
    </row>
    <row r="191" spans="2:4">
      <c r="B191" s="325" t="s">
        <v>372</v>
      </c>
      <c r="C191" s="326"/>
      <c r="D191" s="327"/>
    </row>
    <row r="192" spans="2:4">
      <c r="B192" s="322" t="s">
        <v>373</v>
      </c>
      <c r="C192" s="323"/>
      <c r="D192" s="324"/>
    </row>
    <row r="193" spans="2:4" ht="15" thickBot="1">
      <c r="B193" s="316"/>
      <c r="C193" s="317"/>
      <c r="D193" s="318"/>
    </row>
    <row r="194" spans="2:4" ht="15" thickBot="1">
      <c r="B194" s="171" t="s">
        <v>228</v>
      </c>
      <c r="C194" s="172">
        <v>1</v>
      </c>
      <c r="D194" s="173"/>
    </row>
    <row r="195" spans="2:4" ht="15">
      <c r="B195" s="334" t="s">
        <v>228</v>
      </c>
      <c r="C195" s="337">
        <v>2</v>
      </c>
      <c r="D195" s="169" t="s">
        <v>374</v>
      </c>
    </row>
    <row r="196" spans="2:4" ht="15">
      <c r="B196" s="335"/>
      <c r="C196" s="338"/>
      <c r="D196" s="169" t="s">
        <v>375</v>
      </c>
    </row>
    <row r="197" spans="2:4" ht="15">
      <c r="B197" s="335"/>
      <c r="C197" s="338"/>
      <c r="D197" s="169" t="s">
        <v>376</v>
      </c>
    </row>
    <row r="198" spans="2:4" ht="16" thickBot="1">
      <c r="B198" s="336"/>
      <c r="C198" s="339"/>
      <c r="D198" s="168" t="s">
        <v>377</v>
      </c>
    </row>
    <row r="199" spans="2:4" ht="30">
      <c r="B199" s="334" t="s">
        <v>228</v>
      </c>
      <c r="C199" s="337">
        <v>3</v>
      </c>
      <c r="D199" s="169" t="s">
        <v>378</v>
      </c>
    </row>
    <row r="200" spans="2:4" ht="30">
      <c r="B200" s="335"/>
      <c r="C200" s="338"/>
      <c r="D200" s="169" t="s">
        <v>379</v>
      </c>
    </row>
    <row r="201" spans="2:4" ht="45">
      <c r="B201" s="335"/>
      <c r="C201" s="338"/>
      <c r="D201" s="169" t="s">
        <v>380</v>
      </c>
    </row>
    <row r="202" spans="2:4" ht="16" thickBot="1">
      <c r="B202" s="336"/>
      <c r="C202" s="339"/>
      <c r="D202" s="168" t="s">
        <v>381</v>
      </c>
    </row>
    <row r="203" spans="2:4" ht="15">
      <c r="B203" s="334" t="s">
        <v>228</v>
      </c>
      <c r="C203" s="337">
        <v>4</v>
      </c>
      <c r="D203" s="169" t="s">
        <v>382</v>
      </c>
    </row>
    <row r="204" spans="2:4" ht="30">
      <c r="B204" s="335"/>
      <c r="C204" s="338"/>
      <c r="D204" s="169" t="s">
        <v>383</v>
      </c>
    </row>
    <row r="205" spans="2:4" ht="30">
      <c r="B205" s="335"/>
      <c r="C205" s="338"/>
      <c r="D205" s="169" t="s">
        <v>384</v>
      </c>
    </row>
    <row r="206" spans="2:4" ht="16" thickBot="1">
      <c r="B206" s="336"/>
      <c r="C206" s="339"/>
      <c r="D206" s="168" t="s">
        <v>385</v>
      </c>
    </row>
    <row r="207" spans="2:4" ht="30">
      <c r="B207" s="334" t="s">
        <v>228</v>
      </c>
      <c r="C207" s="337">
        <v>5</v>
      </c>
      <c r="D207" s="169" t="s">
        <v>386</v>
      </c>
    </row>
    <row r="208" spans="2:4" ht="15">
      <c r="B208" s="335"/>
      <c r="C208" s="338"/>
      <c r="D208" s="169" t="s">
        <v>387</v>
      </c>
    </row>
    <row r="209" spans="2:4" ht="45">
      <c r="B209" s="335"/>
      <c r="C209" s="338"/>
      <c r="D209" s="169" t="s">
        <v>388</v>
      </c>
    </row>
    <row r="210" spans="2:4" ht="16" thickBot="1">
      <c r="B210" s="336"/>
      <c r="C210" s="339"/>
      <c r="D210" s="168" t="s">
        <v>389</v>
      </c>
    </row>
    <row r="211" spans="2:4" ht="15">
      <c r="B211" s="334" t="s">
        <v>228</v>
      </c>
      <c r="C211" s="337">
        <v>6</v>
      </c>
      <c r="D211" s="169" t="s">
        <v>390</v>
      </c>
    </row>
    <row r="212" spans="2:4" ht="30">
      <c r="B212" s="335"/>
      <c r="C212" s="338"/>
      <c r="D212" s="169" t="s">
        <v>391</v>
      </c>
    </row>
    <row r="213" spans="2:4" ht="45">
      <c r="B213" s="335"/>
      <c r="C213" s="338"/>
      <c r="D213" s="169" t="s">
        <v>392</v>
      </c>
    </row>
    <row r="214" spans="2:4" ht="31" thickBot="1">
      <c r="B214" s="336"/>
      <c r="C214" s="339"/>
      <c r="D214" s="168" t="s">
        <v>393</v>
      </c>
    </row>
    <row r="215" spans="2:4" ht="30">
      <c r="B215" s="334" t="s">
        <v>228</v>
      </c>
      <c r="C215" s="337">
        <v>7</v>
      </c>
      <c r="D215" s="169" t="s">
        <v>394</v>
      </c>
    </row>
    <row r="216" spans="2:4" ht="15">
      <c r="B216" s="335"/>
      <c r="C216" s="338"/>
      <c r="D216" s="169" t="s">
        <v>395</v>
      </c>
    </row>
    <row r="217" spans="2:4" ht="30">
      <c r="B217" s="335"/>
      <c r="C217" s="338"/>
      <c r="D217" s="169" t="s">
        <v>396</v>
      </c>
    </row>
    <row r="218" spans="2:4" ht="16" thickBot="1">
      <c r="B218" s="336"/>
      <c r="C218" s="339"/>
      <c r="D218" s="168" t="s">
        <v>397</v>
      </c>
    </row>
    <row r="219" spans="2:4">
      <c r="B219" s="331"/>
      <c r="C219" s="332"/>
      <c r="D219" s="333"/>
    </row>
    <row r="220" spans="2:4" ht="15" thickBot="1">
      <c r="B220" s="316" t="s">
        <v>238</v>
      </c>
      <c r="C220" s="317"/>
      <c r="D220" s="318"/>
    </row>
    <row r="221" spans="2:4">
      <c r="B221" s="325" t="s">
        <v>398</v>
      </c>
      <c r="C221" s="326"/>
      <c r="D221" s="327"/>
    </row>
    <row r="222" spans="2:4">
      <c r="B222" s="322" t="s">
        <v>399</v>
      </c>
      <c r="C222" s="323"/>
      <c r="D222" s="324"/>
    </row>
    <row r="223" spans="2:4" ht="15" thickBot="1">
      <c r="B223" s="316"/>
      <c r="C223" s="317"/>
      <c r="D223" s="318"/>
    </row>
    <row r="224" spans="2:4" ht="15" thickBot="1">
      <c r="B224" s="171" t="s">
        <v>228</v>
      </c>
      <c r="C224" s="172">
        <v>1</v>
      </c>
      <c r="D224" s="173"/>
    </row>
    <row r="225" spans="2:4" ht="15">
      <c r="B225" s="334" t="s">
        <v>228</v>
      </c>
      <c r="C225" s="337">
        <v>2</v>
      </c>
      <c r="D225" s="169" t="s">
        <v>400</v>
      </c>
    </row>
    <row r="226" spans="2:4" ht="15">
      <c r="B226" s="335"/>
      <c r="C226" s="338"/>
      <c r="D226" s="169" t="s">
        <v>401</v>
      </c>
    </row>
    <row r="227" spans="2:4" ht="16" thickBot="1">
      <c r="B227" s="336"/>
      <c r="C227" s="339"/>
      <c r="D227" s="168" t="s">
        <v>402</v>
      </c>
    </row>
    <row r="228" spans="2:4" ht="15">
      <c r="B228" s="334" t="s">
        <v>228</v>
      </c>
      <c r="C228" s="337">
        <v>3</v>
      </c>
      <c r="D228" s="169" t="s">
        <v>403</v>
      </c>
    </row>
    <row r="229" spans="2:4" ht="30">
      <c r="B229" s="335"/>
      <c r="C229" s="338"/>
      <c r="D229" s="169" t="s">
        <v>404</v>
      </c>
    </row>
    <row r="230" spans="2:4" ht="30">
      <c r="B230" s="335"/>
      <c r="C230" s="338"/>
      <c r="D230" s="169" t="s">
        <v>405</v>
      </c>
    </row>
    <row r="231" spans="2:4" ht="16" thickBot="1">
      <c r="B231" s="336"/>
      <c r="C231" s="339"/>
      <c r="D231" s="168" t="s">
        <v>406</v>
      </c>
    </row>
    <row r="232" spans="2:4" ht="15">
      <c r="B232" s="334" t="s">
        <v>228</v>
      </c>
      <c r="C232" s="337">
        <v>4</v>
      </c>
      <c r="D232" s="169" t="s">
        <v>407</v>
      </c>
    </row>
    <row r="233" spans="2:4" ht="15">
      <c r="B233" s="335"/>
      <c r="C233" s="338"/>
      <c r="D233" s="169" t="s">
        <v>408</v>
      </c>
    </row>
    <row r="234" spans="2:4" ht="15">
      <c r="B234" s="335"/>
      <c r="C234" s="338"/>
      <c r="D234" s="169" t="s">
        <v>409</v>
      </c>
    </row>
    <row r="235" spans="2:4" ht="31" thickBot="1">
      <c r="B235" s="336"/>
      <c r="C235" s="339"/>
      <c r="D235" s="168" t="s">
        <v>410</v>
      </c>
    </row>
    <row r="236" spans="2:4" ht="15">
      <c r="B236" s="334" t="s">
        <v>228</v>
      </c>
      <c r="C236" s="337">
        <v>5</v>
      </c>
      <c r="D236" s="169" t="s">
        <v>411</v>
      </c>
    </row>
    <row r="237" spans="2:4" ht="15">
      <c r="B237" s="335"/>
      <c r="C237" s="338"/>
      <c r="D237" s="169" t="s">
        <v>412</v>
      </c>
    </row>
    <row r="238" spans="2:4" ht="30">
      <c r="B238" s="335"/>
      <c r="C238" s="338"/>
      <c r="D238" s="169" t="s">
        <v>413</v>
      </c>
    </row>
    <row r="239" spans="2:4" ht="31" thickBot="1">
      <c r="B239" s="336"/>
      <c r="C239" s="339"/>
      <c r="D239" s="168" t="s">
        <v>414</v>
      </c>
    </row>
    <row r="240" spans="2:4" ht="15">
      <c r="B240" s="334" t="s">
        <v>228</v>
      </c>
      <c r="C240" s="337">
        <v>6</v>
      </c>
      <c r="D240" s="169" t="s">
        <v>415</v>
      </c>
    </row>
    <row r="241" spans="2:4" ht="30">
      <c r="B241" s="335"/>
      <c r="C241" s="338"/>
      <c r="D241" s="169" t="s">
        <v>416</v>
      </c>
    </row>
    <row r="242" spans="2:4" ht="30">
      <c r="B242" s="335"/>
      <c r="C242" s="338"/>
      <c r="D242" s="169" t="s">
        <v>417</v>
      </c>
    </row>
    <row r="243" spans="2:4" ht="31" thickBot="1">
      <c r="B243" s="336"/>
      <c r="C243" s="339"/>
      <c r="D243" s="168" t="s">
        <v>418</v>
      </c>
    </row>
    <row r="244" spans="2:4" ht="15" thickBot="1">
      <c r="B244" s="174" t="s">
        <v>228</v>
      </c>
      <c r="C244" s="175">
        <v>7</v>
      </c>
      <c r="D244" s="168"/>
    </row>
    <row r="245" spans="2:4" ht="15" thickBot="1">
      <c r="B245" s="319" t="s">
        <v>419</v>
      </c>
      <c r="C245" s="320"/>
      <c r="D245" s="321"/>
    </row>
    <row r="246" spans="2:4">
      <c r="B246" s="325" t="s">
        <v>420</v>
      </c>
      <c r="C246" s="326"/>
      <c r="D246" s="327"/>
    </row>
    <row r="247" spans="2:4">
      <c r="B247" s="322" t="s">
        <v>421</v>
      </c>
      <c r="C247" s="323"/>
      <c r="D247" s="324"/>
    </row>
    <row r="248" spans="2:4" ht="15" thickBot="1">
      <c r="B248" s="316"/>
      <c r="C248" s="317"/>
      <c r="D248" s="318"/>
    </row>
    <row r="249" spans="2:4" ht="15" thickBot="1">
      <c r="B249" s="171" t="s">
        <v>228</v>
      </c>
      <c r="C249" s="172">
        <v>1</v>
      </c>
      <c r="D249" s="173"/>
    </row>
    <row r="250" spans="2:4" ht="15">
      <c r="B250" s="334" t="s">
        <v>228</v>
      </c>
      <c r="C250" s="337">
        <v>2</v>
      </c>
      <c r="D250" s="169" t="s">
        <v>422</v>
      </c>
    </row>
    <row r="251" spans="2:4" ht="15">
      <c r="B251" s="335"/>
      <c r="C251" s="338"/>
      <c r="D251" s="169" t="s">
        <v>423</v>
      </c>
    </row>
    <row r="252" spans="2:4" ht="16" thickBot="1">
      <c r="B252" s="336"/>
      <c r="C252" s="339"/>
      <c r="D252" s="168" t="s">
        <v>424</v>
      </c>
    </row>
    <row r="253" spans="2:4" ht="15">
      <c r="B253" s="334" t="s">
        <v>228</v>
      </c>
      <c r="C253" s="337">
        <v>3</v>
      </c>
      <c r="D253" s="169" t="s">
        <v>425</v>
      </c>
    </row>
    <row r="254" spans="2:4" ht="30">
      <c r="B254" s="335"/>
      <c r="C254" s="338"/>
      <c r="D254" s="169" t="s">
        <v>426</v>
      </c>
    </row>
    <row r="255" spans="2:4" ht="16" thickBot="1">
      <c r="B255" s="336"/>
      <c r="C255" s="339"/>
      <c r="D255" s="168" t="s">
        <v>427</v>
      </c>
    </row>
    <row r="256" spans="2:4" ht="30">
      <c r="B256" s="334" t="s">
        <v>228</v>
      </c>
      <c r="C256" s="337">
        <v>4</v>
      </c>
      <c r="D256" s="169" t="s">
        <v>428</v>
      </c>
    </row>
    <row r="257" spans="2:4" ht="30">
      <c r="B257" s="335"/>
      <c r="C257" s="338"/>
      <c r="D257" s="169" t="s">
        <v>429</v>
      </c>
    </row>
    <row r="258" spans="2:4" ht="15">
      <c r="B258" s="335"/>
      <c r="C258" s="338"/>
      <c r="D258" s="169" t="s">
        <v>430</v>
      </c>
    </row>
    <row r="259" spans="2:4" ht="16" thickBot="1">
      <c r="B259" s="336"/>
      <c r="C259" s="339"/>
      <c r="D259" s="168" t="s">
        <v>431</v>
      </c>
    </row>
    <row r="260" spans="2:4" ht="15">
      <c r="B260" s="334" t="s">
        <v>228</v>
      </c>
      <c r="C260" s="337">
        <v>5</v>
      </c>
      <c r="D260" s="169" t="s">
        <v>432</v>
      </c>
    </row>
    <row r="261" spans="2:4" ht="15">
      <c r="B261" s="335"/>
      <c r="C261" s="338"/>
      <c r="D261" s="169" t="s">
        <v>433</v>
      </c>
    </row>
    <row r="262" spans="2:4" ht="30">
      <c r="B262" s="335"/>
      <c r="C262" s="338"/>
      <c r="D262" s="169" t="s">
        <v>434</v>
      </c>
    </row>
    <row r="263" spans="2:4" ht="31" thickBot="1">
      <c r="B263" s="336"/>
      <c r="C263" s="339"/>
      <c r="D263" s="168" t="s">
        <v>435</v>
      </c>
    </row>
    <row r="264" spans="2:4" ht="15">
      <c r="B264" s="334" t="s">
        <v>228</v>
      </c>
      <c r="C264" s="337">
        <v>6</v>
      </c>
      <c r="D264" s="169" t="s">
        <v>436</v>
      </c>
    </row>
    <row r="265" spans="2:4" ht="30">
      <c r="B265" s="335"/>
      <c r="C265" s="338"/>
      <c r="D265" s="169" t="s">
        <v>437</v>
      </c>
    </row>
    <row r="266" spans="2:4" ht="30">
      <c r="B266" s="335"/>
      <c r="C266" s="338"/>
      <c r="D266" s="169" t="s">
        <v>438</v>
      </c>
    </row>
    <row r="267" spans="2:4" ht="31" thickBot="1">
      <c r="B267" s="336"/>
      <c r="C267" s="339"/>
      <c r="D267" s="168" t="s">
        <v>439</v>
      </c>
    </row>
    <row r="268" spans="2:4" ht="15" thickBot="1">
      <c r="B268" s="174" t="s">
        <v>228</v>
      </c>
      <c r="C268" s="175">
        <v>7</v>
      </c>
      <c r="D268" s="168"/>
    </row>
    <row r="269" spans="2:4" ht="15" thickBot="1">
      <c r="B269" s="319" t="s">
        <v>238</v>
      </c>
      <c r="C269" s="320"/>
      <c r="D269" s="321"/>
    </row>
    <row r="270" spans="2:4">
      <c r="B270" s="325" t="s">
        <v>440</v>
      </c>
      <c r="C270" s="326"/>
      <c r="D270" s="327"/>
    </row>
    <row r="271" spans="2:4">
      <c r="B271" s="322" t="s">
        <v>441</v>
      </c>
      <c r="C271" s="323"/>
      <c r="D271" s="324"/>
    </row>
    <row r="272" spans="2:4" ht="15" thickBot="1">
      <c r="B272" s="316"/>
      <c r="C272" s="317"/>
      <c r="D272" s="318"/>
    </row>
    <row r="273" spans="2:4" ht="15">
      <c r="B273" s="334" t="s">
        <v>228</v>
      </c>
      <c r="C273" s="337">
        <v>1</v>
      </c>
      <c r="D273" s="176" t="s">
        <v>442</v>
      </c>
    </row>
    <row r="274" spans="2:4" ht="15">
      <c r="B274" s="335"/>
      <c r="C274" s="338"/>
      <c r="D274" s="169" t="s">
        <v>443</v>
      </c>
    </row>
    <row r="275" spans="2:4" ht="30">
      <c r="B275" s="335"/>
      <c r="C275" s="338"/>
      <c r="D275" s="169" t="s">
        <v>444</v>
      </c>
    </row>
    <row r="276" spans="2:4" ht="16" thickBot="1">
      <c r="B276" s="336"/>
      <c r="C276" s="339"/>
      <c r="D276" s="168" t="s">
        <v>445</v>
      </c>
    </row>
    <row r="277" spans="2:4" ht="30">
      <c r="B277" s="334" t="s">
        <v>228</v>
      </c>
      <c r="C277" s="337">
        <v>2</v>
      </c>
      <c r="D277" s="169" t="s">
        <v>446</v>
      </c>
    </row>
    <row r="278" spans="2:4" ht="30">
      <c r="B278" s="335"/>
      <c r="C278" s="338"/>
      <c r="D278" s="169" t="s">
        <v>447</v>
      </c>
    </row>
    <row r="279" spans="2:4" ht="30">
      <c r="B279" s="335"/>
      <c r="C279" s="338"/>
      <c r="D279" s="169" t="s">
        <v>448</v>
      </c>
    </row>
    <row r="280" spans="2:4" ht="16" thickBot="1">
      <c r="B280" s="336"/>
      <c r="C280" s="339"/>
      <c r="D280" s="168" t="s">
        <v>449</v>
      </c>
    </row>
    <row r="281" spans="2:4" ht="15">
      <c r="B281" s="334" t="s">
        <v>228</v>
      </c>
      <c r="C281" s="337">
        <v>3</v>
      </c>
      <c r="D281" s="169" t="s">
        <v>450</v>
      </c>
    </row>
    <row r="282" spans="2:4" ht="15">
      <c r="B282" s="335"/>
      <c r="C282" s="338"/>
      <c r="D282" s="169" t="s">
        <v>451</v>
      </c>
    </row>
    <row r="283" spans="2:4" ht="30">
      <c r="B283" s="335"/>
      <c r="C283" s="338"/>
      <c r="D283" s="169" t="s">
        <v>452</v>
      </c>
    </row>
    <row r="284" spans="2:4" ht="31" thickBot="1">
      <c r="B284" s="336"/>
      <c r="C284" s="339"/>
      <c r="D284" s="168" t="s">
        <v>453</v>
      </c>
    </row>
    <row r="285" spans="2:4" ht="30">
      <c r="B285" s="334" t="s">
        <v>228</v>
      </c>
      <c r="C285" s="337">
        <v>4</v>
      </c>
      <c r="D285" s="169" t="s">
        <v>454</v>
      </c>
    </row>
    <row r="286" spans="2:4" ht="30">
      <c r="B286" s="335"/>
      <c r="C286" s="338"/>
      <c r="D286" s="169" t="s">
        <v>455</v>
      </c>
    </row>
    <row r="287" spans="2:4" ht="15">
      <c r="B287" s="335"/>
      <c r="C287" s="338"/>
      <c r="D287" s="169" t="s">
        <v>456</v>
      </c>
    </row>
    <row r="288" spans="2:4" ht="16" thickBot="1">
      <c r="B288" s="336"/>
      <c r="C288" s="339"/>
      <c r="D288" s="168" t="s">
        <v>457</v>
      </c>
    </row>
    <row r="289" spans="2:4" ht="15">
      <c r="B289" s="334" t="s">
        <v>228</v>
      </c>
      <c r="C289" s="337">
        <v>5</v>
      </c>
      <c r="D289" s="169" t="s">
        <v>458</v>
      </c>
    </row>
    <row r="290" spans="2:4" ht="30">
      <c r="B290" s="335"/>
      <c r="C290" s="338"/>
      <c r="D290" s="169" t="s">
        <v>459</v>
      </c>
    </row>
    <row r="291" spans="2:4" ht="30">
      <c r="B291" s="335"/>
      <c r="C291" s="338"/>
      <c r="D291" s="169" t="s">
        <v>460</v>
      </c>
    </row>
    <row r="292" spans="2:4" ht="31" thickBot="1">
      <c r="B292" s="336"/>
      <c r="C292" s="339"/>
      <c r="D292" s="168" t="s">
        <v>461</v>
      </c>
    </row>
    <row r="293" spans="2:4" ht="15">
      <c r="B293" s="334" t="s">
        <v>228</v>
      </c>
      <c r="C293" s="337">
        <v>6</v>
      </c>
      <c r="D293" s="169" t="s">
        <v>462</v>
      </c>
    </row>
    <row r="294" spans="2:4" ht="15">
      <c r="B294" s="335"/>
      <c r="C294" s="338"/>
      <c r="D294" s="169" t="s">
        <v>463</v>
      </c>
    </row>
    <row r="295" spans="2:4" ht="30">
      <c r="B295" s="335"/>
      <c r="C295" s="338"/>
      <c r="D295" s="169" t="s">
        <v>464</v>
      </c>
    </row>
    <row r="296" spans="2:4" ht="31" thickBot="1">
      <c r="B296" s="336"/>
      <c r="C296" s="339"/>
      <c r="D296" s="168" t="s">
        <v>465</v>
      </c>
    </row>
    <row r="297" spans="2:4" ht="15" thickBot="1">
      <c r="B297" s="174" t="s">
        <v>228</v>
      </c>
      <c r="C297" s="175">
        <v>7</v>
      </c>
      <c r="D297" s="168"/>
    </row>
    <row r="298" spans="2:4" ht="15" thickBot="1">
      <c r="B298" s="319" t="s">
        <v>419</v>
      </c>
      <c r="C298" s="320"/>
      <c r="D298" s="321"/>
    </row>
    <row r="299" spans="2:4">
      <c r="B299" s="325" t="s">
        <v>466</v>
      </c>
      <c r="C299" s="326"/>
      <c r="D299" s="327"/>
    </row>
    <row r="300" spans="2:4">
      <c r="B300" s="322" t="s">
        <v>467</v>
      </c>
      <c r="C300" s="323"/>
      <c r="D300" s="324"/>
    </row>
    <row r="301" spans="2:4" ht="15" thickBot="1">
      <c r="B301" s="316"/>
      <c r="C301" s="317"/>
      <c r="D301" s="318"/>
    </row>
    <row r="302" spans="2:4" ht="15" thickBot="1">
      <c r="B302" s="171" t="s">
        <v>228</v>
      </c>
      <c r="C302" s="172">
        <v>1</v>
      </c>
      <c r="D302" s="173"/>
    </row>
    <row r="303" spans="2:4" ht="15">
      <c r="B303" s="334" t="s">
        <v>228</v>
      </c>
      <c r="C303" s="337">
        <v>2</v>
      </c>
      <c r="D303" s="169" t="s">
        <v>468</v>
      </c>
    </row>
    <row r="304" spans="2:4" ht="31" thickBot="1">
      <c r="B304" s="336"/>
      <c r="C304" s="339"/>
      <c r="D304" s="168" t="s">
        <v>469</v>
      </c>
    </row>
    <row r="305" spans="2:4" ht="30">
      <c r="B305" s="334" t="s">
        <v>228</v>
      </c>
      <c r="C305" s="337">
        <v>3</v>
      </c>
      <c r="D305" s="169" t="s">
        <v>470</v>
      </c>
    </row>
    <row r="306" spans="2:4" ht="15">
      <c r="B306" s="335"/>
      <c r="C306" s="338"/>
      <c r="D306" s="169" t="s">
        <v>471</v>
      </c>
    </row>
    <row r="307" spans="2:4" ht="16" thickBot="1">
      <c r="B307" s="336"/>
      <c r="C307" s="339"/>
      <c r="D307" s="168" t="s">
        <v>472</v>
      </c>
    </row>
    <row r="308" spans="2:4" ht="15">
      <c r="B308" s="334" t="s">
        <v>228</v>
      </c>
      <c r="C308" s="337">
        <v>4</v>
      </c>
      <c r="D308" s="169" t="s">
        <v>473</v>
      </c>
    </row>
    <row r="309" spans="2:4" ht="15">
      <c r="B309" s="335"/>
      <c r="C309" s="338"/>
      <c r="D309" s="169" t="s">
        <v>474</v>
      </c>
    </row>
    <row r="310" spans="2:4" ht="15">
      <c r="B310" s="335"/>
      <c r="C310" s="338"/>
      <c r="D310" s="169" t="s">
        <v>475</v>
      </c>
    </row>
    <row r="311" spans="2:4" ht="16" thickBot="1">
      <c r="B311" s="336"/>
      <c r="C311" s="339"/>
      <c r="D311" s="168" t="s">
        <v>476</v>
      </c>
    </row>
    <row r="312" spans="2:4" ht="15">
      <c r="B312" s="334" t="s">
        <v>228</v>
      </c>
      <c r="C312" s="337">
        <v>5</v>
      </c>
      <c r="D312" s="169" t="s">
        <v>477</v>
      </c>
    </row>
    <row r="313" spans="2:4" ht="30">
      <c r="B313" s="335"/>
      <c r="C313" s="338"/>
      <c r="D313" s="169" t="s">
        <v>478</v>
      </c>
    </row>
    <row r="314" spans="2:4" ht="15">
      <c r="B314" s="335"/>
      <c r="C314" s="338"/>
      <c r="D314" s="169" t="s">
        <v>479</v>
      </c>
    </row>
    <row r="315" spans="2:4" ht="31" thickBot="1">
      <c r="B315" s="336"/>
      <c r="C315" s="339"/>
      <c r="D315" s="168" t="s">
        <v>480</v>
      </c>
    </row>
    <row r="316" spans="2:4" ht="15">
      <c r="B316" s="334" t="s">
        <v>228</v>
      </c>
      <c r="C316" s="337">
        <v>6</v>
      </c>
      <c r="D316" s="169" t="s">
        <v>481</v>
      </c>
    </row>
    <row r="317" spans="2:4" ht="15">
      <c r="B317" s="335"/>
      <c r="C317" s="338"/>
      <c r="D317" s="169" t="s">
        <v>482</v>
      </c>
    </row>
    <row r="318" spans="2:4" ht="15">
      <c r="B318" s="335"/>
      <c r="C318" s="338"/>
      <c r="D318" s="169" t="s">
        <v>483</v>
      </c>
    </row>
    <row r="319" spans="2:4" ht="31" thickBot="1">
      <c r="B319" s="336"/>
      <c r="C319" s="339"/>
      <c r="D319" s="168" t="s">
        <v>484</v>
      </c>
    </row>
    <row r="320" spans="2:4" ht="15" thickBot="1">
      <c r="B320" s="174" t="s">
        <v>228</v>
      </c>
      <c r="C320" s="175">
        <v>7</v>
      </c>
      <c r="D320" s="168"/>
    </row>
    <row r="321" spans="2:4" ht="15" thickBot="1">
      <c r="B321" s="319" t="s">
        <v>419</v>
      </c>
      <c r="C321" s="320"/>
      <c r="D321" s="321"/>
    </row>
    <row r="322" spans="2:4">
      <c r="B322" s="325" t="s">
        <v>485</v>
      </c>
      <c r="C322" s="326"/>
      <c r="D322" s="327"/>
    </row>
    <row r="323" spans="2:4">
      <c r="B323" s="322" t="s">
        <v>486</v>
      </c>
      <c r="C323" s="323"/>
      <c r="D323" s="324"/>
    </row>
    <row r="324" spans="2:4" ht="15" thickBot="1">
      <c r="B324" s="316"/>
      <c r="C324" s="317"/>
      <c r="D324" s="318"/>
    </row>
    <row r="325" spans="2:4" ht="15" thickBot="1">
      <c r="B325" s="171" t="s">
        <v>228</v>
      </c>
      <c r="C325" s="172">
        <v>1</v>
      </c>
      <c r="D325" s="173"/>
    </row>
    <row r="326" spans="2:4" ht="30">
      <c r="B326" s="334" t="s">
        <v>228</v>
      </c>
      <c r="C326" s="337">
        <v>2</v>
      </c>
      <c r="D326" s="169" t="s">
        <v>487</v>
      </c>
    </row>
    <row r="327" spans="2:4" ht="15">
      <c r="B327" s="335"/>
      <c r="C327" s="338"/>
      <c r="D327" s="169" t="s">
        <v>488</v>
      </c>
    </row>
    <row r="328" spans="2:4" ht="16" thickBot="1">
      <c r="B328" s="336"/>
      <c r="C328" s="339"/>
      <c r="D328" s="168" t="s">
        <v>489</v>
      </c>
    </row>
    <row r="329" spans="2:4" ht="15">
      <c r="B329" s="334" t="s">
        <v>228</v>
      </c>
      <c r="C329" s="337">
        <v>3</v>
      </c>
      <c r="D329" s="169" t="s">
        <v>490</v>
      </c>
    </row>
    <row r="330" spans="2:4" ht="16" thickBot="1">
      <c r="B330" s="336"/>
      <c r="C330" s="339"/>
      <c r="D330" s="168" t="s">
        <v>491</v>
      </c>
    </row>
    <row r="331" spans="2:4" ht="15">
      <c r="B331" s="334" t="s">
        <v>228</v>
      </c>
      <c r="C331" s="337">
        <v>4</v>
      </c>
      <c r="D331" s="169" t="s">
        <v>492</v>
      </c>
    </row>
    <row r="332" spans="2:4" ht="30">
      <c r="B332" s="335"/>
      <c r="C332" s="338"/>
      <c r="D332" s="169" t="s">
        <v>493</v>
      </c>
    </row>
    <row r="333" spans="2:4" ht="16" thickBot="1">
      <c r="B333" s="336"/>
      <c r="C333" s="339"/>
      <c r="D333" s="168" t="s">
        <v>494</v>
      </c>
    </row>
    <row r="334" spans="2:4" ht="15">
      <c r="B334" s="334" t="s">
        <v>228</v>
      </c>
      <c r="C334" s="337">
        <v>5</v>
      </c>
      <c r="D334" s="169" t="s">
        <v>495</v>
      </c>
    </row>
    <row r="335" spans="2:4" ht="15">
      <c r="B335" s="335"/>
      <c r="C335" s="338"/>
      <c r="D335" s="169" t="s">
        <v>496</v>
      </c>
    </row>
    <row r="336" spans="2:4" ht="15">
      <c r="B336" s="335"/>
      <c r="C336" s="338"/>
      <c r="D336" s="169" t="s">
        <v>497</v>
      </c>
    </row>
    <row r="337" spans="2:4" ht="31" thickBot="1">
      <c r="B337" s="336"/>
      <c r="C337" s="339"/>
      <c r="D337" s="168" t="s">
        <v>498</v>
      </c>
    </row>
    <row r="338" spans="2:4" ht="15" thickBot="1">
      <c r="B338" s="174" t="s">
        <v>228</v>
      </c>
      <c r="C338" s="175">
        <v>6</v>
      </c>
      <c r="D338" s="168"/>
    </row>
    <row r="339" spans="2:4" ht="15" thickBot="1">
      <c r="B339" s="174" t="s">
        <v>228</v>
      </c>
      <c r="C339" s="175">
        <v>7</v>
      </c>
      <c r="D339" s="168"/>
    </row>
    <row r="340" spans="2:4" ht="15" thickBot="1">
      <c r="B340" s="319" t="s">
        <v>238</v>
      </c>
      <c r="C340" s="320"/>
      <c r="D340" s="321"/>
    </row>
    <row r="341" spans="2:4" ht="15" thickBot="1">
      <c r="B341" s="319"/>
      <c r="C341" s="320"/>
      <c r="D341" s="321"/>
    </row>
    <row r="342" spans="2:4" ht="15" thickBot="1">
      <c r="B342" s="328" t="s">
        <v>499</v>
      </c>
      <c r="C342" s="329"/>
      <c r="D342" s="330"/>
    </row>
    <row r="343" spans="2:4">
      <c r="B343" s="325" t="s">
        <v>58</v>
      </c>
      <c r="C343" s="326"/>
      <c r="D343" s="327"/>
    </row>
    <row r="344" spans="2:4">
      <c r="B344" s="322" t="s">
        <v>500</v>
      </c>
      <c r="C344" s="323"/>
      <c r="D344" s="324"/>
    </row>
    <row r="345" spans="2:4" ht="15" thickBot="1">
      <c r="B345" s="316"/>
      <c r="C345" s="317"/>
      <c r="D345" s="318"/>
    </row>
    <row r="346" spans="2:4" ht="15" thickBot="1">
      <c r="B346" s="171" t="s">
        <v>228</v>
      </c>
      <c r="C346" s="172">
        <v>1</v>
      </c>
      <c r="D346" s="173"/>
    </row>
    <row r="347" spans="2:4" ht="15" thickBot="1">
      <c r="B347" s="174" t="s">
        <v>228</v>
      </c>
      <c r="C347" s="175">
        <v>2</v>
      </c>
      <c r="D347" s="168"/>
    </row>
    <row r="348" spans="2:4" ht="15" thickBot="1">
      <c r="B348" s="174" t="s">
        <v>228</v>
      </c>
      <c r="C348" s="175">
        <v>3</v>
      </c>
      <c r="D348" s="168"/>
    </row>
    <row r="349" spans="2:4" ht="15">
      <c r="B349" s="334" t="s">
        <v>228</v>
      </c>
      <c r="C349" s="337">
        <v>4</v>
      </c>
      <c r="D349" s="169" t="s">
        <v>501</v>
      </c>
    </row>
    <row r="350" spans="2:4" ht="30">
      <c r="B350" s="335"/>
      <c r="C350" s="338"/>
      <c r="D350" s="169" t="s">
        <v>502</v>
      </c>
    </row>
    <row r="351" spans="2:4" ht="45">
      <c r="B351" s="335"/>
      <c r="C351" s="338"/>
      <c r="D351" s="169" t="s">
        <v>503</v>
      </c>
    </row>
    <row r="352" spans="2:4" ht="46" thickBot="1">
      <c r="B352" s="336"/>
      <c r="C352" s="339"/>
      <c r="D352" s="168" t="s">
        <v>504</v>
      </c>
    </row>
    <row r="353" spans="2:4" ht="30">
      <c r="B353" s="334" t="s">
        <v>228</v>
      </c>
      <c r="C353" s="337">
        <v>5</v>
      </c>
      <c r="D353" s="169" t="s">
        <v>505</v>
      </c>
    </row>
    <row r="354" spans="2:4" ht="45">
      <c r="B354" s="335"/>
      <c r="C354" s="338"/>
      <c r="D354" s="169" t="s">
        <v>506</v>
      </c>
    </row>
    <row r="355" spans="2:4" ht="45">
      <c r="B355" s="335"/>
      <c r="C355" s="338"/>
      <c r="D355" s="169" t="s">
        <v>507</v>
      </c>
    </row>
    <row r="356" spans="2:4" ht="16" thickBot="1">
      <c r="B356" s="336"/>
      <c r="C356" s="339"/>
      <c r="D356" s="168" t="s">
        <v>508</v>
      </c>
    </row>
    <row r="357" spans="2:4" ht="15">
      <c r="B357" s="334" t="s">
        <v>228</v>
      </c>
      <c r="C357" s="337">
        <v>6</v>
      </c>
      <c r="D357" s="169" t="s">
        <v>509</v>
      </c>
    </row>
    <row r="358" spans="2:4" ht="30">
      <c r="B358" s="335"/>
      <c r="C358" s="338"/>
      <c r="D358" s="169" t="s">
        <v>510</v>
      </c>
    </row>
    <row r="359" spans="2:4" ht="30">
      <c r="B359" s="335"/>
      <c r="C359" s="338"/>
      <c r="D359" s="169" t="s">
        <v>511</v>
      </c>
    </row>
    <row r="360" spans="2:4" ht="31" thickBot="1">
      <c r="B360" s="336"/>
      <c r="C360" s="339"/>
      <c r="D360" s="168" t="s">
        <v>512</v>
      </c>
    </row>
    <row r="361" spans="2:4" ht="30">
      <c r="B361" s="334" t="s">
        <v>228</v>
      </c>
      <c r="C361" s="337">
        <v>7</v>
      </c>
      <c r="D361" s="169" t="s">
        <v>513</v>
      </c>
    </row>
    <row r="362" spans="2:4" ht="30">
      <c r="B362" s="335"/>
      <c r="C362" s="338"/>
      <c r="D362" s="169" t="s">
        <v>514</v>
      </c>
    </row>
    <row r="363" spans="2:4" ht="30">
      <c r="B363" s="335"/>
      <c r="C363" s="338"/>
      <c r="D363" s="169" t="s">
        <v>515</v>
      </c>
    </row>
    <row r="364" spans="2:4" ht="16" thickBot="1">
      <c r="B364" s="336"/>
      <c r="C364" s="339"/>
      <c r="D364" s="168" t="s">
        <v>516</v>
      </c>
    </row>
    <row r="365" spans="2:4" ht="15" thickBot="1">
      <c r="B365" s="319" t="s">
        <v>419</v>
      </c>
      <c r="C365" s="320"/>
      <c r="D365" s="321"/>
    </row>
    <row r="366" spans="2:4">
      <c r="B366" s="325" t="s">
        <v>517</v>
      </c>
      <c r="C366" s="326"/>
      <c r="D366" s="327"/>
    </row>
    <row r="367" spans="2:4">
      <c r="B367" s="322" t="s">
        <v>518</v>
      </c>
      <c r="C367" s="323"/>
      <c r="D367" s="324"/>
    </row>
    <row r="368" spans="2:4" ht="15" thickBot="1">
      <c r="B368" s="316"/>
      <c r="C368" s="317"/>
      <c r="D368" s="318"/>
    </row>
    <row r="369" spans="2:4" ht="15" thickBot="1">
      <c r="B369" s="171" t="s">
        <v>228</v>
      </c>
      <c r="C369" s="172">
        <v>1</v>
      </c>
      <c r="D369" s="173"/>
    </row>
    <row r="370" spans="2:4" ht="15">
      <c r="B370" s="334" t="s">
        <v>228</v>
      </c>
      <c r="C370" s="337">
        <v>2</v>
      </c>
      <c r="D370" s="169" t="s">
        <v>519</v>
      </c>
    </row>
    <row r="371" spans="2:4" ht="15">
      <c r="B371" s="335"/>
      <c r="C371" s="338"/>
      <c r="D371" s="169" t="s">
        <v>520</v>
      </c>
    </row>
    <row r="372" spans="2:4" ht="16" thickBot="1">
      <c r="B372" s="336"/>
      <c r="C372" s="339"/>
      <c r="D372" s="168" t="s">
        <v>521</v>
      </c>
    </row>
    <row r="373" spans="2:4" ht="30">
      <c r="B373" s="334" t="s">
        <v>228</v>
      </c>
      <c r="C373" s="337">
        <v>3</v>
      </c>
      <c r="D373" s="169" t="s">
        <v>522</v>
      </c>
    </row>
    <row r="374" spans="2:4" ht="15">
      <c r="B374" s="335"/>
      <c r="C374" s="338"/>
      <c r="D374" s="169" t="s">
        <v>523</v>
      </c>
    </row>
    <row r="375" spans="2:4" ht="15">
      <c r="B375" s="335"/>
      <c r="C375" s="338"/>
      <c r="D375" s="169" t="s">
        <v>524</v>
      </c>
    </row>
    <row r="376" spans="2:4" ht="16" thickBot="1">
      <c r="B376" s="336"/>
      <c r="C376" s="339"/>
      <c r="D376" s="168" t="s">
        <v>525</v>
      </c>
    </row>
    <row r="377" spans="2:4" ht="30">
      <c r="B377" s="334" t="s">
        <v>228</v>
      </c>
      <c r="C377" s="337">
        <v>4</v>
      </c>
      <c r="D377" s="169" t="s">
        <v>526</v>
      </c>
    </row>
    <row r="378" spans="2:4" ht="15">
      <c r="B378" s="335"/>
      <c r="C378" s="338"/>
      <c r="D378" s="169" t="s">
        <v>527</v>
      </c>
    </row>
    <row r="379" spans="2:4" ht="15">
      <c r="B379" s="335"/>
      <c r="C379" s="338"/>
      <c r="D379" s="169" t="s">
        <v>528</v>
      </c>
    </row>
    <row r="380" spans="2:4" ht="16" thickBot="1">
      <c r="B380" s="336"/>
      <c r="C380" s="339"/>
      <c r="D380" s="168" t="s">
        <v>529</v>
      </c>
    </row>
    <row r="381" spans="2:4" ht="15">
      <c r="B381" s="334" t="s">
        <v>228</v>
      </c>
      <c r="C381" s="337">
        <v>5</v>
      </c>
      <c r="D381" s="169" t="s">
        <v>530</v>
      </c>
    </row>
    <row r="382" spans="2:4" ht="45">
      <c r="B382" s="335"/>
      <c r="C382" s="338"/>
      <c r="D382" s="169" t="s">
        <v>531</v>
      </c>
    </row>
    <row r="383" spans="2:4" ht="30">
      <c r="B383" s="335"/>
      <c r="C383" s="338"/>
      <c r="D383" s="169" t="s">
        <v>532</v>
      </c>
    </row>
    <row r="384" spans="2:4" ht="31" thickBot="1">
      <c r="B384" s="336"/>
      <c r="C384" s="339"/>
      <c r="D384" s="168" t="s">
        <v>533</v>
      </c>
    </row>
    <row r="385" spans="2:4" ht="30">
      <c r="B385" s="334" t="s">
        <v>228</v>
      </c>
      <c r="C385" s="337">
        <v>6</v>
      </c>
      <c r="D385" s="169" t="s">
        <v>534</v>
      </c>
    </row>
    <row r="386" spans="2:4" ht="30">
      <c r="B386" s="335"/>
      <c r="C386" s="338"/>
      <c r="D386" s="169" t="s">
        <v>535</v>
      </c>
    </row>
    <row r="387" spans="2:4" ht="45">
      <c r="B387" s="335"/>
      <c r="C387" s="338"/>
      <c r="D387" s="169" t="s">
        <v>536</v>
      </c>
    </row>
    <row r="388" spans="2:4" ht="16" thickBot="1">
      <c r="B388" s="336"/>
      <c r="C388" s="339"/>
      <c r="D388" s="168" t="s">
        <v>537</v>
      </c>
    </row>
    <row r="389" spans="2:4" ht="15" thickBot="1">
      <c r="B389" s="174" t="s">
        <v>228</v>
      </c>
      <c r="C389" s="175">
        <v>7</v>
      </c>
      <c r="D389" s="168"/>
    </row>
    <row r="390" spans="2:4" ht="15" thickBot="1">
      <c r="B390" s="319" t="s">
        <v>238</v>
      </c>
      <c r="C390" s="320"/>
      <c r="D390" s="321"/>
    </row>
    <row r="391" spans="2:4">
      <c r="B391" s="325" t="s">
        <v>538</v>
      </c>
      <c r="C391" s="326"/>
      <c r="D391" s="327"/>
    </row>
    <row r="392" spans="2:4">
      <c r="B392" s="322" t="s">
        <v>539</v>
      </c>
      <c r="C392" s="323"/>
      <c r="D392" s="324"/>
    </row>
    <row r="393" spans="2:4" ht="15" thickBot="1">
      <c r="B393" s="316"/>
      <c r="C393" s="317"/>
      <c r="D393" s="318"/>
    </row>
    <row r="394" spans="2:4" ht="15" thickBot="1">
      <c r="B394" s="171" t="s">
        <v>228</v>
      </c>
      <c r="C394" s="172">
        <v>1</v>
      </c>
      <c r="D394" s="173"/>
    </row>
    <row r="395" spans="2:4" ht="15" thickBot="1">
      <c r="B395" s="174" t="s">
        <v>228</v>
      </c>
      <c r="C395" s="175">
        <v>2</v>
      </c>
      <c r="D395" s="168"/>
    </row>
    <row r="396" spans="2:4" ht="15" thickBot="1">
      <c r="B396" s="174" t="s">
        <v>228</v>
      </c>
      <c r="C396" s="175">
        <v>3</v>
      </c>
      <c r="D396" s="168"/>
    </row>
    <row r="397" spans="2:4" ht="15" thickBot="1">
      <c r="B397" s="174" t="s">
        <v>228</v>
      </c>
      <c r="C397" s="175">
        <v>4</v>
      </c>
      <c r="D397" s="168"/>
    </row>
    <row r="398" spans="2:4" ht="30">
      <c r="B398" s="334" t="s">
        <v>228</v>
      </c>
      <c r="C398" s="337">
        <v>5</v>
      </c>
      <c r="D398" s="169" t="s">
        <v>540</v>
      </c>
    </row>
    <row r="399" spans="2:4" ht="30">
      <c r="B399" s="335"/>
      <c r="C399" s="338"/>
      <c r="D399" s="169" t="s">
        <v>541</v>
      </c>
    </row>
    <row r="400" spans="2:4" ht="15">
      <c r="B400" s="335"/>
      <c r="C400" s="338"/>
      <c r="D400" s="169" t="s">
        <v>542</v>
      </c>
    </row>
    <row r="401" spans="2:4" ht="31" thickBot="1">
      <c r="B401" s="336"/>
      <c r="C401" s="339"/>
      <c r="D401" s="168" t="s">
        <v>543</v>
      </c>
    </row>
    <row r="402" spans="2:4" ht="30">
      <c r="B402" s="334" t="s">
        <v>228</v>
      </c>
      <c r="C402" s="337">
        <v>6</v>
      </c>
      <c r="D402" s="169" t="s">
        <v>544</v>
      </c>
    </row>
    <row r="403" spans="2:4" ht="45">
      <c r="B403" s="335"/>
      <c r="C403" s="338"/>
      <c r="D403" s="169" t="s">
        <v>545</v>
      </c>
    </row>
    <row r="404" spans="2:4" ht="30">
      <c r="B404" s="335"/>
      <c r="C404" s="338"/>
      <c r="D404" s="169" t="s">
        <v>546</v>
      </c>
    </row>
    <row r="405" spans="2:4" ht="31" thickBot="1">
      <c r="B405" s="336"/>
      <c r="C405" s="339"/>
      <c r="D405" s="168" t="s">
        <v>547</v>
      </c>
    </row>
    <row r="406" spans="2:4" ht="30">
      <c r="B406" s="334" t="s">
        <v>228</v>
      </c>
      <c r="C406" s="337">
        <v>7</v>
      </c>
      <c r="D406" s="169" t="s">
        <v>548</v>
      </c>
    </row>
    <row r="407" spans="2:4" ht="45">
      <c r="B407" s="335"/>
      <c r="C407" s="338"/>
      <c r="D407" s="169" t="s">
        <v>549</v>
      </c>
    </row>
    <row r="408" spans="2:4" ht="15">
      <c r="B408" s="335"/>
      <c r="C408" s="338"/>
      <c r="D408" s="169" t="s">
        <v>550</v>
      </c>
    </row>
    <row r="409" spans="2:4" ht="31" thickBot="1">
      <c r="B409" s="336"/>
      <c r="C409" s="339"/>
      <c r="D409" s="168" t="s">
        <v>551</v>
      </c>
    </row>
    <row r="410" spans="2:4" ht="15" thickBot="1">
      <c r="B410" s="319" t="s">
        <v>238</v>
      </c>
      <c r="C410" s="320"/>
      <c r="D410" s="321"/>
    </row>
    <row r="411" spans="2:4">
      <c r="B411" s="325" t="s">
        <v>552</v>
      </c>
      <c r="C411" s="326"/>
      <c r="D411" s="327"/>
    </row>
    <row r="412" spans="2:4">
      <c r="B412" s="322" t="s">
        <v>553</v>
      </c>
      <c r="C412" s="323"/>
      <c r="D412" s="324"/>
    </row>
    <row r="413" spans="2:4" ht="15" thickBot="1">
      <c r="B413" s="316"/>
      <c r="C413" s="317"/>
      <c r="D413" s="318"/>
    </row>
    <row r="414" spans="2:4" ht="15" thickBot="1">
      <c r="B414" s="171" t="s">
        <v>228</v>
      </c>
      <c r="C414" s="172">
        <v>1</v>
      </c>
      <c r="D414" s="173"/>
    </row>
    <row r="415" spans="2:4" ht="15" thickBot="1">
      <c r="B415" s="174" t="s">
        <v>228</v>
      </c>
      <c r="C415" s="175">
        <v>2</v>
      </c>
      <c r="D415" s="168"/>
    </row>
    <row r="416" spans="2:4" ht="15" thickBot="1">
      <c r="B416" s="174" t="s">
        <v>228</v>
      </c>
      <c r="C416" s="175">
        <v>3</v>
      </c>
      <c r="D416" s="168"/>
    </row>
    <row r="417" spans="2:4" ht="15">
      <c r="B417" s="334" t="s">
        <v>228</v>
      </c>
      <c r="C417" s="337">
        <v>4</v>
      </c>
      <c r="D417" s="169" t="s">
        <v>554</v>
      </c>
    </row>
    <row r="418" spans="2:4" ht="30">
      <c r="B418" s="335"/>
      <c r="C418" s="338"/>
      <c r="D418" s="169" t="s">
        <v>555</v>
      </c>
    </row>
    <row r="419" spans="2:4" ht="30">
      <c r="B419" s="335"/>
      <c r="C419" s="338"/>
      <c r="D419" s="169" t="s">
        <v>556</v>
      </c>
    </row>
    <row r="420" spans="2:4" ht="31" thickBot="1">
      <c r="B420" s="336"/>
      <c r="C420" s="339"/>
      <c r="D420" s="168" t="s">
        <v>557</v>
      </c>
    </row>
    <row r="421" spans="2:4" ht="15">
      <c r="B421" s="334" t="s">
        <v>228</v>
      </c>
      <c r="C421" s="337">
        <v>5</v>
      </c>
      <c r="D421" s="169" t="s">
        <v>558</v>
      </c>
    </row>
    <row r="422" spans="2:4" ht="30">
      <c r="B422" s="335"/>
      <c r="C422" s="338"/>
      <c r="D422" s="169" t="s">
        <v>559</v>
      </c>
    </row>
    <row r="423" spans="2:4" ht="30">
      <c r="B423" s="335"/>
      <c r="C423" s="338"/>
      <c r="D423" s="169" t="s">
        <v>560</v>
      </c>
    </row>
    <row r="424" spans="2:4" ht="31" thickBot="1">
      <c r="B424" s="336"/>
      <c r="C424" s="339"/>
      <c r="D424" s="168" t="s">
        <v>561</v>
      </c>
    </row>
    <row r="425" spans="2:4" ht="30">
      <c r="B425" s="334" t="s">
        <v>228</v>
      </c>
      <c r="C425" s="337">
        <v>6</v>
      </c>
      <c r="D425" s="169" t="s">
        <v>562</v>
      </c>
    </row>
    <row r="426" spans="2:4" ht="15">
      <c r="B426" s="335"/>
      <c r="C426" s="338"/>
      <c r="D426" s="169" t="s">
        <v>563</v>
      </c>
    </row>
    <row r="427" spans="2:4" ht="45">
      <c r="B427" s="335"/>
      <c r="C427" s="338"/>
      <c r="D427" s="169" t="s">
        <v>564</v>
      </c>
    </row>
    <row r="428" spans="2:4" ht="46" thickBot="1">
      <c r="B428" s="336"/>
      <c r="C428" s="339"/>
      <c r="D428" s="168" t="s">
        <v>565</v>
      </c>
    </row>
    <row r="429" spans="2:4" ht="15" thickBot="1">
      <c r="B429" s="174" t="s">
        <v>228</v>
      </c>
      <c r="C429" s="175">
        <v>7</v>
      </c>
      <c r="D429" s="168"/>
    </row>
    <row r="430" spans="2:4" ht="15" thickBot="1">
      <c r="B430" s="319" t="s">
        <v>238</v>
      </c>
      <c r="C430" s="320"/>
      <c r="D430" s="321"/>
    </row>
    <row r="431" spans="2:4">
      <c r="B431" s="325" t="s">
        <v>566</v>
      </c>
      <c r="C431" s="326"/>
      <c r="D431" s="327"/>
    </row>
    <row r="432" spans="2:4">
      <c r="B432" s="322" t="s">
        <v>567</v>
      </c>
      <c r="C432" s="323"/>
      <c r="D432" s="324"/>
    </row>
    <row r="433" spans="2:4" ht="15" thickBot="1">
      <c r="B433" s="316"/>
      <c r="C433" s="317"/>
      <c r="D433" s="318"/>
    </row>
    <row r="434" spans="2:4" ht="15" thickBot="1">
      <c r="B434" s="171" t="s">
        <v>228</v>
      </c>
      <c r="C434" s="172">
        <v>1</v>
      </c>
      <c r="D434" s="173"/>
    </row>
    <row r="435" spans="2:4" ht="15">
      <c r="B435" s="334" t="s">
        <v>228</v>
      </c>
      <c r="C435" s="337">
        <v>2</v>
      </c>
      <c r="D435" s="169" t="s">
        <v>568</v>
      </c>
    </row>
    <row r="436" spans="2:4" ht="30">
      <c r="B436" s="335"/>
      <c r="C436" s="338"/>
      <c r="D436" s="169" t="s">
        <v>569</v>
      </c>
    </row>
    <row r="437" spans="2:4" ht="15">
      <c r="B437" s="335"/>
      <c r="C437" s="338"/>
      <c r="D437" s="169" t="s">
        <v>570</v>
      </c>
    </row>
    <row r="438" spans="2:4" ht="16" thickBot="1">
      <c r="B438" s="336"/>
      <c r="C438" s="339"/>
      <c r="D438" s="168" t="s">
        <v>571</v>
      </c>
    </row>
    <row r="439" spans="2:4" ht="30">
      <c r="B439" s="334" t="s">
        <v>228</v>
      </c>
      <c r="C439" s="337">
        <v>3</v>
      </c>
      <c r="D439" s="169" t="s">
        <v>572</v>
      </c>
    </row>
    <row r="440" spans="2:4" ht="30">
      <c r="B440" s="335"/>
      <c r="C440" s="338"/>
      <c r="D440" s="169" t="s">
        <v>573</v>
      </c>
    </row>
    <row r="441" spans="2:4" ht="30">
      <c r="B441" s="335"/>
      <c r="C441" s="338"/>
      <c r="D441" s="169" t="s">
        <v>574</v>
      </c>
    </row>
    <row r="442" spans="2:4" ht="16" thickBot="1">
      <c r="B442" s="336"/>
      <c r="C442" s="339"/>
      <c r="D442" s="168" t="s">
        <v>575</v>
      </c>
    </row>
    <row r="443" spans="2:4" ht="15">
      <c r="B443" s="334" t="s">
        <v>228</v>
      </c>
      <c r="C443" s="337">
        <v>4</v>
      </c>
      <c r="D443" s="169" t="s">
        <v>576</v>
      </c>
    </row>
    <row r="444" spans="2:4" ht="30">
      <c r="B444" s="335"/>
      <c r="C444" s="338"/>
      <c r="D444" s="169" t="s">
        <v>577</v>
      </c>
    </row>
    <row r="445" spans="2:4" ht="30">
      <c r="B445" s="335"/>
      <c r="C445" s="338"/>
      <c r="D445" s="169" t="s">
        <v>578</v>
      </c>
    </row>
    <row r="446" spans="2:4" ht="16" thickBot="1">
      <c r="B446" s="336"/>
      <c r="C446" s="339"/>
      <c r="D446" s="168" t="s">
        <v>579</v>
      </c>
    </row>
    <row r="447" spans="2:4" ht="15">
      <c r="B447" s="334" t="s">
        <v>228</v>
      </c>
      <c r="C447" s="337">
        <v>5</v>
      </c>
      <c r="D447" s="169" t="s">
        <v>580</v>
      </c>
    </row>
    <row r="448" spans="2:4" ht="30">
      <c r="B448" s="335"/>
      <c r="C448" s="338"/>
      <c r="D448" s="169" t="s">
        <v>581</v>
      </c>
    </row>
    <row r="449" spans="2:4" ht="30">
      <c r="B449" s="335"/>
      <c r="C449" s="338"/>
      <c r="D449" s="169" t="s">
        <v>582</v>
      </c>
    </row>
    <row r="450" spans="2:4" ht="31" thickBot="1">
      <c r="B450" s="336"/>
      <c r="C450" s="339"/>
      <c r="D450" s="168" t="s">
        <v>583</v>
      </c>
    </row>
    <row r="451" spans="2:4" ht="30">
      <c r="B451" s="334" t="s">
        <v>228</v>
      </c>
      <c r="C451" s="337">
        <v>6</v>
      </c>
      <c r="D451" s="169" t="s">
        <v>584</v>
      </c>
    </row>
    <row r="452" spans="2:4" ht="15">
      <c r="B452" s="335"/>
      <c r="C452" s="338"/>
      <c r="D452" s="169" t="s">
        <v>585</v>
      </c>
    </row>
    <row r="453" spans="2:4" ht="30">
      <c r="B453" s="335"/>
      <c r="C453" s="338"/>
      <c r="D453" s="169" t="s">
        <v>586</v>
      </c>
    </row>
    <row r="454" spans="2:4" ht="16" thickBot="1">
      <c r="B454" s="336"/>
      <c r="C454" s="339"/>
      <c r="D454" s="168" t="s">
        <v>587</v>
      </c>
    </row>
    <row r="455" spans="2:4" ht="15" thickBot="1">
      <c r="B455" s="174" t="s">
        <v>228</v>
      </c>
      <c r="C455" s="175">
        <v>7</v>
      </c>
      <c r="D455" s="168"/>
    </row>
    <row r="456" spans="2:4" ht="15" thickBot="1">
      <c r="B456" s="346" t="s">
        <v>238</v>
      </c>
      <c r="C456" s="347"/>
      <c r="D456" s="348"/>
    </row>
    <row r="457" spans="2:4">
      <c r="B457" s="325" t="s">
        <v>588</v>
      </c>
      <c r="C457" s="326"/>
      <c r="D457" s="327"/>
    </row>
    <row r="458" spans="2:4">
      <c r="B458" s="322" t="s">
        <v>589</v>
      </c>
      <c r="C458" s="323"/>
      <c r="D458" s="324"/>
    </row>
    <row r="459" spans="2:4" ht="15" thickBot="1">
      <c r="B459" s="316"/>
      <c r="C459" s="317"/>
      <c r="D459" s="318"/>
    </row>
    <row r="460" spans="2:4" ht="15" thickBot="1">
      <c r="B460" s="171" t="s">
        <v>228</v>
      </c>
      <c r="C460" s="172">
        <v>1</v>
      </c>
      <c r="D460" s="173"/>
    </row>
    <row r="461" spans="2:4" ht="15">
      <c r="B461" s="334" t="s">
        <v>228</v>
      </c>
      <c r="C461" s="337">
        <v>2</v>
      </c>
      <c r="D461" s="169" t="s">
        <v>590</v>
      </c>
    </row>
    <row r="462" spans="2:4" ht="30">
      <c r="B462" s="335"/>
      <c r="C462" s="338"/>
      <c r="D462" s="169" t="s">
        <v>591</v>
      </c>
    </row>
    <row r="463" spans="2:4" ht="15">
      <c r="B463" s="335"/>
      <c r="C463" s="338"/>
      <c r="D463" s="169" t="s">
        <v>592</v>
      </c>
    </row>
    <row r="464" spans="2:4" ht="16" thickBot="1">
      <c r="B464" s="336"/>
      <c r="C464" s="339"/>
      <c r="D464" s="168" t="s">
        <v>593</v>
      </c>
    </row>
    <row r="465" spans="2:4" ht="30">
      <c r="B465" s="334" t="s">
        <v>228</v>
      </c>
      <c r="C465" s="337">
        <v>3</v>
      </c>
      <c r="D465" s="169" t="s">
        <v>594</v>
      </c>
    </row>
    <row r="466" spans="2:4" ht="45">
      <c r="B466" s="335"/>
      <c r="C466" s="338"/>
      <c r="D466" s="169" t="s">
        <v>595</v>
      </c>
    </row>
    <row r="467" spans="2:4" ht="15">
      <c r="B467" s="335"/>
      <c r="C467" s="338"/>
      <c r="D467" s="169" t="s">
        <v>596</v>
      </c>
    </row>
    <row r="468" spans="2:4" ht="16" thickBot="1">
      <c r="B468" s="336"/>
      <c r="C468" s="339"/>
      <c r="D468" s="168" t="s">
        <v>597</v>
      </c>
    </row>
    <row r="469" spans="2:4" ht="30">
      <c r="B469" s="334" t="s">
        <v>228</v>
      </c>
      <c r="C469" s="337">
        <v>4</v>
      </c>
      <c r="D469" s="169" t="s">
        <v>598</v>
      </c>
    </row>
    <row r="470" spans="2:4" ht="15">
      <c r="B470" s="335"/>
      <c r="C470" s="338"/>
      <c r="D470" s="169" t="s">
        <v>599</v>
      </c>
    </row>
    <row r="471" spans="2:4" ht="16" thickBot="1">
      <c r="B471" s="336"/>
      <c r="C471" s="339"/>
      <c r="D471" s="168" t="s">
        <v>600</v>
      </c>
    </row>
    <row r="472" spans="2:4" ht="15">
      <c r="B472" s="334" t="s">
        <v>228</v>
      </c>
      <c r="C472" s="337">
        <v>5</v>
      </c>
      <c r="D472" s="169" t="s">
        <v>601</v>
      </c>
    </row>
    <row r="473" spans="2:4" ht="15">
      <c r="B473" s="335"/>
      <c r="C473" s="338"/>
      <c r="D473" s="169" t="s">
        <v>602</v>
      </c>
    </row>
    <row r="474" spans="2:4" ht="30">
      <c r="B474" s="335"/>
      <c r="C474" s="338"/>
      <c r="D474" s="169" t="s">
        <v>603</v>
      </c>
    </row>
    <row r="475" spans="2:4" ht="16" thickBot="1">
      <c r="B475" s="336"/>
      <c r="C475" s="339"/>
      <c r="D475" s="168" t="s">
        <v>604</v>
      </c>
    </row>
    <row r="476" spans="2:4" ht="30">
      <c r="B476" s="334" t="s">
        <v>228</v>
      </c>
      <c r="C476" s="337">
        <v>6</v>
      </c>
      <c r="D476" s="169" t="s">
        <v>605</v>
      </c>
    </row>
    <row r="477" spans="2:4" ht="15">
      <c r="B477" s="335"/>
      <c r="C477" s="338"/>
      <c r="D477" s="169" t="s">
        <v>606</v>
      </c>
    </row>
    <row r="478" spans="2:4" ht="30">
      <c r="B478" s="335"/>
      <c r="C478" s="338"/>
      <c r="D478" s="169" t="s">
        <v>607</v>
      </c>
    </row>
    <row r="479" spans="2:4" ht="31" thickBot="1">
      <c r="B479" s="336"/>
      <c r="C479" s="339"/>
      <c r="D479" s="168" t="s">
        <v>608</v>
      </c>
    </row>
    <row r="480" spans="2:4" ht="30">
      <c r="B480" s="334" t="s">
        <v>228</v>
      </c>
      <c r="C480" s="337">
        <v>7</v>
      </c>
      <c r="D480" s="169" t="s">
        <v>609</v>
      </c>
    </row>
    <row r="481" spans="2:4" ht="15">
      <c r="B481" s="335"/>
      <c r="C481" s="338"/>
      <c r="D481" s="169" t="s">
        <v>610</v>
      </c>
    </row>
    <row r="482" spans="2:4" ht="15">
      <c r="B482" s="335"/>
      <c r="C482" s="338"/>
      <c r="D482" s="169" t="s">
        <v>611</v>
      </c>
    </row>
    <row r="483" spans="2:4" ht="31" thickBot="1">
      <c r="B483" s="336"/>
      <c r="C483" s="339"/>
      <c r="D483" s="168" t="s">
        <v>612</v>
      </c>
    </row>
    <row r="484" spans="2:4" ht="15" thickBot="1">
      <c r="B484" s="319" t="s">
        <v>419</v>
      </c>
      <c r="C484" s="320"/>
      <c r="D484" s="321"/>
    </row>
    <row r="485" spans="2:4">
      <c r="B485" s="325" t="s">
        <v>613</v>
      </c>
      <c r="C485" s="326"/>
      <c r="D485" s="327"/>
    </row>
    <row r="486" spans="2:4">
      <c r="B486" s="322" t="s">
        <v>614</v>
      </c>
      <c r="C486" s="323"/>
      <c r="D486" s="324"/>
    </row>
    <row r="487" spans="2:4" ht="15" thickBot="1">
      <c r="B487" s="316"/>
      <c r="C487" s="317"/>
      <c r="D487" s="318"/>
    </row>
    <row r="488" spans="2:4" ht="15" thickBot="1">
      <c r="B488" s="171" t="s">
        <v>228</v>
      </c>
      <c r="C488" s="172">
        <v>1</v>
      </c>
      <c r="D488" s="173"/>
    </row>
    <row r="489" spans="2:4" ht="15">
      <c r="B489" s="334" t="s">
        <v>228</v>
      </c>
      <c r="C489" s="337">
        <v>2</v>
      </c>
      <c r="D489" s="169" t="s">
        <v>615</v>
      </c>
    </row>
    <row r="490" spans="2:4" ht="16" thickBot="1">
      <c r="B490" s="336"/>
      <c r="C490" s="339"/>
      <c r="D490" s="168" t="s">
        <v>616</v>
      </c>
    </row>
    <row r="491" spans="2:4" ht="30">
      <c r="B491" s="334" t="s">
        <v>228</v>
      </c>
      <c r="C491" s="337">
        <v>3</v>
      </c>
      <c r="D491" s="169" t="s">
        <v>617</v>
      </c>
    </row>
    <row r="492" spans="2:4" ht="15">
      <c r="B492" s="335"/>
      <c r="C492" s="338"/>
      <c r="D492" s="169" t="s">
        <v>618</v>
      </c>
    </row>
    <row r="493" spans="2:4" ht="16" thickBot="1">
      <c r="B493" s="336"/>
      <c r="C493" s="339"/>
      <c r="D493" s="168" t="s">
        <v>619</v>
      </c>
    </row>
    <row r="494" spans="2:4" ht="15">
      <c r="B494" s="334" t="s">
        <v>228</v>
      </c>
      <c r="C494" s="337">
        <v>4</v>
      </c>
      <c r="D494" s="169" t="s">
        <v>620</v>
      </c>
    </row>
    <row r="495" spans="2:4" ht="30">
      <c r="B495" s="335"/>
      <c r="C495" s="338"/>
      <c r="D495" s="169" t="s">
        <v>621</v>
      </c>
    </row>
    <row r="496" spans="2:4" ht="16" thickBot="1">
      <c r="B496" s="336"/>
      <c r="C496" s="339"/>
      <c r="D496" s="168" t="s">
        <v>622</v>
      </c>
    </row>
    <row r="497" spans="2:4" ht="30">
      <c r="B497" s="334" t="s">
        <v>228</v>
      </c>
      <c r="C497" s="337">
        <v>5</v>
      </c>
      <c r="D497" s="169" t="s">
        <v>623</v>
      </c>
    </row>
    <row r="498" spans="2:4" ht="30">
      <c r="B498" s="335"/>
      <c r="C498" s="338"/>
      <c r="D498" s="169" t="s">
        <v>624</v>
      </c>
    </row>
    <row r="499" spans="2:4" ht="30">
      <c r="B499" s="335"/>
      <c r="C499" s="338"/>
      <c r="D499" s="169" t="s">
        <v>625</v>
      </c>
    </row>
    <row r="500" spans="2:4" ht="16" thickBot="1">
      <c r="B500" s="336"/>
      <c r="C500" s="339"/>
      <c r="D500" s="168" t="s">
        <v>626</v>
      </c>
    </row>
    <row r="501" spans="2:4" ht="15" thickBot="1">
      <c r="B501" s="174" t="s">
        <v>228</v>
      </c>
      <c r="C501" s="175">
        <v>6</v>
      </c>
      <c r="D501" s="168"/>
    </row>
    <row r="502" spans="2:4" ht="15" thickBot="1">
      <c r="B502" s="174" t="s">
        <v>228</v>
      </c>
      <c r="C502" s="175">
        <v>7</v>
      </c>
      <c r="D502" s="168"/>
    </row>
    <row r="503" spans="2:4" ht="15" thickBot="1">
      <c r="B503" s="319" t="s">
        <v>238</v>
      </c>
      <c r="C503" s="320"/>
      <c r="D503" s="321"/>
    </row>
    <row r="504" spans="2:4">
      <c r="B504" s="325" t="s">
        <v>938</v>
      </c>
      <c r="C504" s="326"/>
      <c r="D504" s="327"/>
    </row>
    <row r="505" spans="2:4">
      <c r="B505" s="322" t="s">
        <v>627</v>
      </c>
      <c r="C505" s="323"/>
      <c r="D505" s="324"/>
    </row>
    <row r="506" spans="2:4" ht="15" thickBot="1">
      <c r="B506" s="316"/>
      <c r="C506" s="317"/>
      <c r="D506" s="318"/>
    </row>
    <row r="507" spans="2:4" ht="15" thickBot="1">
      <c r="B507" s="171" t="s">
        <v>228</v>
      </c>
      <c r="C507" s="172">
        <v>1</v>
      </c>
      <c r="D507" s="173"/>
    </row>
    <row r="508" spans="2:4" ht="15">
      <c r="B508" s="334" t="s">
        <v>228</v>
      </c>
      <c r="C508" s="337">
        <v>2</v>
      </c>
      <c r="D508" s="169" t="s">
        <v>628</v>
      </c>
    </row>
    <row r="509" spans="2:4" ht="15">
      <c r="B509" s="335"/>
      <c r="C509" s="338"/>
      <c r="D509" s="169" t="s">
        <v>629</v>
      </c>
    </row>
    <row r="510" spans="2:4" ht="15">
      <c r="B510" s="335"/>
      <c r="C510" s="338"/>
      <c r="D510" s="169" t="s">
        <v>630</v>
      </c>
    </row>
    <row r="511" spans="2:4" ht="16" thickBot="1">
      <c r="B511" s="336"/>
      <c r="C511" s="339"/>
      <c r="D511" s="168" t="s">
        <v>631</v>
      </c>
    </row>
    <row r="512" spans="2:4" ht="30">
      <c r="B512" s="334" t="s">
        <v>228</v>
      </c>
      <c r="C512" s="337">
        <v>3</v>
      </c>
      <c r="D512" s="169" t="s">
        <v>632</v>
      </c>
    </row>
    <row r="513" spans="2:4" ht="30">
      <c r="B513" s="335"/>
      <c r="C513" s="338"/>
      <c r="D513" s="169" t="s">
        <v>633</v>
      </c>
    </row>
    <row r="514" spans="2:4" ht="30">
      <c r="B514" s="335"/>
      <c r="C514" s="338"/>
      <c r="D514" s="169" t="s">
        <v>634</v>
      </c>
    </row>
    <row r="515" spans="2:4" ht="31" thickBot="1">
      <c r="B515" s="336"/>
      <c r="C515" s="339"/>
      <c r="D515" s="168" t="s">
        <v>635</v>
      </c>
    </row>
    <row r="516" spans="2:4" ht="30">
      <c r="B516" s="334" t="s">
        <v>228</v>
      </c>
      <c r="C516" s="337">
        <v>4</v>
      </c>
      <c r="D516" s="169" t="s">
        <v>636</v>
      </c>
    </row>
    <row r="517" spans="2:4" ht="45">
      <c r="B517" s="335"/>
      <c r="C517" s="338"/>
      <c r="D517" s="169" t="s">
        <v>637</v>
      </c>
    </row>
    <row r="518" spans="2:4" ht="31" thickBot="1">
      <c r="B518" s="336"/>
      <c r="C518" s="339"/>
      <c r="D518" s="168" t="s">
        <v>638</v>
      </c>
    </row>
    <row r="519" spans="2:4" ht="30">
      <c r="B519" s="334" t="s">
        <v>228</v>
      </c>
      <c r="C519" s="337">
        <v>5</v>
      </c>
      <c r="D519" s="169" t="s">
        <v>639</v>
      </c>
    </row>
    <row r="520" spans="2:4" ht="30">
      <c r="B520" s="335"/>
      <c r="C520" s="338"/>
      <c r="D520" s="169" t="s">
        <v>640</v>
      </c>
    </row>
    <row r="521" spans="2:4" ht="30">
      <c r="B521" s="335"/>
      <c r="C521" s="338"/>
      <c r="D521" s="169" t="s">
        <v>641</v>
      </c>
    </row>
    <row r="522" spans="2:4" ht="16" thickBot="1">
      <c r="B522" s="336"/>
      <c r="C522" s="339"/>
      <c r="D522" s="168" t="s">
        <v>642</v>
      </c>
    </row>
    <row r="523" spans="2:4" ht="30">
      <c r="B523" s="334" t="s">
        <v>228</v>
      </c>
      <c r="C523" s="337">
        <v>6</v>
      </c>
      <c r="D523" s="169" t="s">
        <v>643</v>
      </c>
    </row>
    <row r="524" spans="2:4" ht="15">
      <c r="B524" s="335"/>
      <c r="C524" s="338"/>
      <c r="D524" s="169" t="s">
        <v>644</v>
      </c>
    </row>
    <row r="525" spans="2:4" ht="31" thickBot="1">
      <c r="B525" s="336"/>
      <c r="C525" s="339"/>
      <c r="D525" s="168" t="s">
        <v>645</v>
      </c>
    </row>
    <row r="526" spans="2:4" ht="15" thickBot="1">
      <c r="B526" s="174" t="s">
        <v>228</v>
      </c>
      <c r="C526" s="175">
        <v>7</v>
      </c>
      <c r="D526" s="168"/>
    </row>
    <row r="527" spans="2:4" ht="15" thickBot="1">
      <c r="B527" s="319" t="s">
        <v>238</v>
      </c>
      <c r="C527" s="320"/>
      <c r="D527" s="321"/>
    </row>
    <row r="528" spans="2:4">
      <c r="B528" s="325" t="s">
        <v>646</v>
      </c>
      <c r="C528" s="326"/>
      <c r="D528" s="327"/>
    </row>
    <row r="529" spans="2:4">
      <c r="B529" s="322" t="s">
        <v>647</v>
      </c>
      <c r="C529" s="323"/>
      <c r="D529" s="324"/>
    </row>
    <row r="530" spans="2:4" ht="15" thickBot="1">
      <c r="B530" s="316"/>
      <c r="C530" s="317"/>
      <c r="D530" s="318"/>
    </row>
    <row r="531" spans="2:4" ht="15" thickBot="1">
      <c r="B531" s="171" t="s">
        <v>228</v>
      </c>
      <c r="C531" s="172">
        <v>1</v>
      </c>
      <c r="D531" s="173"/>
    </row>
    <row r="532" spans="2:4" ht="30">
      <c r="B532" s="334" t="s">
        <v>228</v>
      </c>
      <c r="C532" s="337">
        <v>2</v>
      </c>
      <c r="D532" s="169" t="s">
        <v>648</v>
      </c>
    </row>
    <row r="533" spans="2:4" ht="15">
      <c r="B533" s="335"/>
      <c r="C533" s="338"/>
      <c r="D533" s="169" t="s">
        <v>649</v>
      </c>
    </row>
    <row r="534" spans="2:4" ht="15">
      <c r="B534" s="335"/>
      <c r="C534" s="338"/>
      <c r="D534" s="169" t="s">
        <v>650</v>
      </c>
    </row>
    <row r="535" spans="2:4" ht="16" thickBot="1">
      <c r="B535" s="336"/>
      <c r="C535" s="339"/>
      <c r="D535" s="168" t="s">
        <v>651</v>
      </c>
    </row>
    <row r="536" spans="2:4" ht="30">
      <c r="B536" s="334" t="s">
        <v>228</v>
      </c>
      <c r="C536" s="337">
        <v>3</v>
      </c>
      <c r="D536" s="169" t="s">
        <v>652</v>
      </c>
    </row>
    <row r="537" spans="2:4" ht="45">
      <c r="B537" s="335"/>
      <c r="C537" s="338"/>
      <c r="D537" s="169" t="s">
        <v>653</v>
      </c>
    </row>
    <row r="538" spans="2:4" ht="15">
      <c r="B538" s="335"/>
      <c r="C538" s="338"/>
      <c r="D538" s="169" t="s">
        <v>654</v>
      </c>
    </row>
    <row r="539" spans="2:4" ht="31" thickBot="1">
      <c r="B539" s="336"/>
      <c r="C539" s="339"/>
      <c r="D539" s="168" t="s">
        <v>655</v>
      </c>
    </row>
    <row r="540" spans="2:4" ht="30">
      <c r="B540" s="334" t="s">
        <v>228</v>
      </c>
      <c r="C540" s="337">
        <v>4</v>
      </c>
      <c r="D540" s="169" t="s">
        <v>656</v>
      </c>
    </row>
    <row r="541" spans="2:4" ht="15">
      <c r="B541" s="335"/>
      <c r="C541" s="338"/>
      <c r="D541" s="169" t="s">
        <v>657</v>
      </c>
    </row>
    <row r="542" spans="2:4" ht="30">
      <c r="B542" s="335"/>
      <c r="C542" s="338"/>
      <c r="D542" s="169" t="s">
        <v>658</v>
      </c>
    </row>
    <row r="543" spans="2:4" ht="31" thickBot="1">
      <c r="B543" s="336"/>
      <c r="C543" s="339"/>
      <c r="D543" s="168" t="s">
        <v>659</v>
      </c>
    </row>
    <row r="544" spans="2:4" ht="30">
      <c r="B544" s="334" t="s">
        <v>228</v>
      </c>
      <c r="C544" s="337">
        <v>5</v>
      </c>
      <c r="D544" s="169" t="s">
        <v>660</v>
      </c>
    </row>
    <row r="545" spans="2:4" ht="30">
      <c r="B545" s="335"/>
      <c r="C545" s="338"/>
      <c r="D545" s="169" t="s">
        <v>661</v>
      </c>
    </row>
    <row r="546" spans="2:4" ht="30">
      <c r="B546" s="335"/>
      <c r="C546" s="338"/>
      <c r="D546" s="169" t="s">
        <v>662</v>
      </c>
    </row>
    <row r="547" spans="2:4" ht="31" thickBot="1">
      <c r="B547" s="336"/>
      <c r="C547" s="339"/>
      <c r="D547" s="168" t="s">
        <v>663</v>
      </c>
    </row>
    <row r="548" spans="2:4" ht="30">
      <c r="B548" s="334" t="s">
        <v>228</v>
      </c>
      <c r="C548" s="337">
        <v>6</v>
      </c>
      <c r="D548" s="169" t="s">
        <v>664</v>
      </c>
    </row>
    <row r="549" spans="2:4" ht="15">
      <c r="B549" s="335"/>
      <c r="C549" s="338"/>
      <c r="D549" s="169" t="s">
        <v>665</v>
      </c>
    </row>
    <row r="550" spans="2:4" ht="30">
      <c r="B550" s="335"/>
      <c r="C550" s="338"/>
      <c r="D550" s="169" t="s">
        <v>666</v>
      </c>
    </row>
    <row r="551" spans="2:4" ht="31" thickBot="1">
      <c r="B551" s="336"/>
      <c r="C551" s="339"/>
      <c r="D551" s="168" t="s">
        <v>667</v>
      </c>
    </row>
    <row r="552" spans="2:4" ht="15" thickBot="1">
      <c r="B552" s="174" t="s">
        <v>228</v>
      </c>
      <c r="C552" s="175">
        <v>7</v>
      </c>
      <c r="D552" s="168"/>
    </row>
    <row r="553" spans="2:4" ht="15" thickBot="1">
      <c r="B553" s="319" t="s">
        <v>238</v>
      </c>
      <c r="C553" s="320"/>
      <c r="D553" s="321"/>
    </row>
    <row r="554" spans="2:4" ht="15" thickBot="1">
      <c r="B554" s="319"/>
      <c r="C554" s="320"/>
      <c r="D554" s="321"/>
    </row>
    <row r="555" spans="2:4" ht="15" thickBot="1">
      <c r="B555" s="328" t="s">
        <v>668</v>
      </c>
      <c r="C555" s="329"/>
      <c r="D555" s="330"/>
    </row>
    <row r="556" spans="2:4">
      <c r="B556" s="325" t="s">
        <v>669</v>
      </c>
      <c r="C556" s="326"/>
      <c r="D556" s="327"/>
    </row>
    <row r="557" spans="2:4">
      <c r="B557" s="322" t="s">
        <v>670</v>
      </c>
      <c r="C557" s="323"/>
      <c r="D557" s="324"/>
    </row>
    <row r="558" spans="2:4" ht="15" thickBot="1">
      <c r="B558" s="316"/>
      <c r="C558" s="317"/>
      <c r="D558" s="318"/>
    </row>
    <row r="559" spans="2:4" ht="15">
      <c r="B559" s="334" t="s">
        <v>228</v>
      </c>
      <c r="C559" s="337">
        <v>1</v>
      </c>
      <c r="D559" s="176" t="s">
        <v>671</v>
      </c>
    </row>
    <row r="560" spans="2:4" ht="16" thickBot="1">
      <c r="B560" s="336"/>
      <c r="C560" s="339"/>
      <c r="D560" s="168" t="s">
        <v>672</v>
      </c>
    </row>
    <row r="561" spans="2:4" ht="30">
      <c r="B561" s="334" t="s">
        <v>228</v>
      </c>
      <c r="C561" s="337">
        <v>2</v>
      </c>
      <c r="D561" s="169" t="s">
        <v>673</v>
      </c>
    </row>
    <row r="562" spans="2:4" ht="15">
      <c r="B562" s="335"/>
      <c r="C562" s="338"/>
      <c r="D562" s="169" t="s">
        <v>674</v>
      </c>
    </row>
    <row r="563" spans="2:4" ht="31" thickBot="1">
      <c r="B563" s="336"/>
      <c r="C563" s="339"/>
      <c r="D563" s="168" t="s">
        <v>675</v>
      </c>
    </row>
    <row r="564" spans="2:4" ht="15">
      <c r="B564" s="334" t="s">
        <v>228</v>
      </c>
      <c r="C564" s="337">
        <v>3</v>
      </c>
      <c r="D564" s="169" t="s">
        <v>676</v>
      </c>
    </row>
    <row r="565" spans="2:4" ht="30">
      <c r="B565" s="335"/>
      <c r="C565" s="338"/>
      <c r="D565" s="169" t="s">
        <v>677</v>
      </c>
    </row>
    <row r="566" spans="2:4" ht="15">
      <c r="B566" s="335"/>
      <c r="C566" s="338"/>
      <c r="D566" s="169" t="s">
        <v>678</v>
      </c>
    </row>
    <row r="567" spans="2:4" ht="31" thickBot="1">
      <c r="B567" s="336"/>
      <c r="C567" s="339"/>
      <c r="D567" s="168" t="s">
        <v>679</v>
      </c>
    </row>
    <row r="568" spans="2:4" ht="30">
      <c r="B568" s="334" t="s">
        <v>228</v>
      </c>
      <c r="C568" s="337">
        <v>4</v>
      </c>
      <c r="D568" s="169" t="s">
        <v>680</v>
      </c>
    </row>
    <row r="569" spans="2:4" ht="60">
      <c r="B569" s="335"/>
      <c r="C569" s="338"/>
      <c r="D569" s="169" t="s">
        <v>681</v>
      </c>
    </row>
    <row r="570" spans="2:4" ht="30">
      <c r="B570" s="335"/>
      <c r="C570" s="338"/>
      <c r="D570" s="169" t="s">
        <v>682</v>
      </c>
    </row>
    <row r="571" spans="2:4" ht="31" thickBot="1">
      <c r="B571" s="336"/>
      <c r="C571" s="339"/>
      <c r="D571" s="168" t="s">
        <v>683</v>
      </c>
    </row>
    <row r="572" spans="2:4" ht="15">
      <c r="B572" s="334" t="s">
        <v>228</v>
      </c>
      <c r="C572" s="337">
        <v>5</v>
      </c>
      <c r="D572" s="169" t="s">
        <v>684</v>
      </c>
    </row>
    <row r="573" spans="2:4" ht="15">
      <c r="B573" s="335"/>
      <c r="C573" s="338"/>
      <c r="D573" s="169" t="s">
        <v>685</v>
      </c>
    </row>
    <row r="574" spans="2:4" ht="45">
      <c r="B574" s="335"/>
      <c r="C574" s="338"/>
      <c r="D574" s="169" t="s">
        <v>686</v>
      </c>
    </row>
    <row r="575" spans="2:4" ht="31" thickBot="1">
      <c r="B575" s="336"/>
      <c r="C575" s="339"/>
      <c r="D575" s="168" t="s">
        <v>687</v>
      </c>
    </row>
    <row r="576" spans="2:4" ht="15" thickBot="1">
      <c r="B576" s="174" t="s">
        <v>228</v>
      </c>
      <c r="C576" s="175">
        <v>6</v>
      </c>
      <c r="D576" s="168"/>
    </row>
    <row r="577" spans="2:4" ht="15" thickBot="1">
      <c r="B577" s="174" t="s">
        <v>228</v>
      </c>
      <c r="C577" s="175">
        <v>7</v>
      </c>
      <c r="D577" s="168"/>
    </row>
    <row r="578" spans="2:4" ht="15" thickBot="1">
      <c r="B578" s="319" t="s">
        <v>238</v>
      </c>
      <c r="C578" s="320"/>
      <c r="D578" s="321"/>
    </row>
    <row r="579" spans="2:4">
      <c r="B579" s="325" t="s">
        <v>688</v>
      </c>
      <c r="C579" s="326"/>
      <c r="D579" s="327"/>
    </row>
    <row r="580" spans="2:4">
      <c r="B580" s="322" t="s">
        <v>689</v>
      </c>
      <c r="C580" s="323"/>
      <c r="D580" s="324"/>
    </row>
    <row r="581" spans="2:4" ht="15" thickBot="1">
      <c r="B581" s="316"/>
      <c r="C581" s="317"/>
      <c r="D581" s="318"/>
    </row>
    <row r="582" spans="2:4" ht="15" thickBot="1">
      <c r="B582" s="171" t="s">
        <v>228</v>
      </c>
      <c r="C582" s="172">
        <v>1</v>
      </c>
      <c r="D582" s="173"/>
    </row>
    <row r="583" spans="2:4" ht="15">
      <c r="B583" s="334" t="s">
        <v>228</v>
      </c>
      <c r="C583" s="337">
        <v>2</v>
      </c>
      <c r="D583" s="169" t="s">
        <v>690</v>
      </c>
    </row>
    <row r="584" spans="2:4" ht="15">
      <c r="B584" s="335"/>
      <c r="C584" s="338"/>
      <c r="D584" s="169" t="s">
        <v>691</v>
      </c>
    </row>
    <row r="585" spans="2:4" ht="31" thickBot="1">
      <c r="B585" s="336"/>
      <c r="C585" s="339"/>
      <c r="D585" s="168" t="s">
        <v>692</v>
      </c>
    </row>
    <row r="586" spans="2:4" ht="30">
      <c r="B586" s="334" t="s">
        <v>228</v>
      </c>
      <c r="C586" s="337">
        <v>3</v>
      </c>
      <c r="D586" s="169" t="s">
        <v>693</v>
      </c>
    </row>
    <row r="587" spans="2:4" ht="16" thickBot="1">
      <c r="B587" s="336"/>
      <c r="C587" s="339"/>
      <c r="D587" s="168" t="s">
        <v>694</v>
      </c>
    </row>
    <row r="588" spans="2:4" ht="30">
      <c r="B588" s="334" t="s">
        <v>228</v>
      </c>
      <c r="C588" s="337">
        <v>4</v>
      </c>
      <c r="D588" s="169" t="s">
        <v>695</v>
      </c>
    </row>
    <row r="589" spans="2:4" ht="30">
      <c r="B589" s="335"/>
      <c r="C589" s="338"/>
      <c r="D589" s="169" t="s">
        <v>696</v>
      </c>
    </row>
    <row r="590" spans="2:4" ht="30">
      <c r="B590" s="335"/>
      <c r="C590" s="338"/>
      <c r="D590" s="169" t="s">
        <v>697</v>
      </c>
    </row>
    <row r="591" spans="2:4" ht="31" thickBot="1">
      <c r="B591" s="336"/>
      <c r="C591" s="339"/>
      <c r="D591" s="168" t="s">
        <v>698</v>
      </c>
    </row>
    <row r="592" spans="2:4" ht="30">
      <c r="B592" s="334" t="s">
        <v>228</v>
      </c>
      <c r="C592" s="337">
        <v>5</v>
      </c>
      <c r="D592" s="169" t="s">
        <v>699</v>
      </c>
    </row>
    <row r="593" spans="2:4" ht="30">
      <c r="B593" s="335"/>
      <c r="C593" s="338"/>
      <c r="D593" s="169" t="s">
        <v>700</v>
      </c>
    </row>
    <row r="594" spans="2:4" ht="15">
      <c r="B594" s="335"/>
      <c r="C594" s="338"/>
      <c r="D594" s="169" t="s">
        <v>701</v>
      </c>
    </row>
    <row r="595" spans="2:4" ht="31" thickBot="1">
      <c r="B595" s="336"/>
      <c r="C595" s="339"/>
      <c r="D595" s="168" t="s">
        <v>702</v>
      </c>
    </row>
    <row r="596" spans="2:4" ht="30">
      <c r="B596" s="334" t="s">
        <v>228</v>
      </c>
      <c r="C596" s="337">
        <v>6</v>
      </c>
      <c r="D596" s="169" t="s">
        <v>703</v>
      </c>
    </row>
    <row r="597" spans="2:4" ht="30">
      <c r="B597" s="335"/>
      <c r="C597" s="338"/>
      <c r="D597" s="169" t="s">
        <v>704</v>
      </c>
    </row>
    <row r="598" spans="2:4" ht="31" thickBot="1">
      <c r="B598" s="336"/>
      <c r="C598" s="339"/>
      <c r="D598" s="168" t="s">
        <v>705</v>
      </c>
    </row>
    <row r="599" spans="2:4" ht="15" thickBot="1">
      <c r="B599" s="174" t="s">
        <v>228</v>
      </c>
      <c r="C599" s="175">
        <v>7</v>
      </c>
      <c r="D599" s="168"/>
    </row>
    <row r="600" spans="2:4" ht="15" thickBot="1">
      <c r="B600" s="319" t="s">
        <v>238</v>
      </c>
      <c r="C600" s="320"/>
      <c r="D600" s="321"/>
    </row>
    <row r="601" spans="2:4">
      <c r="B601" s="325" t="s">
        <v>706</v>
      </c>
      <c r="C601" s="326"/>
      <c r="D601" s="327"/>
    </row>
    <row r="602" spans="2:4">
      <c r="B602" s="322" t="s">
        <v>707</v>
      </c>
      <c r="C602" s="323"/>
      <c r="D602" s="324"/>
    </row>
    <row r="603" spans="2:4" ht="15" thickBot="1">
      <c r="B603" s="316"/>
      <c r="C603" s="317"/>
      <c r="D603" s="318"/>
    </row>
    <row r="604" spans="2:4" ht="15" thickBot="1">
      <c r="B604" s="171" t="s">
        <v>228</v>
      </c>
      <c r="C604" s="172">
        <v>1</v>
      </c>
      <c r="D604" s="173"/>
    </row>
    <row r="605" spans="2:4" ht="15" thickBot="1">
      <c r="B605" s="174" t="s">
        <v>228</v>
      </c>
      <c r="C605" s="175">
        <v>2</v>
      </c>
      <c r="D605" s="168"/>
    </row>
    <row r="606" spans="2:4" ht="15">
      <c r="B606" s="334" t="s">
        <v>228</v>
      </c>
      <c r="C606" s="337">
        <v>3</v>
      </c>
      <c r="D606" s="169" t="s">
        <v>708</v>
      </c>
    </row>
    <row r="607" spans="2:4" ht="15">
      <c r="B607" s="335"/>
      <c r="C607" s="338"/>
      <c r="D607" s="169" t="s">
        <v>709</v>
      </c>
    </row>
    <row r="608" spans="2:4" ht="15">
      <c r="B608" s="335"/>
      <c r="C608" s="338"/>
      <c r="D608" s="169" t="s">
        <v>710</v>
      </c>
    </row>
    <row r="609" spans="2:4" ht="16" thickBot="1">
      <c r="B609" s="336"/>
      <c r="C609" s="339"/>
      <c r="D609" s="168" t="s">
        <v>711</v>
      </c>
    </row>
    <row r="610" spans="2:4" ht="15">
      <c r="B610" s="334" t="s">
        <v>228</v>
      </c>
      <c r="C610" s="337">
        <v>4</v>
      </c>
      <c r="D610" s="169" t="s">
        <v>712</v>
      </c>
    </row>
    <row r="611" spans="2:4" ht="15">
      <c r="B611" s="335"/>
      <c r="C611" s="338"/>
      <c r="D611" s="169" t="s">
        <v>713</v>
      </c>
    </row>
    <row r="612" spans="2:4" ht="30">
      <c r="B612" s="335"/>
      <c r="C612" s="338"/>
      <c r="D612" s="169" t="s">
        <v>714</v>
      </c>
    </row>
    <row r="613" spans="2:4" ht="31" thickBot="1">
      <c r="B613" s="336"/>
      <c r="C613" s="339"/>
      <c r="D613" s="168" t="s">
        <v>715</v>
      </c>
    </row>
    <row r="614" spans="2:4" ht="30">
      <c r="B614" s="334" t="s">
        <v>228</v>
      </c>
      <c r="C614" s="337">
        <v>5</v>
      </c>
      <c r="D614" s="169" t="s">
        <v>716</v>
      </c>
    </row>
    <row r="615" spans="2:4" ht="30">
      <c r="B615" s="335"/>
      <c r="C615" s="338"/>
      <c r="D615" s="169" t="s">
        <v>717</v>
      </c>
    </row>
    <row r="616" spans="2:4" ht="16" thickBot="1">
      <c r="B616" s="336"/>
      <c r="C616" s="339"/>
      <c r="D616" s="168" t="s">
        <v>718</v>
      </c>
    </row>
    <row r="617" spans="2:4" ht="30">
      <c r="B617" s="334" t="s">
        <v>228</v>
      </c>
      <c r="C617" s="337">
        <v>6</v>
      </c>
      <c r="D617" s="169" t="s">
        <v>719</v>
      </c>
    </row>
    <row r="618" spans="2:4" ht="16" thickBot="1">
      <c r="B618" s="336"/>
      <c r="C618" s="339"/>
      <c r="D618" s="168" t="s">
        <v>720</v>
      </c>
    </row>
    <row r="619" spans="2:4" ht="15" thickBot="1">
      <c r="B619" s="174" t="s">
        <v>228</v>
      </c>
      <c r="C619" s="175">
        <v>7</v>
      </c>
      <c r="D619" s="168"/>
    </row>
    <row r="620" spans="2:4" ht="15" thickBot="1">
      <c r="B620" s="319" t="s">
        <v>238</v>
      </c>
      <c r="C620" s="320"/>
      <c r="D620" s="321"/>
    </row>
    <row r="621" spans="2:4">
      <c r="B621" s="325" t="s">
        <v>721</v>
      </c>
      <c r="C621" s="326"/>
      <c r="D621" s="327"/>
    </row>
    <row r="622" spans="2:4">
      <c r="B622" s="322" t="s">
        <v>722</v>
      </c>
      <c r="C622" s="323"/>
      <c r="D622" s="324"/>
    </row>
    <row r="623" spans="2:4" ht="15" thickBot="1">
      <c r="B623" s="316"/>
      <c r="C623" s="317"/>
      <c r="D623" s="318"/>
    </row>
    <row r="624" spans="2:4" ht="15" thickBot="1">
      <c r="B624" s="171" t="s">
        <v>228</v>
      </c>
      <c r="C624" s="172">
        <v>1</v>
      </c>
      <c r="D624" s="173"/>
    </row>
    <row r="625" spans="2:4" ht="15">
      <c r="B625" s="334" t="s">
        <v>228</v>
      </c>
      <c r="C625" s="337">
        <v>2</v>
      </c>
      <c r="D625" s="169" t="s">
        <v>723</v>
      </c>
    </row>
    <row r="626" spans="2:4" ht="30">
      <c r="B626" s="335"/>
      <c r="C626" s="338"/>
      <c r="D626" s="169" t="s">
        <v>724</v>
      </c>
    </row>
    <row r="627" spans="2:4" ht="15">
      <c r="B627" s="335"/>
      <c r="C627" s="338"/>
      <c r="D627" s="169" t="s">
        <v>725</v>
      </c>
    </row>
    <row r="628" spans="2:4" ht="16" thickBot="1">
      <c r="B628" s="336"/>
      <c r="C628" s="339"/>
      <c r="D628" s="168" t="s">
        <v>726</v>
      </c>
    </row>
    <row r="629" spans="2:4" ht="15">
      <c r="B629" s="334" t="s">
        <v>228</v>
      </c>
      <c r="C629" s="337">
        <v>3</v>
      </c>
      <c r="D629" s="169" t="s">
        <v>727</v>
      </c>
    </row>
    <row r="630" spans="2:4" ht="30">
      <c r="B630" s="335"/>
      <c r="C630" s="338"/>
      <c r="D630" s="169" t="s">
        <v>728</v>
      </c>
    </row>
    <row r="631" spans="2:4" ht="15">
      <c r="B631" s="335"/>
      <c r="C631" s="338"/>
      <c r="D631" s="169" t="s">
        <v>729</v>
      </c>
    </row>
    <row r="632" spans="2:4" ht="16" thickBot="1">
      <c r="B632" s="336"/>
      <c r="C632" s="339"/>
      <c r="D632" s="168" t="s">
        <v>730</v>
      </c>
    </row>
    <row r="633" spans="2:4" ht="15">
      <c r="B633" s="334" t="s">
        <v>228</v>
      </c>
      <c r="C633" s="337">
        <v>4</v>
      </c>
      <c r="D633" s="169" t="s">
        <v>731</v>
      </c>
    </row>
    <row r="634" spans="2:4" ht="30">
      <c r="B634" s="335"/>
      <c r="C634" s="338"/>
      <c r="D634" s="169" t="s">
        <v>732</v>
      </c>
    </row>
    <row r="635" spans="2:4" ht="30">
      <c r="B635" s="335"/>
      <c r="C635" s="338"/>
      <c r="D635" s="169" t="s">
        <v>733</v>
      </c>
    </row>
    <row r="636" spans="2:4" ht="16" thickBot="1">
      <c r="B636" s="336"/>
      <c r="C636" s="339"/>
      <c r="D636" s="168" t="s">
        <v>734</v>
      </c>
    </row>
    <row r="637" spans="2:4" ht="15">
      <c r="B637" s="334" t="s">
        <v>228</v>
      </c>
      <c r="C637" s="337">
        <v>5</v>
      </c>
      <c r="D637" s="169" t="s">
        <v>735</v>
      </c>
    </row>
    <row r="638" spans="2:4" ht="30">
      <c r="B638" s="335"/>
      <c r="C638" s="338"/>
      <c r="D638" s="169" t="s">
        <v>736</v>
      </c>
    </row>
    <row r="639" spans="2:4" ht="15">
      <c r="B639" s="335"/>
      <c r="C639" s="338"/>
      <c r="D639" s="169" t="s">
        <v>737</v>
      </c>
    </row>
    <row r="640" spans="2:4" ht="16" thickBot="1">
      <c r="B640" s="336"/>
      <c r="C640" s="339"/>
      <c r="D640" s="168" t="s">
        <v>738</v>
      </c>
    </row>
    <row r="641" spans="2:4" ht="15">
      <c r="B641" s="334" t="s">
        <v>228</v>
      </c>
      <c r="C641" s="337">
        <v>6</v>
      </c>
      <c r="D641" s="169" t="s">
        <v>739</v>
      </c>
    </row>
    <row r="642" spans="2:4" ht="15">
      <c r="B642" s="335"/>
      <c r="C642" s="338"/>
      <c r="D642" s="169" t="s">
        <v>740</v>
      </c>
    </row>
    <row r="643" spans="2:4" ht="15">
      <c r="B643" s="335"/>
      <c r="C643" s="338"/>
      <c r="D643" s="169" t="s">
        <v>741</v>
      </c>
    </row>
    <row r="644" spans="2:4" ht="31" thickBot="1">
      <c r="B644" s="336"/>
      <c r="C644" s="339"/>
      <c r="D644" s="168" t="s">
        <v>742</v>
      </c>
    </row>
    <row r="645" spans="2:4" ht="15" thickBot="1">
      <c r="B645" s="174" t="s">
        <v>228</v>
      </c>
      <c r="C645" s="175">
        <v>7</v>
      </c>
      <c r="D645" s="168"/>
    </row>
    <row r="646" spans="2:4" ht="15" thickBot="1">
      <c r="B646" s="319" t="s">
        <v>238</v>
      </c>
      <c r="C646" s="320"/>
      <c r="D646" s="321"/>
    </row>
    <row r="647" spans="2:4">
      <c r="B647" s="325" t="s">
        <v>743</v>
      </c>
      <c r="C647" s="326"/>
      <c r="D647" s="327"/>
    </row>
    <row r="648" spans="2:4">
      <c r="B648" s="322" t="s">
        <v>744</v>
      </c>
      <c r="C648" s="323"/>
      <c r="D648" s="324"/>
    </row>
    <row r="649" spans="2:4" ht="15" thickBot="1">
      <c r="B649" s="316"/>
      <c r="C649" s="317"/>
      <c r="D649" s="318"/>
    </row>
    <row r="650" spans="2:4" ht="15" thickBot="1">
      <c r="B650" s="171" t="s">
        <v>228</v>
      </c>
      <c r="C650" s="172">
        <v>1</v>
      </c>
      <c r="D650" s="173"/>
    </row>
    <row r="651" spans="2:4" ht="15">
      <c r="B651" s="334" t="s">
        <v>228</v>
      </c>
      <c r="C651" s="337">
        <v>2</v>
      </c>
      <c r="D651" s="169" t="s">
        <v>745</v>
      </c>
    </row>
    <row r="652" spans="2:4" ht="15">
      <c r="B652" s="335"/>
      <c r="C652" s="338"/>
      <c r="D652" s="169" t="s">
        <v>746</v>
      </c>
    </row>
    <row r="653" spans="2:4" ht="16" thickBot="1">
      <c r="B653" s="336"/>
      <c r="C653" s="339"/>
      <c r="D653" s="168" t="s">
        <v>747</v>
      </c>
    </row>
    <row r="654" spans="2:4" ht="15">
      <c r="B654" s="334" t="s">
        <v>228</v>
      </c>
      <c r="C654" s="337">
        <v>3</v>
      </c>
      <c r="D654" s="169" t="s">
        <v>748</v>
      </c>
    </row>
    <row r="655" spans="2:4" ht="15">
      <c r="B655" s="335"/>
      <c r="C655" s="338"/>
      <c r="D655" s="169" t="s">
        <v>749</v>
      </c>
    </row>
    <row r="656" spans="2:4" ht="15">
      <c r="B656" s="335"/>
      <c r="C656" s="338"/>
      <c r="D656" s="169" t="s">
        <v>750</v>
      </c>
    </row>
    <row r="657" spans="2:4" ht="16" thickBot="1">
      <c r="B657" s="336"/>
      <c r="C657" s="339"/>
      <c r="D657" s="168" t="s">
        <v>751</v>
      </c>
    </row>
    <row r="658" spans="2:4" ht="15">
      <c r="B658" s="334" t="s">
        <v>228</v>
      </c>
      <c r="C658" s="337">
        <v>4</v>
      </c>
      <c r="D658" s="169" t="s">
        <v>752</v>
      </c>
    </row>
    <row r="659" spans="2:4" ht="15">
      <c r="B659" s="335"/>
      <c r="C659" s="338"/>
      <c r="D659" s="169" t="s">
        <v>753</v>
      </c>
    </row>
    <row r="660" spans="2:4" ht="15">
      <c r="B660" s="335"/>
      <c r="C660" s="338"/>
      <c r="D660" s="169" t="s">
        <v>754</v>
      </c>
    </row>
    <row r="661" spans="2:4" ht="16" thickBot="1">
      <c r="B661" s="336"/>
      <c r="C661" s="339"/>
      <c r="D661" s="168" t="s">
        <v>755</v>
      </c>
    </row>
    <row r="662" spans="2:4" ht="15">
      <c r="B662" s="334" t="s">
        <v>228</v>
      </c>
      <c r="C662" s="337">
        <v>5</v>
      </c>
      <c r="D662" s="169" t="s">
        <v>756</v>
      </c>
    </row>
    <row r="663" spans="2:4" ht="30">
      <c r="B663" s="335"/>
      <c r="C663" s="338"/>
      <c r="D663" s="169" t="s">
        <v>757</v>
      </c>
    </row>
    <row r="664" spans="2:4" ht="30">
      <c r="B664" s="335"/>
      <c r="C664" s="338"/>
      <c r="D664" s="169" t="s">
        <v>758</v>
      </c>
    </row>
    <row r="665" spans="2:4" ht="16" thickBot="1">
      <c r="B665" s="336"/>
      <c r="C665" s="339"/>
      <c r="D665" s="168" t="s">
        <v>759</v>
      </c>
    </row>
    <row r="666" spans="2:4" ht="15" thickBot="1">
      <c r="B666" s="174" t="s">
        <v>228</v>
      </c>
      <c r="C666" s="175">
        <v>6</v>
      </c>
      <c r="D666" s="168"/>
    </row>
    <row r="667" spans="2:4" ht="15" thickBot="1">
      <c r="B667" s="174" t="s">
        <v>228</v>
      </c>
      <c r="C667" s="175">
        <v>7</v>
      </c>
      <c r="D667" s="168"/>
    </row>
    <row r="668" spans="2:4" ht="15" thickBot="1">
      <c r="B668" s="346" t="s">
        <v>238</v>
      </c>
      <c r="C668" s="347"/>
      <c r="D668" s="348"/>
    </row>
    <row r="669" spans="2:4" ht="15" thickBot="1">
      <c r="B669" s="319"/>
      <c r="C669" s="320"/>
      <c r="D669" s="321"/>
    </row>
    <row r="670" spans="2:4" ht="15" thickBot="1">
      <c r="B670" s="328" t="s">
        <v>760</v>
      </c>
      <c r="C670" s="329"/>
      <c r="D670" s="330"/>
    </row>
    <row r="671" spans="2:4">
      <c r="B671" s="325" t="s">
        <v>761</v>
      </c>
      <c r="C671" s="326"/>
      <c r="D671" s="327"/>
    </row>
    <row r="672" spans="2:4">
      <c r="B672" s="322" t="s">
        <v>762</v>
      </c>
      <c r="C672" s="323"/>
      <c r="D672" s="324"/>
    </row>
    <row r="673" spans="2:4" ht="15" thickBot="1">
      <c r="B673" s="316"/>
      <c r="C673" s="317"/>
      <c r="D673" s="318"/>
    </row>
    <row r="674" spans="2:4" ht="15" thickBot="1">
      <c r="B674" s="171" t="s">
        <v>228</v>
      </c>
      <c r="C674" s="172">
        <v>1</v>
      </c>
      <c r="D674" s="173"/>
    </row>
    <row r="675" spans="2:4" ht="15" thickBot="1">
      <c r="B675" s="174" t="s">
        <v>228</v>
      </c>
      <c r="C675" s="175">
        <v>2</v>
      </c>
      <c r="D675" s="168"/>
    </row>
    <row r="676" spans="2:4" ht="30">
      <c r="B676" s="334" t="s">
        <v>228</v>
      </c>
      <c r="C676" s="337">
        <v>3</v>
      </c>
      <c r="D676" s="169" t="s">
        <v>763</v>
      </c>
    </row>
    <row r="677" spans="2:4" ht="15">
      <c r="B677" s="335"/>
      <c r="C677" s="338"/>
      <c r="D677" s="169" t="s">
        <v>764</v>
      </c>
    </row>
    <row r="678" spans="2:4" ht="15">
      <c r="B678" s="335"/>
      <c r="C678" s="338"/>
      <c r="D678" s="169" t="s">
        <v>765</v>
      </c>
    </row>
    <row r="679" spans="2:4" ht="16" thickBot="1">
      <c r="B679" s="336"/>
      <c r="C679" s="339"/>
      <c r="D679" s="168" t="s">
        <v>766</v>
      </c>
    </row>
    <row r="680" spans="2:4" ht="15">
      <c r="B680" s="334" t="s">
        <v>228</v>
      </c>
      <c r="C680" s="337">
        <v>4</v>
      </c>
      <c r="D680" s="169" t="s">
        <v>767</v>
      </c>
    </row>
    <row r="681" spans="2:4" ht="15">
      <c r="B681" s="335"/>
      <c r="C681" s="338"/>
      <c r="D681" s="169" t="s">
        <v>768</v>
      </c>
    </row>
    <row r="682" spans="2:4" ht="15">
      <c r="B682" s="335"/>
      <c r="C682" s="338"/>
      <c r="D682" s="169" t="s">
        <v>769</v>
      </c>
    </row>
    <row r="683" spans="2:4" ht="16" thickBot="1">
      <c r="B683" s="336"/>
      <c r="C683" s="339"/>
      <c r="D683" s="168" t="s">
        <v>770</v>
      </c>
    </row>
    <row r="684" spans="2:4" ht="30">
      <c r="B684" s="334" t="s">
        <v>228</v>
      </c>
      <c r="C684" s="337">
        <v>5</v>
      </c>
      <c r="D684" s="169" t="s">
        <v>771</v>
      </c>
    </row>
    <row r="685" spans="2:4" ht="15">
      <c r="B685" s="335"/>
      <c r="C685" s="338"/>
      <c r="D685" s="169" t="s">
        <v>772</v>
      </c>
    </row>
    <row r="686" spans="2:4" ht="45">
      <c r="B686" s="335"/>
      <c r="C686" s="338"/>
      <c r="D686" s="169" t="s">
        <v>773</v>
      </c>
    </row>
    <row r="687" spans="2:4" ht="31" thickBot="1">
      <c r="B687" s="336"/>
      <c r="C687" s="339"/>
      <c r="D687" s="168" t="s">
        <v>774</v>
      </c>
    </row>
    <row r="688" spans="2:4" ht="30">
      <c r="B688" s="334" t="s">
        <v>228</v>
      </c>
      <c r="C688" s="337">
        <v>6</v>
      </c>
      <c r="D688" s="169" t="s">
        <v>775</v>
      </c>
    </row>
    <row r="689" spans="2:4" ht="30">
      <c r="B689" s="335"/>
      <c r="C689" s="338"/>
      <c r="D689" s="169" t="s">
        <v>776</v>
      </c>
    </row>
    <row r="690" spans="2:4" ht="30">
      <c r="B690" s="335"/>
      <c r="C690" s="338"/>
      <c r="D690" s="169" t="s">
        <v>777</v>
      </c>
    </row>
    <row r="691" spans="2:4" ht="31" thickBot="1">
      <c r="B691" s="336"/>
      <c r="C691" s="339"/>
      <c r="D691" s="168" t="s">
        <v>778</v>
      </c>
    </row>
    <row r="692" spans="2:4" ht="30">
      <c r="B692" s="334" t="s">
        <v>228</v>
      </c>
      <c r="C692" s="337">
        <v>7</v>
      </c>
      <c r="D692" s="169" t="s">
        <v>779</v>
      </c>
    </row>
    <row r="693" spans="2:4" ht="30">
      <c r="B693" s="335"/>
      <c r="C693" s="338"/>
      <c r="D693" s="169" t="s">
        <v>780</v>
      </c>
    </row>
    <row r="694" spans="2:4" ht="30">
      <c r="B694" s="335"/>
      <c r="C694" s="338"/>
      <c r="D694" s="169" t="s">
        <v>781</v>
      </c>
    </row>
    <row r="695" spans="2:4" ht="16" thickBot="1">
      <c r="B695" s="336"/>
      <c r="C695" s="339"/>
      <c r="D695" s="168" t="s">
        <v>782</v>
      </c>
    </row>
    <row r="696" spans="2:4" ht="15" thickBot="1">
      <c r="B696" s="346" t="s">
        <v>238</v>
      </c>
      <c r="C696" s="347"/>
      <c r="D696" s="348"/>
    </row>
    <row r="697" spans="2:4">
      <c r="B697" s="325" t="s">
        <v>783</v>
      </c>
      <c r="C697" s="326"/>
      <c r="D697" s="327"/>
    </row>
    <row r="698" spans="2:4">
      <c r="B698" s="322" t="s">
        <v>784</v>
      </c>
      <c r="C698" s="323"/>
      <c r="D698" s="324"/>
    </row>
    <row r="699" spans="2:4" ht="15" thickBot="1">
      <c r="B699" s="316"/>
      <c r="C699" s="317"/>
      <c r="D699" s="318"/>
    </row>
    <row r="700" spans="2:4" ht="15" thickBot="1">
      <c r="B700" s="171" t="s">
        <v>228</v>
      </c>
      <c r="C700" s="172">
        <v>1</v>
      </c>
      <c r="D700" s="173"/>
    </row>
    <row r="701" spans="2:4" ht="15">
      <c r="B701" s="334" t="s">
        <v>228</v>
      </c>
      <c r="C701" s="337">
        <v>2</v>
      </c>
      <c r="D701" s="169" t="s">
        <v>785</v>
      </c>
    </row>
    <row r="702" spans="2:4" ht="15">
      <c r="B702" s="335"/>
      <c r="C702" s="338"/>
      <c r="D702" s="169" t="s">
        <v>786</v>
      </c>
    </row>
    <row r="703" spans="2:4" ht="16" thickBot="1">
      <c r="B703" s="336"/>
      <c r="C703" s="339"/>
      <c r="D703" s="168" t="s">
        <v>787</v>
      </c>
    </row>
    <row r="704" spans="2:4" ht="30">
      <c r="B704" s="334" t="s">
        <v>228</v>
      </c>
      <c r="C704" s="337">
        <v>3</v>
      </c>
      <c r="D704" s="169" t="s">
        <v>788</v>
      </c>
    </row>
    <row r="705" spans="2:4" ht="15">
      <c r="B705" s="335"/>
      <c r="C705" s="338"/>
      <c r="D705" s="169" t="s">
        <v>789</v>
      </c>
    </row>
    <row r="706" spans="2:4" ht="16" thickBot="1">
      <c r="B706" s="336"/>
      <c r="C706" s="339"/>
      <c r="D706" s="168" t="s">
        <v>790</v>
      </c>
    </row>
    <row r="707" spans="2:4" ht="30">
      <c r="B707" s="334" t="s">
        <v>228</v>
      </c>
      <c r="C707" s="337">
        <v>4</v>
      </c>
      <c r="D707" s="169" t="s">
        <v>791</v>
      </c>
    </row>
    <row r="708" spans="2:4" ht="45">
      <c r="B708" s="335"/>
      <c r="C708" s="338"/>
      <c r="D708" s="169" t="s">
        <v>792</v>
      </c>
    </row>
    <row r="709" spans="2:4" ht="30">
      <c r="B709" s="335"/>
      <c r="C709" s="338"/>
      <c r="D709" s="169" t="s">
        <v>793</v>
      </c>
    </row>
    <row r="710" spans="2:4" ht="31" thickBot="1">
      <c r="B710" s="336"/>
      <c r="C710" s="339"/>
      <c r="D710" s="168" t="s">
        <v>794</v>
      </c>
    </row>
    <row r="711" spans="2:4" ht="15">
      <c r="B711" s="334" t="s">
        <v>228</v>
      </c>
      <c r="C711" s="337">
        <v>5</v>
      </c>
      <c r="D711" s="169" t="s">
        <v>795</v>
      </c>
    </row>
    <row r="712" spans="2:4" ht="15">
      <c r="B712" s="335"/>
      <c r="C712" s="338"/>
      <c r="D712" s="169" t="s">
        <v>796</v>
      </c>
    </row>
    <row r="713" spans="2:4" ht="30">
      <c r="B713" s="335"/>
      <c r="C713" s="338"/>
      <c r="D713" s="169" t="s">
        <v>797</v>
      </c>
    </row>
    <row r="714" spans="2:4" ht="31" thickBot="1">
      <c r="B714" s="336"/>
      <c r="C714" s="339"/>
      <c r="D714" s="168" t="s">
        <v>798</v>
      </c>
    </row>
    <row r="715" spans="2:4" ht="30">
      <c r="B715" s="334" t="s">
        <v>228</v>
      </c>
      <c r="C715" s="337">
        <v>6</v>
      </c>
      <c r="D715" s="169" t="s">
        <v>799</v>
      </c>
    </row>
    <row r="716" spans="2:4" ht="30">
      <c r="B716" s="335"/>
      <c r="C716" s="338"/>
      <c r="D716" s="169" t="s">
        <v>800</v>
      </c>
    </row>
    <row r="717" spans="2:4" ht="45">
      <c r="B717" s="335"/>
      <c r="C717" s="338"/>
      <c r="D717" s="169" t="s">
        <v>801</v>
      </c>
    </row>
    <row r="718" spans="2:4" ht="31" thickBot="1">
      <c r="B718" s="336"/>
      <c r="C718" s="339"/>
      <c r="D718" s="168" t="s">
        <v>802</v>
      </c>
    </row>
    <row r="719" spans="2:4" ht="15" thickBot="1">
      <c r="B719" s="174" t="s">
        <v>228</v>
      </c>
      <c r="C719" s="175">
        <v>7</v>
      </c>
      <c r="D719" s="168"/>
    </row>
    <row r="720" spans="2:4" ht="15" thickBot="1">
      <c r="B720" s="319" t="s">
        <v>238</v>
      </c>
      <c r="C720" s="320"/>
      <c r="D720" s="321"/>
    </row>
    <row r="721" spans="2:4">
      <c r="B721" s="325" t="s">
        <v>803</v>
      </c>
      <c r="C721" s="326"/>
      <c r="D721" s="327"/>
    </row>
    <row r="722" spans="2:4">
      <c r="B722" s="322" t="s">
        <v>804</v>
      </c>
      <c r="C722" s="323"/>
      <c r="D722" s="324"/>
    </row>
    <row r="723" spans="2:4" ht="15" thickBot="1">
      <c r="B723" s="316"/>
      <c r="C723" s="317"/>
      <c r="D723" s="318"/>
    </row>
    <row r="724" spans="2:4" ht="15" thickBot="1">
      <c r="B724" s="171" t="s">
        <v>228</v>
      </c>
      <c r="C724" s="172">
        <v>1</v>
      </c>
      <c r="D724" s="173"/>
    </row>
    <row r="725" spans="2:4" ht="30">
      <c r="B725" s="334" t="s">
        <v>228</v>
      </c>
      <c r="C725" s="337">
        <v>2</v>
      </c>
      <c r="D725" s="169" t="s">
        <v>805</v>
      </c>
    </row>
    <row r="726" spans="2:4" ht="30">
      <c r="B726" s="335"/>
      <c r="C726" s="338"/>
      <c r="D726" s="169" t="s">
        <v>806</v>
      </c>
    </row>
    <row r="727" spans="2:4" ht="16" thickBot="1">
      <c r="B727" s="336"/>
      <c r="C727" s="339"/>
      <c r="D727" s="168" t="s">
        <v>807</v>
      </c>
    </row>
    <row r="728" spans="2:4" ht="30">
      <c r="B728" s="334" t="s">
        <v>228</v>
      </c>
      <c r="C728" s="337">
        <v>3</v>
      </c>
      <c r="D728" s="169" t="s">
        <v>808</v>
      </c>
    </row>
    <row r="729" spans="2:4" ht="30">
      <c r="B729" s="335"/>
      <c r="C729" s="338"/>
      <c r="D729" s="169" t="s">
        <v>809</v>
      </c>
    </row>
    <row r="730" spans="2:4" ht="30">
      <c r="B730" s="335"/>
      <c r="C730" s="338"/>
      <c r="D730" s="169" t="s">
        <v>810</v>
      </c>
    </row>
    <row r="731" spans="2:4" ht="16" thickBot="1">
      <c r="B731" s="336"/>
      <c r="C731" s="339"/>
      <c r="D731" s="168" t="s">
        <v>811</v>
      </c>
    </row>
    <row r="732" spans="2:4" ht="30">
      <c r="B732" s="334" t="s">
        <v>228</v>
      </c>
      <c r="C732" s="337">
        <v>4</v>
      </c>
      <c r="D732" s="169" t="s">
        <v>812</v>
      </c>
    </row>
    <row r="733" spans="2:4" ht="15">
      <c r="B733" s="335"/>
      <c r="C733" s="338"/>
      <c r="D733" s="169" t="s">
        <v>813</v>
      </c>
    </row>
    <row r="734" spans="2:4" ht="31" thickBot="1">
      <c r="B734" s="336"/>
      <c r="C734" s="339"/>
      <c r="D734" s="168" t="s">
        <v>809</v>
      </c>
    </row>
    <row r="735" spans="2:4" ht="15">
      <c r="B735" s="334" t="s">
        <v>228</v>
      </c>
      <c r="C735" s="337">
        <v>5</v>
      </c>
      <c r="D735" s="169" t="s">
        <v>814</v>
      </c>
    </row>
    <row r="736" spans="2:4" ht="30">
      <c r="B736" s="335"/>
      <c r="C736" s="338"/>
      <c r="D736" s="169" t="s">
        <v>815</v>
      </c>
    </row>
    <row r="737" spans="2:4" ht="30">
      <c r="B737" s="335"/>
      <c r="C737" s="338"/>
      <c r="D737" s="169" t="s">
        <v>816</v>
      </c>
    </row>
    <row r="738" spans="2:4" ht="31" thickBot="1">
      <c r="B738" s="336"/>
      <c r="C738" s="339"/>
      <c r="D738" s="168" t="s">
        <v>817</v>
      </c>
    </row>
    <row r="739" spans="2:4" ht="15">
      <c r="B739" s="334" t="s">
        <v>228</v>
      </c>
      <c r="C739" s="337">
        <v>6</v>
      </c>
      <c r="D739" s="169" t="s">
        <v>818</v>
      </c>
    </row>
    <row r="740" spans="2:4" ht="30">
      <c r="B740" s="335"/>
      <c r="C740" s="338"/>
      <c r="D740" s="169" t="s">
        <v>819</v>
      </c>
    </row>
    <row r="741" spans="2:4" ht="31" thickBot="1">
      <c r="B741" s="336"/>
      <c r="C741" s="339"/>
      <c r="D741" s="168" t="s">
        <v>820</v>
      </c>
    </row>
    <row r="742" spans="2:4" ht="15" thickBot="1">
      <c r="B742" s="174" t="s">
        <v>228</v>
      </c>
      <c r="C742" s="175">
        <v>7</v>
      </c>
      <c r="D742" s="168"/>
    </row>
    <row r="743" spans="2:4" ht="15" thickBot="1">
      <c r="B743" s="319" t="s">
        <v>238</v>
      </c>
      <c r="C743" s="320"/>
      <c r="D743" s="321"/>
    </row>
    <row r="744" spans="2:4">
      <c r="B744" s="325" t="s">
        <v>821</v>
      </c>
      <c r="C744" s="326"/>
      <c r="D744" s="327"/>
    </row>
    <row r="745" spans="2:4">
      <c r="B745" s="322" t="s">
        <v>822</v>
      </c>
      <c r="C745" s="323"/>
      <c r="D745" s="324"/>
    </row>
    <row r="746" spans="2:4" ht="15" thickBot="1">
      <c r="B746" s="316"/>
      <c r="C746" s="317"/>
      <c r="D746" s="318"/>
    </row>
    <row r="747" spans="2:4" ht="15" thickBot="1">
      <c r="B747" s="171" t="s">
        <v>228</v>
      </c>
      <c r="C747" s="172">
        <v>1</v>
      </c>
      <c r="D747" s="173"/>
    </row>
    <row r="748" spans="2:4" ht="15" thickBot="1">
      <c r="B748" s="174" t="s">
        <v>228</v>
      </c>
      <c r="C748" s="175">
        <v>2</v>
      </c>
      <c r="D748" s="168"/>
    </row>
    <row r="749" spans="2:4" ht="15" thickBot="1">
      <c r="B749" s="174" t="s">
        <v>228</v>
      </c>
      <c r="C749" s="175">
        <v>3</v>
      </c>
      <c r="D749" s="168"/>
    </row>
    <row r="750" spans="2:4" ht="30">
      <c r="B750" s="334" t="s">
        <v>228</v>
      </c>
      <c r="C750" s="337">
        <v>4</v>
      </c>
      <c r="D750" s="169" t="s">
        <v>823</v>
      </c>
    </row>
    <row r="751" spans="2:4" ht="30">
      <c r="B751" s="335"/>
      <c r="C751" s="338"/>
      <c r="D751" s="169" t="s">
        <v>824</v>
      </c>
    </row>
    <row r="752" spans="2:4" ht="45">
      <c r="B752" s="335"/>
      <c r="C752" s="338"/>
      <c r="D752" s="169" t="s">
        <v>825</v>
      </c>
    </row>
    <row r="753" spans="2:4" ht="16" thickBot="1">
      <c r="B753" s="336"/>
      <c r="C753" s="339"/>
      <c r="D753" s="168" t="s">
        <v>826</v>
      </c>
    </row>
    <row r="754" spans="2:4" ht="15">
      <c r="B754" s="334" t="s">
        <v>228</v>
      </c>
      <c r="C754" s="337">
        <v>5</v>
      </c>
      <c r="D754" s="169" t="s">
        <v>827</v>
      </c>
    </row>
    <row r="755" spans="2:4" ht="30">
      <c r="B755" s="335"/>
      <c r="C755" s="338"/>
      <c r="D755" s="169" t="s">
        <v>828</v>
      </c>
    </row>
    <row r="756" spans="2:4" ht="45">
      <c r="B756" s="335"/>
      <c r="C756" s="338"/>
      <c r="D756" s="169" t="s">
        <v>829</v>
      </c>
    </row>
    <row r="757" spans="2:4" ht="46" thickBot="1">
      <c r="B757" s="336"/>
      <c r="C757" s="339"/>
      <c r="D757" s="168" t="s">
        <v>830</v>
      </c>
    </row>
    <row r="758" spans="2:4" ht="15">
      <c r="B758" s="334" t="s">
        <v>228</v>
      </c>
      <c r="C758" s="337">
        <v>6</v>
      </c>
      <c r="D758" s="169" t="s">
        <v>831</v>
      </c>
    </row>
    <row r="759" spans="2:4" ht="30">
      <c r="B759" s="335"/>
      <c r="C759" s="338"/>
      <c r="D759" s="169" t="s">
        <v>832</v>
      </c>
    </row>
    <row r="760" spans="2:4" ht="60">
      <c r="B760" s="335"/>
      <c r="C760" s="338"/>
      <c r="D760" s="169" t="s">
        <v>833</v>
      </c>
    </row>
    <row r="761" spans="2:4" ht="31" thickBot="1">
      <c r="B761" s="336"/>
      <c r="C761" s="339"/>
      <c r="D761" s="168" t="s">
        <v>834</v>
      </c>
    </row>
    <row r="762" spans="2:4" ht="15" thickBot="1">
      <c r="B762" s="174" t="s">
        <v>228</v>
      </c>
      <c r="C762" s="175">
        <v>7</v>
      </c>
      <c r="D762" s="168"/>
    </row>
    <row r="763" spans="2:4" ht="15" thickBot="1">
      <c r="B763" s="319" t="s">
        <v>238</v>
      </c>
      <c r="C763" s="320"/>
      <c r="D763" s="321"/>
    </row>
    <row r="764" spans="2:4">
      <c r="B764" s="325" t="s">
        <v>835</v>
      </c>
      <c r="C764" s="326"/>
      <c r="D764" s="327"/>
    </row>
    <row r="765" spans="2:4">
      <c r="B765" s="322" t="s">
        <v>836</v>
      </c>
      <c r="C765" s="323"/>
      <c r="D765" s="324"/>
    </row>
    <row r="766" spans="2:4" ht="15" thickBot="1">
      <c r="B766" s="316"/>
      <c r="C766" s="317"/>
      <c r="D766" s="318"/>
    </row>
    <row r="767" spans="2:4" ht="15" thickBot="1">
      <c r="B767" s="171" t="s">
        <v>228</v>
      </c>
      <c r="C767" s="172">
        <v>1</v>
      </c>
      <c r="D767" s="173"/>
    </row>
    <row r="768" spans="2:4" ht="15">
      <c r="B768" s="334" t="s">
        <v>228</v>
      </c>
      <c r="C768" s="337">
        <v>2</v>
      </c>
      <c r="D768" s="169" t="s">
        <v>837</v>
      </c>
    </row>
    <row r="769" spans="2:4" ht="15">
      <c r="B769" s="335"/>
      <c r="C769" s="338"/>
      <c r="D769" s="169" t="s">
        <v>786</v>
      </c>
    </row>
    <row r="770" spans="2:4" ht="16" thickBot="1">
      <c r="B770" s="336"/>
      <c r="C770" s="339"/>
      <c r="D770" s="168" t="s">
        <v>787</v>
      </c>
    </row>
    <row r="771" spans="2:4" ht="30">
      <c r="B771" s="334" t="s">
        <v>228</v>
      </c>
      <c r="C771" s="337">
        <v>3</v>
      </c>
      <c r="D771" s="169" t="s">
        <v>838</v>
      </c>
    </row>
    <row r="772" spans="2:4" ht="30">
      <c r="B772" s="335"/>
      <c r="C772" s="338"/>
      <c r="D772" s="169" t="s">
        <v>839</v>
      </c>
    </row>
    <row r="773" spans="2:4" ht="15">
      <c r="B773" s="335"/>
      <c r="C773" s="338"/>
      <c r="D773" s="169" t="s">
        <v>840</v>
      </c>
    </row>
    <row r="774" spans="2:4" ht="31" thickBot="1">
      <c r="B774" s="336"/>
      <c r="C774" s="339"/>
      <c r="D774" s="168" t="s">
        <v>841</v>
      </c>
    </row>
    <row r="775" spans="2:4" ht="30">
      <c r="B775" s="334" t="s">
        <v>228</v>
      </c>
      <c r="C775" s="337">
        <v>4</v>
      </c>
      <c r="D775" s="169" t="s">
        <v>842</v>
      </c>
    </row>
    <row r="776" spans="2:4" ht="15">
      <c r="B776" s="335"/>
      <c r="C776" s="338"/>
      <c r="D776" s="169" t="s">
        <v>843</v>
      </c>
    </row>
    <row r="777" spans="2:4" ht="30">
      <c r="B777" s="335"/>
      <c r="C777" s="338"/>
      <c r="D777" s="169" t="s">
        <v>844</v>
      </c>
    </row>
    <row r="778" spans="2:4" ht="31" thickBot="1">
      <c r="B778" s="336"/>
      <c r="C778" s="339"/>
      <c r="D778" s="168" t="s">
        <v>845</v>
      </c>
    </row>
    <row r="779" spans="2:4" ht="15">
      <c r="B779" s="334" t="s">
        <v>228</v>
      </c>
      <c r="C779" s="337">
        <v>5</v>
      </c>
      <c r="D779" s="169" t="s">
        <v>846</v>
      </c>
    </row>
    <row r="780" spans="2:4" ht="30">
      <c r="B780" s="335"/>
      <c r="C780" s="338"/>
      <c r="D780" s="169" t="s">
        <v>847</v>
      </c>
    </row>
    <row r="781" spans="2:4" ht="30">
      <c r="B781" s="335"/>
      <c r="C781" s="338"/>
      <c r="D781" s="169" t="s">
        <v>848</v>
      </c>
    </row>
    <row r="782" spans="2:4" ht="31" thickBot="1">
      <c r="B782" s="336"/>
      <c r="C782" s="339"/>
      <c r="D782" s="168" t="s">
        <v>849</v>
      </c>
    </row>
    <row r="783" spans="2:4" ht="30">
      <c r="B783" s="334" t="s">
        <v>228</v>
      </c>
      <c r="C783" s="337">
        <v>6</v>
      </c>
      <c r="D783" s="169" t="s">
        <v>850</v>
      </c>
    </row>
    <row r="784" spans="2:4" ht="15">
      <c r="B784" s="335"/>
      <c r="C784" s="338"/>
      <c r="D784" s="169" t="s">
        <v>851</v>
      </c>
    </row>
    <row r="785" spans="2:4" ht="30">
      <c r="B785" s="335"/>
      <c r="C785" s="338"/>
      <c r="D785" s="169" t="s">
        <v>852</v>
      </c>
    </row>
    <row r="786" spans="2:4" ht="16" thickBot="1">
      <c r="B786" s="336"/>
      <c r="C786" s="339"/>
      <c r="D786" s="168" t="s">
        <v>853</v>
      </c>
    </row>
    <row r="787" spans="2:4" ht="15" thickBot="1">
      <c r="B787" s="174" t="s">
        <v>228</v>
      </c>
      <c r="C787" s="175">
        <v>7</v>
      </c>
      <c r="D787" s="168"/>
    </row>
    <row r="788" spans="2:4" ht="15" thickBot="1">
      <c r="B788" s="319" t="s">
        <v>238</v>
      </c>
      <c r="C788" s="320"/>
      <c r="D788" s="321"/>
    </row>
    <row r="789" spans="2:4">
      <c r="B789" s="325" t="s">
        <v>854</v>
      </c>
      <c r="C789" s="326"/>
      <c r="D789" s="327"/>
    </row>
    <row r="790" spans="2:4">
      <c r="B790" s="322" t="s">
        <v>855</v>
      </c>
      <c r="C790" s="323"/>
      <c r="D790" s="324"/>
    </row>
    <row r="791" spans="2:4" ht="15" thickBot="1">
      <c r="B791" s="316"/>
      <c r="C791" s="317"/>
      <c r="D791" s="318"/>
    </row>
    <row r="792" spans="2:4" ht="15" thickBot="1">
      <c r="B792" s="171" t="s">
        <v>228</v>
      </c>
      <c r="C792" s="172">
        <v>1</v>
      </c>
      <c r="D792" s="173"/>
    </row>
    <row r="793" spans="2:4" ht="15" thickBot="1">
      <c r="B793" s="174" t="s">
        <v>228</v>
      </c>
      <c r="C793" s="175">
        <v>2</v>
      </c>
      <c r="D793" s="168"/>
    </row>
    <row r="794" spans="2:4" ht="15" thickBot="1">
      <c r="B794" s="174" t="s">
        <v>228</v>
      </c>
      <c r="C794" s="175">
        <v>3</v>
      </c>
      <c r="D794" s="168"/>
    </row>
    <row r="795" spans="2:4" ht="15" thickBot="1">
      <c r="B795" s="174" t="s">
        <v>228</v>
      </c>
      <c r="C795" s="175">
        <v>4</v>
      </c>
      <c r="D795" s="168"/>
    </row>
    <row r="796" spans="2:4" ht="15">
      <c r="B796" s="334" t="s">
        <v>228</v>
      </c>
      <c r="C796" s="337">
        <v>5</v>
      </c>
      <c r="D796" s="169" t="s">
        <v>856</v>
      </c>
    </row>
    <row r="797" spans="2:4" ht="30">
      <c r="B797" s="335"/>
      <c r="C797" s="338"/>
      <c r="D797" s="169" t="s">
        <v>857</v>
      </c>
    </row>
    <row r="798" spans="2:4" ht="30">
      <c r="B798" s="335"/>
      <c r="C798" s="338"/>
      <c r="D798" s="169" t="s">
        <v>858</v>
      </c>
    </row>
    <row r="799" spans="2:4" ht="31" thickBot="1">
      <c r="B799" s="336"/>
      <c r="C799" s="339"/>
      <c r="D799" s="168" t="s">
        <v>859</v>
      </c>
    </row>
    <row r="800" spans="2:4" ht="15">
      <c r="B800" s="334" t="s">
        <v>228</v>
      </c>
      <c r="C800" s="337">
        <v>6</v>
      </c>
      <c r="D800" s="169" t="s">
        <v>860</v>
      </c>
    </row>
    <row r="801" spans="2:4" ht="15">
      <c r="B801" s="335"/>
      <c r="C801" s="338"/>
      <c r="D801" s="169" t="s">
        <v>861</v>
      </c>
    </row>
    <row r="802" spans="2:4" ht="30">
      <c r="B802" s="335"/>
      <c r="C802" s="338"/>
      <c r="D802" s="169" t="s">
        <v>862</v>
      </c>
    </row>
    <row r="803" spans="2:4" ht="31" thickBot="1">
      <c r="B803" s="336"/>
      <c r="C803" s="339"/>
      <c r="D803" s="168" t="s">
        <v>863</v>
      </c>
    </row>
    <row r="804" spans="2:4" ht="15">
      <c r="B804" s="334" t="s">
        <v>228</v>
      </c>
      <c r="C804" s="337">
        <v>7</v>
      </c>
      <c r="D804" s="169" t="s">
        <v>864</v>
      </c>
    </row>
    <row r="805" spans="2:4" ht="15">
      <c r="B805" s="335"/>
      <c r="C805" s="338"/>
      <c r="D805" s="169" t="s">
        <v>865</v>
      </c>
    </row>
    <row r="806" spans="2:4" ht="16" thickBot="1">
      <c r="B806" s="336"/>
      <c r="C806" s="339"/>
      <c r="D806" s="168" t="s">
        <v>866</v>
      </c>
    </row>
    <row r="807" spans="2:4" ht="15" thickBot="1">
      <c r="B807" s="319" t="s">
        <v>238</v>
      </c>
      <c r="C807" s="320"/>
      <c r="D807" s="321"/>
    </row>
    <row r="808" spans="2:4" ht="15" thickBot="1">
      <c r="B808" s="319"/>
      <c r="C808" s="320"/>
      <c r="D808" s="321"/>
    </row>
    <row r="809" spans="2:4" ht="15" thickBot="1">
      <c r="B809" s="328" t="s">
        <v>867</v>
      </c>
      <c r="C809" s="329"/>
      <c r="D809" s="330"/>
    </row>
    <row r="810" spans="2:4">
      <c r="B810" s="325" t="s">
        <v>868</v>
      </c>
      <c r="C810" s="326"/>
      <c r="D810" s="327"/>
    </row>
    <row r="811" spans="2:4">
      <c r="B811" s="322" t="s">
        <v>869</v>
      </c>
      <c r="C811" s="323"/>
      <c r="D811" s="324"/>
    </row>
    <row r="812" spans="2:4" ht="15" thickBot="1">
      <c r="B812" s="316"/>
      <c r="C812" s="317"/>
      <c r="D812" s="318"/>
    </row>
    <row r="813" spans="2:4" ht="15" thickBot="1">
      <c r="B813" s="171" t="s">
        <v>228</v>
      </c>
      <c r="C813" s="172">
        <v>1</v>
      </c>
      <c r="D813" s="173"/>
    </row>
    <row r="814" spans="2:4" ht="15">
      <c r="B814" s="334" t="s">
        <v>228</v>
      </c>
      <c r="C814" s="337">
        <v>2</v>
      </c>
      <c r="D814" s="169" t="s">
        <v>870</v>
      </c>
    </row>
    <row r="815" spans="2:4" ht="15">
      <c r="B815" s="335"/>
      <c r="C815" s="338"/>
      <c r="D815" s="169" t="s">
        <v>871</v>
      </c>
    </row>
    <row r="816" spans="2:4" ht="15">
      <c r="B816" s="335"/>
      <c r="C816" s="338"/>
      <c r="D816" s="169" t="s">
        <v>872</v>
      </c>
    </row>
    <row r="817" spans="2:4" ht="16" thickBot="1">
      <c r="B817" s="336"/>
      <c r="C817" s="339"/>
      <c r="D817" s="168" t="s">
        <v>873</v>
      </c>
    </row>
    <row r="818" spans="2:4" ht="30">
      <c r="B818" s="334" t="s">
        <v>228</v>
      </c>
      <c r="C818" s="337">
        <v>3</v>
      </c>
      <c r="D818" s="169" t="s">
        <v>874</v>
      </c>
    </row>
    <row r="819" spans="2:4" ht="30">
      <c r="B819" s="335"/>
      <c r="C819" s="338"/>
      <c r="D819" s="169" t="s">
        <v>875</v>
      </c>
    </row>
    <row r="820" spans="2:4" ht="15">
      <c r="B820" s="335"/>
      <c r="C820" s="338"/>
      <c r="D820" s="169" t="s">
        <v>876</v>
      </c>
    </row>
    <row r="821" spans="2:4" ht="16" thickBot="1">
      <c r="B821" s="336"/>
      <c r="C821" s="339"/>
      <c r="D821" s="168" t="s">
        <v>877</v>
      </c>
    </row>
    <row r="822" spans="2:4" ht="30">
      <c r="B822" s="334" t="s">
        <v>228</v>
      </c>
      <c r="C822" s="337">
        <v>4</v>
      </c>
      <c r="D822" s="169" t="s">
        <v>878</v>
      </c>
    </row>
    <row r="823" spans="2:4" ht="30">
      <c r="B823" s="335"/>
      <c r="C823" s="338"/>
      <c r="D823" s="169" t="s">
        <v>879</v>
      </c>
    </row>
    <row r="824" spans="2:4" ht="30">
      <c r="B824" s="335"/>
      <c r="C824" s="338"/>
      <c r="D824" s="169" t="s">
        <v>880</v>
      </c>
    </row>
    <row r="825" spans="2:4" ht="31" thickBot="1">
      <c r="B825" s="336"/>
      <c r="C825" s="339"/>
      <c r="D825" s="168" t="s">
        <v>881</v>
      </c>
    </row>
    <row r="826" spans="2:4" ht="30">
      <c r="B826" s="334" t="s">
        <v>228</v>
      </c>
      <c r="C826" s="337">
        <v>5</v>
      </c>
      <c r="D826" s="169" t="s">
        <v>882</v>
      </c>
    </row>
    <row r="827" spans="2:4" ht="15">
      <c r="B827" s="335"/>
      <c r="C827" s="338"/>
      <c r="D827" s="169" t="s">
        <v>883</v>
      </c>
    </row>
    <row r="828" spans="2:4" ht="15">
      <c r="B828" s="335"/>
      <c r="C828" s="338"/>
      <c r="D828" s="169" t="s">
        <v>884</v>
      </c>
    </row>
    <row r="829" spans="2:4" ht="16" thickBot="1">
      <c r="B829" s="336"/>
      <c r="C829" s="339"/>
      <c r="D829" s="168" t="s">
        <v>885</v>
      </c>
    </row>
    <row r="830" spans="2:4" ht="15">
      <c r="B830" s="334" t="s">
        <v>228</v>
      </c>
      <c r="C830" s="337">
        <v>6</v>
      </c>
      <c r="D830" s="169" t="s">
        <v>886</v>
      </c>
    </row>
    <row r="831" spans="2:4" ht="30">
      <c r="B831" s="335"/>
      <c r="C831" s="338"/>
      <c r="D831" s="169" t="s">
        <v>887</v>
      </c>
    </row>
    <row r="832" spans="2:4" ht="15">
      <c r="B832" s="335"/>
      <c r="C832" s="338"/>
      <c r="D832" s="169" t="s">
        <v>888</v>
      </c>
    </row>
    <row r="833" spans="2:4" ht="31" thickBot="1">
      <c r="B833" s="336"/>
      <c r="C833" s="339"/>
      <c r="D833" s="168" t="s">
        <v>889</v>
      </c>
    </row>
    <row r="834" spans="2:4" ht="15" thickBot="1">
      <c r="B834" s="174" t="s">
        <v>228</v>
      </c>
      <c r="C834" s="175">
        <v>7</v>
      </c>
      <c r="D834" s="168"/>
    </row>
    <row r="835" spans="2:4" ht="15" thickBot="1">
      <c r="B835" s="319" t="s">
        <v>238</v>
      </c>
      <c r="C835" s="320"/>
      <c r="D835" s="321"/>
    </row>
    <row r="836" spans="2:4">
      <c r="B836" s="325" t="s">
        <v>890</v>
      </c>
      <c r="C836" s="326"/>
      <c r="D836" s="327"/>
    </row>
    <row r="837" spans="2:4">
      <c r="B837" s="322" t="s">
        <v>891</v>
      </c>
      <c r="C837" s="323"/>
      <c r="D837" s="324"/>
    </row>
    <row r="838" spans="2:4" ht="15" thickBot="1">
      <c r="B838" s="316"/>
      <c r="C838" s="317"/>
      <c r="D838" s="318"/>
    </row>
    <row r="839" spans="2:4" ht="15" thickBot="1">
      <c r="B839" s="171" t="s">
        <v>228</v>
      </c>
      <c r="C839" s="172">
        <v>1</v>
      </c>
      <c r="D839" s="173"/>
    </row>
    <row r="840" spans="2:4" ht="15">
      <c r="B840" s="334" t="s">
        <v>228</v>
      </c>
      <c r="C840" s="337">
        <v>2</v>
      </c>
      <c r="D840" s="169" t="s">
        <v>892</v>
      </c>
    </row>
    <row r="841" spans="2:4" ht="15">
      <c r="B841" s="335"/>
      <c r="C841" s="338"/>
      <c r="D841" s="169" t="s">
        <v>786</v>
      </c>
    </row>
    <row r="842" spans="2:4" ht="16" thickBot="1">
      <c r="B842" s="336"/>
      <c r="C842" s="339"/>
      <c r="D842" s="168" t="s">
        <v>787</v>
      </c>
    </row>
    <row r="843" spans="2:4" ht="30">
      <c r="B843" s="334" t="s">
        <v>228</v>
      </c>
      <c r="C843" s="337">
        <v>3</v>
      </c>
      <c r="D843" s="169" t="s">
        <v>893</v>
      </c>
    </row>
    <row r="844" spans="2:4" ht="31" thickBot="1">
      <c r="B844" s="336"/>
      <c r="C844" s="339"/>
      <c r="D844" s="168" t="s">
        <v>894</v>
      </c>
    </row>
    <row r="845" spans="2:4" ht="15">
      <c r="B845" s="334" t="s">
        <v>228</v>
      </c>
      <c r="C845" s="337">
        <v>4</v>
      </c>
      <c r="D845" s="169" t="s">
        <v>895</v>
      </c>
    </row>
    <row r="846" spans="2:4" ht="30">
      <c r="B846" s="335"/>
      <c r="C846" s="338"/>
      <c r="D846" s="169" t="s">
        <v>896</v>
      </c>
    </row>
    <row r="847" spans="2:4" ht="15">
      <c r="B847" s="335"/>
      <c r="C847" s="338"/>
      <c r="D847" s="169" t="s">
        <v>897</v>
      </c>
    </row>
    <row r="848" spans="2:4" ht="16" thickBot="1">
      <c r="B848" s="336"/>
      <c r="C848" s="339"/>
      <c r="D848" s="168" t="s">
        <v>898</v>
      </c>
    </row>
    <row r="849" spans="2:4" ht="30">
      <c r="B849" s="334" t="s">
        <v>228</v>
      </c>
      <c r="C849" s="337">
        <v>5</v>
      </c>
      <c r="D849" s="169" t="s">
        <v>899</v>
      </c>
    </row>
    <row r="850" spans="2:4" ht="30">
      <c r="B850" s="335"/>
      <c r="C850" s="338"/>
      <c r="D850" s="169" t="s">
        <v>900</v>
      </c>
    </row>
    <row r="851" spans="2:4" ht="31" thickBot="1">
      <c r="B851" s="336"/>
      <c r="C851" s="339"/>
      <c r="D851" s="168" t="s">
        <v>901</v>
      </c>
    </row>
    <row r="852" spans="2:4" ht="15" thickBot="1">
      <c r="B852" s="174" t="s">
        <v>228</v>
      </c>
      <c r="C852" s="175">
        <v>6</v>
      </c>
      <c r="D852" s="168"/>
    </row>
    <row r="853" spans="2:4" ht="15" thickBot="1">
      <c r="B853" s="174" t="s">
        <v>228</v>
      </c>
      <c r="C853" s="175">
        <v>7</v>
      </c>
      <c r="D853" s="168"/>
    </row>
    <row r="854" spans="2:4" ht="15" thickBot="1">
      <c r="B854" s="319" t="s">
        <v>238</v>
      </c>
      <c r="C854" s="320"/>
      <c r="D854" s="321"/>
    </row>
    <row r="855" spans="2:4" ht="15" thickBot="1">
      <c r="B855" s="319" t="s">
        <v>238</v>
      </c>
      <c r="C855" s="320"/>
      <c r="D855" s="321"/>
    </row>
    <row r="856" spans="2:4" ht="15" thickBot="1">
      <c r="B856" s="328" t="s">
        <v>902</v>
      </c>
      <c r="C856" s="329"/>
      <c r="D856" s="330"/>
    </row>
    <row r="857" spans="2:4">
      <c r="B857" s="325" t="s">
        <v>903</v>
      </c>
      <c r="C857" s="326"/>
      <c r="D857" s="327"/>
    </row>
    <row r="858" spans="2:4">
      <c r="B858" s="322" t="s">
        <v>904</v>
      </c>
      <c r="C858" s="323"/>
      <c r="D858" s="324"/>
    </row>
    <row r="859" spans="2:4">
      <c r="B859" s="322"/>
      <c r="C859" s="323"/>
      <c r="D859" s="324"/>
    </row>
    <row r="860" spans="2:4" ht="15" thickBot="1">
      <c r="B860" s="316"/>
      <c r="C860" s="317"/>
      <c r="D860" s="318"/>
    </row>
    <row r="861" spans="2:4" ht="15">
      <c r="B861" s="334" t="s">
        <v>228</v>
      </c>
      <c r="C861" s="337">
        <v>1</v>
      </c>
      <c r="D861" s="176" t="s">
        <v>905</v>
      </c>
    </row>
    <row r="862" spans="2:4" ht="15">
      <c r="B862" s="335"/>
      <c r="C862" s="338"/>
      <c r="D862" s="169" t="s">
        <v>906</v>
      </c>
    </row>
    <row r="863" spans="2:4" ht="30">
      <c r="B863" s="335"/>
      <c r="C863" s="338"/>
      <c r="D863" s="169" t="s">
        <v>907</v>
      </c>
    </row>
    <row r="864" spans="2:4" ht="16" thickBot="1">
      <c r="B864" s="336"/>
      <c r="C864" s="339"/>
      <c r="D864" s="168" t="s">
        <v>908</v>
      </c>
    </row>
    <row r="865" spans="2:4" ht="15">
      <c r="B865" s="334" t="s">
        <v>228</v>
      </c>
      <c r="C865" s="337">
        <v>2</v>
      </c>
      <c r="D865" s="169" t="s">
        <v>909</v>
      </c>
    </row>
    <row r="866" spans="2:4" ht="30">
      <c r="B866" s="335"/>
      <c r="C866" s="338"/>
      <c r="D866" s="169" t="s">
        <v>910</v>
      </c>
    </row>
    <row r="867" spans="2:4" ht="30">
      <c r="B867" s="335"/>
      <c r="C867" s="338"/>
      <c r="D867" s="169" t="s">
        <v>911</v>
      </c>
    </row>
    <row r="868" spans="2:4" ht="31" thickBot="1">
      <c r="B868" s="336"/>
      <c r="C868" s="339"/>
      <c r="D868" s="168" t="s">
        <v>912</v>
      </c>
    </row>
    <row r="869" spans="2:4" ht="30">
      <c r="B869" s="334" t="s">
        <v>228</v>
      </c>
      <c r="C869" s="337">
        <v>3</v>
      </c>
      <c r="D869" s="169" t="s">
        <v>913</v>
      </c>
    </row>
    <row r="870" spans="2:4" ht="30">
      <c r="B870" s="335"/>
      <c r="C870" s="338"/>
      <c r="D870" s="169" t="s">
        <v>914</v>
      </c>
    </row>
    <row r="871" spans="2:4" ht="30">
      <c r="B871" s="335"/>
      <c r="C871" s="338"/>
      <c r="D871" s="169" t="s">
        <v>915</v>
      </c>
    </row>
    <row r="872" spans="2:4" ht="31" thickBot="1">
      <c r="B872" s="336"/>
      <c r="C872" s="339"/>
      <c r="D872" s="168" t="s">
        <v>916</v>
      </c>
    </row>
    <row r="873" spans="2:4" ht="30">
      <c r="B873" s="334" t="s">
        <v>228</v>
      </c>
      <c r="C873" s="337">
        <v>4</v>
      </c>
      <c r="D873" s="169" t="s">
        <v>917</v>
      </c>
    </row>
    <row r="874" spans="2:4" ht="45">
      <c r="B874" s="335"/>
      <c r="C874" s="338"/>
      <c r="D874" s="169" t="s">
        <v>918</v>
      </c>
    </row>
    <row r="875" spans="2:4" ht="30">
      <c r="B875" s="335"/>
      <c r="C875" s="338"/>
      <c r="D875" s="169" t="s">
        <v>919</v>
      </c>
    </row>
    <row r="876" spans="2:4" ht="31" thickBot="1">
      <c r="B876" s="336"/>
      <c r="C876" s="339"/>
      <c r="D876" s="168" t="s">
        <v>920</v>
      </c>
    </row>
    <row r="877" spans="2:4" ht="15">
      <c r="B877" s="334" t="s">
        <v>228</v>
      </c>
      <c r="C877" s="337">
        <v>5</v>
      </c>
      <c r="D877" s="169" t="s">
        <v>921</v>
      </c>
    </row>
    <row r="878" spans="2:4" ht="30">
      <c r="B878" s="335"/>
      <c r="C878" s="338"/>
      <c r="D878" s="169" t="s">
        <v>922</v>
      </c>
    </row>
    <row r="879" spans="2:4" ht="15">
      <c r="B879" s="335"/>
      <c r="C879" s="338"/>
      <c r="D879" s="169" t="s">
        <v>923</v>
      </c>
    </row>
    <row r="880" spans="2:4" ht="61" thickBot="1">
      <c r="B880" s="336"/>
      <c r="C880" s="339"/>
      <c r="D880" s="168" t="s">
        <v>924</v>
      </c>
    </row>
    <row r="881" spans="2:4" ht="15" thickBot="1">
      <c r="B881" s="174" t="s">
        <v>228</v>
      </c>
      <c r="C881" s="175">
        <v>6</v>
      </c>
      <c r="D881" s="168"/>
    </row>
    <row r="882" spans="2:4" ht="15" thickBot="1">
      <c r="B882" s="174" t="s">
        <v>228</v>
      </c>
      <c r="C882" s="175">
        <v>7</v>
      </c>
      <c r="D882" s="168"/>
    </row>
    <row r="883" spans="2:4" ht="15" thickBot="1">
      <c r="B883" s="319" t="s">
        <v>238</v>
      </c>
      <c r="C883" s="320"/>
      <c r="D883" s="321"/>
    </row>
    <row r="884" spans="2:4">
      <c r="B884" s="325" t="s">
        <v>925</v>
      </c>
      <c r="C884" s="326"/>
      <c r="D884" s="327"/>
    </row>
    <row r="885" spans="2:4">
      <c r="B885" s="322" t="s">
        <v>926</v>
      </c>
      <c r="C885" s="323"/>
      <c r="D885" s="324"/>
    </row>
    <row r="886" spans="2:4" ht="15" thickBot="1">
      <c r="B886" s="316"/>
      <c r="C886" s="317"/>
      <c r="D886" s="318"/>
    </row>
    <row r="887" spans="2:4" ht="15" thickBot="1">
      <c r="B887" s="171" t="s">
        <v>228</v>
      </c>
      <c r="C887" s="172">
        <v>1</v>
      </c>
      <c r="D887" s="173"/>
    </row>
    <row r="888" spans="2:4" ht="15">
      <c r="B888" s="334" t="s">
        <v>228</v>
      </c>
      <c r="C888" s="337">
        <v>2</v>
      </c>
      <c r="D888" s="169" t="s">
        <v>927</v>
      </c>
    </row>
    <row r="889" spans="2:4" ht="16" thickBot="1">
      <c r="B889" s="336"/>
      <c r="C889" s="339"/>
      <c r="D889" s="168" t="s">
        <v>928</v>
      </c>
    </row>
    <row r="890" spans="2:4" ht="15">
      <c r="B890" s="334" t="s">
        <v>228</v>
      </c>
      <c r="C890" s="337">
        <v>3</v>
      </c>
      <c r="D890" s="169" t="s">
        <v>929</v>
      </c>
    </row>
    <row r="891" spans="2:4" ht="30">
      <c r="B891" s="335"/>
      <c r="C891" s="338"/>
      <c r="D891" s="169" t="s">
        <v>930</v>
      </c>
    </row>
    <row r="892" spans="2:4" ht="16" thickBot="1">
      <c r="B892" s="336"/>
      <c r="C892" s="339"/>
      <c r="D892" s="168" t="s">
        <v>931</v>
      </c>
    </row>
    <row r="893" spans="2:4" ht="30">
      <c r="B893" s="334" t="s">
        <v>228</v>
      </c>
      <c r="C893" s="337">
        <v>4</v>
      </c>
      <c r="D893" s="169" t="s">
        <v>932</v>
      </c>
    </row>
    <row r="894" spans="2:4" ht="31" thickBot="1">
      <c r="B894" s="336"/>
      <c r="C894" s="339"/>
      <c r="D894" s="168" t="s">
        <v>933</v>
      </c>
    </row>
    <row r="895" spans="2:4" ht="15">
      <c r="B895" s="334" t="s">
        <v>228</v>
      </c>
      <c r="C895" s="337">
        <v>5</v>
      </c>
      <c r="D895" s="169" t="s">
        <v>934</v>
      </c>
    </row>
    <row r="896" spans="2:4" ht="30">
      <c r="B896" s="335"/>
      <c r="C896" s="338"/>
      <c r="D896" s="169" t="s">
        <v>935</v>
      </c>
    </row>
    <row r="897" spans="2:4" ht="15">
      <c r="B897" s="335"/>
      <c r="C897" s="338"/>
      <c r="D897" s="169" t="s">
        <v>936</v>
      </c>
    </row>
    <row r="898" spans="2:4" ht="31" thickBot="1">
      <c r="B898" s="336"/>
      <c r="C898" s="339"/>
      <c r="D898" s="168" t="s">
        <v>937</v>
      </c>
    </row>
    <row r="899" spans="2:4" ht="15" thickBot="1">
      <c r="B899" s="174" t="s">
        <v>228</v>
      </c>
      <c r="C899" s="175">
        <v>6</v>
      </c>
      <c r="D899" s="168"/>
    </row>
    <row r="900" spans="2:4" ht="15" thickBot="1">
      <c r="B900" s="174" t="s">
        <v>228</v>
      </c>
      <c r="C900" s="175">
        <v>7</v>
      </c>
      <c r="D900" s="168"/>
    </row>
    <row r="901" spans="2:4" ht="15" thickBot="1">
      <c r="B901" s="319" t="s">
        <v>238</v>
      </c>
      <c r="C901" s="320"/>
      <c r="D901" s="321"/>
    </row>
    <row r="902" spans="2:4" ht="15" thickBot="1">
      <c r="B902" s="319"/>
      <c r="C902" s="320"/>
      <c r="D902" s="321"/>
    </row>
  </sheetData>
  <mergeCells count="524">
    <mergeCell ref="B30:B34"/>
    <mergeCell ref="C30:C34"/>
    <mergeCell ref="B35:B38"/>
    <mergeCell ref="C35:C38"/>
    <mergeCell ref="B39:B40"/>
    <mergeCell ref="C39:C40"/>
    <mergeCell ref="B11:B14"/>
    <mergeCell ref="C11:C14"/>
    <mergeCell ref="B15:B18"/>
    <mergeCell ref="C15:C18"/>
    <mergeCell ref="B26:B29"/>
    <mergeCell ref="C26:C29"/>
    <mergeCell ref="B53:B56"/>
    <mergeCell ref="C53:C56"/>
    <mergeCell ref="B57:B59"/>
    <mergeCell ref="C57:C59"/>
    <mergeCell ref="B60:B63"/>
    <mergeCell ref="C60:C63"/>
    <mergeCell ref="B45:B47"/>
    <mergeCell ref="C45:C47"/>
    <mergeCell ref="B48:B49"/>
    <mergeCell ref="C48:C49"/>
    <mergeCell ref="B50:B52"/>
    <mergeCell ref="C50:C52"/>
    <mergeCell ref="B102:B104"/>
    <mergeCell ref="C102:C104"/>
    <mergeCell ref="B105:B108"/>
    <mergeCell ref="C105:C108"/>
    <mergeCell ref="B83:B86"/>
    <mergeCell ref="C83:C86"/>
    <mergeCell ref="B87:B90"/>
    <mergeCell ref="C87:C90"/>
    <mergeCell ref="B91:B94"/>
    <mergeCell ref="C91:C94"/>
    <mergeCell ref="B152:B154"/>
    <mergeCell ref="C152:C154"/>
    <mergeCell ref="B155:B157"/>
    <mergeCell ref="C155:C157"/>
    <mergeCell ref="B158:B161"/>
    <mergeCell ref="C158:C161"/>
    <mergeCell ref="B137:B140"/>
    <mergeCell ref="C137:C140"/>
    <mergeCell ref="B141:B144"/>
    <mergeCell ref="C141:C144"/>
    <mergeCell ref="B150:B151"/>
    <mergeCell ref="C150:C151"/>
    <mergeCell ref="B162:B165"/>
    <mergeCell ref="C162:C165"/>
    <mergeCell ref="B174:B177"/>
    <mergeCell ref="C174:C177"/>
    <mergeCell ref="B178:B181"/>
    <mergeCell ref="C178:C181"/>
    <mergeCell ref="B167:D167"/>
    <mergeCell ref="B168:D168"/>
    <mergeCell ref="B169:D169"/>
    <mergeCell ref="B170:D170"/>
    <mergeCell ref="B211:B214"/>
    <mergeCell ref="C211:C214"/>
    <mergeCell ref="B182:B185"/>
    <mergeCell ref="C182:C185"/>
    <mergeCell ref="B195:B198"/>
    <mergeCell ref="C195:C198"/>
    <mergeCell ref="B199:B202"/>
    <mergeCell ref="C199:C202"/>
    <mergeCell ref="B192:D192"/>
    <mergeCell ref="B193:D193"/>
    <mergeCell ref="B250:B252"/>
    <mergeCell ref="C250:C252"/>
    <mergeCell ref="B253:B255"/>
    <mergeCell ref="C253:C255"/>
    <mergeCell ref="B256:B259"/>
    <mergeCell ref="C256:C259"/>
    <mergeCell ref="B232:B235"/>
    <mergeCell ref="C232:C235"/>
    <mergeCell ref="B236:B239"/>
    <mergeCell ref="C236:C239"/>
    <mergeCell ref="B240:B243"/>
    <mergeCell ref="C240:C243"/>
    <mergeCell ref="B260:B263"/>
    <mergeCell ref="C260:C263"/>
    <mergeCell ref="B264:B267"/>
    <mergeCell ref="C264:C267"/>
    <mergeCell ref="B273:B276"/>
    <mergeCell ref="C273:C276"/>
    <mergeCell ref="B269:D269"/>
    <mergeCell ref="B270:D270"/>
    <mergeCell ref="B271:D271"/>
    <mergeCell ref="B272:D272"/>
    <mergeCell ref="B289:B292"/>
    <mergeCell ref="C289:C292"/>
    <mergeCell ref="B293:B296"/>
    <mergeCell ref="C293:C296"/>
    <mergeCell ref="B303:B304"/>
    <mergeCell ref="C303:C304"/>
    <mergeCell ref="B298:D298"/>
    <mergeCell ref="B277:B280"/>
    <mergeCell ref="C277:C280"/>
    <mergeCell ref="B281:B284"/>
    <mergeCell ref="C281:C284"/>
    <mergeCell ref="B285:B288"/>
    <mergeCell ref="C285:C288"/>
    <mergeCell ref="B349:B352"/>
    <mergeCell ref="C349:C352"/>
    <mergeCell ref="B340:D340"/>
    <mergeCell ref="B316:B319"/>
    <mergeCell ref="C316:C319"/>
    <mergeCell ref="B326:B328"/>
    <mergeCell ref="C326:C328"/>
    <mergeCell ref="B329:B330"/>
    <mergeCell ref="C329:C330"/>
    <mergeCell ref="B322:D322"/>
    <mergeCell ref="B323:D323"/>
    <mergeCell ref="B324:D324"/>
    <mergeCell ref="B370:B372"/>
    <mergeCell ref="C370:C372"/>
    <mergeCell ref="B373:B376"/>
    <mergeCell ref="C373:C376"/>
    <mergeCell ref="B377:B380"/>
    <mergeCell ref="C377:C380"/>
    <mergeCell ref="B353:B356"/>
    <mergeCell ref="C353:C356"/>
    <mergeCell ref="B357:B360"/>
    <mergeCell ref="C357:C360"/>
    <mergeCell ref="B361:B364"/>
    <mergeCell ref="C361:C364"/>
    <mergeCell ref="B402:B405"/>
    <mergeCell ref="C402:C405"/>
    <mergeCell ref="B406:B409"/>
    <mergeCell ref="C406:C409"/>
    <mergeCell ref="B417:B420"/>
    <mergeCell ref="C417:C420"/>
    <mergeCell ref="B410:D410"/>
    <mergeCell ref="B381:B384"/>
    <mergeCell ref="C381:C384"/>
    <mergeCell ref="B385:B388"/>
    <mergeCell ref="C385:C388"/>
    <mergeCell ref="B398:B401"/>
    <mergeCell ref="C398:C401"/>
    <mergeCell ref="B391:D391"/>
    <mergeCell ref="B392:D392"/>
    <mergeCell ref="B393:D393"/>
    <mergeCell ref="B443:B446"/>
    <mergeCell ref="C443:C446"/>
    <mergeCell ref="B447:B450"/>
    <mergeCell ref="C447:C450"/>
    <mergeCell ref="B421:B424"/>
    <mergeCell ref="C421:C424"/>
    <mergeCell ref="B425:B428"/>
    <mergeCell ref="C425:C428"/>
    <mergeCell ref="B435:B438"/>
    <mergeCell ref="C435:C438"/>
    <mergeCell ref="B431:D431"/>
    <mergeCell ref="B432:D432"/>
    <mergeCell ref="B433:D433"/>
    <mergeCell ref="B489:B490"/>
    <mergeCell ref="C489:C490"/>
    <mergeCell ref="B491:B493"/>
    <mergeCell ref="C491:C493"/>
    <mergeCell ref="B485:D485"/>
    <mergeCell ref="B486:D486"/>
    <mergeCell ref="B487:D487"/>
    <mergeCell ref="B469:B471"/>
    <mergeCell ref="C469:C471"/>
    <mergeCell ref="B472:B475"/>
    <mergeCell ref="C472:C475"/>
    <mergeCell ref="B476:B479"/>
    <mergeCell ref="C476:C479"/>
    <mergeCell ref="B512:B515"/>
    <mergeCell ref="C512:C515"/>
    <mergeCell ref="B516:B518"/>
    <mergeCell ref="C516:C518"/>
    <mergeCell ref="B519:B522"/>
    <mergeCell ref="C519:C522"/>
    <mergeCell ref="B494:B496"/>
    <mergeCell ref="C494:C496"/>
    <mergeCell ref="B497:B500"/>
    <mergeCell ref="C497:C500"/>
    <mergeCell ref="B508:B511"/>
    <mergeCell ref="C508:C511"/>
    <mergeCell ref="B503:D503"/>
    <mergeCell ref="B568:B571"/>
    <mergeCell ref="C568:C571"/>
    <mergeCell ref="B572:B575"/>
    <mergeCell ref="C572:C575"/>
    <mergeCell ref="B583:B585"/>
    <mergeCell ref="C583:C585"/>
    <mergeCell ref="B559:B560"/>
    <mergeCell ref="C559:C560"/>
    <mergeCell ref="B561:B563"/>
    <mergeCell ref="C561:C563"/>
    <mergeCell ref="B564:B567"/>
    <mergeCell ref="C564:C567"/>
    <mergeCell ref="B606:B609"/>
    <mergeCell ref="C606:C609"/>
    <mergeCell ref="B610:B613"/>
    <mergeCell ref="C610:C613"/>
    <mergeCell ref="B600:D600"/>
    <mergeCell ref="B601:D601"/>
    <mergeCell ref="B602:D602"/>
    <mergeCell ref="B603:D603"/>
    <mergeCell ref="B586:B587"/>
    <mergeCell ref="C586:C587"/>
    <mergeCell ref="B588:B591"/>
    <mergeCell ref="C588:C591"/>
    <mergeCell ref="B592:B595"/>
    <mergeCell ref="C592:C595"/>
    <mergeCell ref="B658:B661"/>
    <mergeCell ref="C658:C661"/>
    <mergeCell ref="B662:B665"/>
    <mergeCell ref="C662:C665"/>
    <mergeCell ref="B676:B679"/>
    <mergeCell ref="C676:C679"/>
    <mergeCell ref="B668:D668"/>
    <mergeCell ref="B641:B644"/>
    <mergeCell ref="C641:C644"/>
    <mergeCell ref="B651:B653"/>
    <mergeCell ref="C651:C653"/>
    <mergeCell ref="B654:B657"/>
    <mergeCell ref="C654:C657"/>
    <mergeCell ref="B647:D647"/>
    <mergeCell ref="B648:D648"/>
    <mergeCell ref="B649:D649"/>
    <mergeCell ref="B701:B703"/>
    <mergeCell ref="C701:C703"/>
    <mergeCell ref="B704:B706"/>
    <mergeCell ref="C704:C706"/>
    <mergeCell ref="B696:D696"/>
    <mergeCell ref="B697:D697"/>
    <mergeCell ref="B698:D698"/>
    <mergeCell ref="B699:D699"/>
    <mergeCell ref="B680:B683"/>
    <mergeCell ref="C680:C683"/>
    <mergeCell ref="B684:B687"/>
    <mergeCell ref="C684:C687"/>
    <mergeCell ref="B688:B691"/>
    <mergeCell ref="C688:C691"/>
    <mergeCell ref="B754:B757"/>
    <mergeCell ref="C754:C757"/>
    <mergeCell ref="B758:B761"/>
    <mergeCell ref="C758:C761"/>
    <mergeCell ref="B768:B770"/>
    <mergeCell ref="C768:C770"/>
    <mergeCell ref="B763:D763"/>
    <mergeCell ref="B735:B738"/>
    <mergeCell ref="C735:C738"/>
    <mergeCell ref="B739:B741"/>
    <mergeCell ref="C739:C741"/>
    <mergeCell ref="B750:B753"/>
    <mergeCell ref="C750:C753"/>
    <mergeCell ref="B744:D744"/>
    <mergeCell ref="B745:D745"/>
    <mergeCell ref="B746:D746"/>
    <mergeCell ref="B814:B817"/>
    <mergeCell ref="C814:C817"/>
    <mergeCell ref="B818:B821"/>
    <mergeCell ref="C818:C821"/>
    <mergeCell ref="B807:D807"/>
    <mergeCell ref="B783:B786"/>
    <mergeCell ref="C783:C786"/>
    <mergeCell ref="B796:B799"/>
    <mergeCell ref="C796:C799"/>
    <mergeCell ref="B800:B803"/>
    <mergeCell ref="C800:C803"/>
    <mergeCell ref="B789:D789"/>
    <mergeCell ref="B790:D790"/>
    <mergeCell ref="B791:D791"/>
    <mergeCell ref="B858:D858"/>
    <mergeCell ref="B840:B842"/>
    <mergeCell ref="C840:C842"/>
    <mergeCell ref="B843:B844"/>
    <mergeCell ref="C843:C844"/>
    <mergeCell ref="B845:B848"/>
    <mergeCell ref="C845:C848"/>
    <mergeCell ref="B822:B825"/>
    <mergeCell ref="C822:C825"/>
    <mergeCell ref="B826:B829"/>
    <mergeCell ref="C826:C829"/>
    <mergeCell ref="B830:B833"/>
    <mergeCell ref="C830:C833"/>
    <mergeCell ref="B20:D20"/>
    <mergeCell ref="B21:D21"/>
    <mergeCell ref="B22:D22"/>
    <mergeCell ref="B41:D41"/>
    <mergeCell ref="B895:B898"/>
    <mergeCell ref="C895:C898"/>
    <mergeCell ref="B1:D1"/>
    <mergeCell ref="B2:D2"/>
    <mergeCell ref="B3:D3"/>
    <mergeCell ref="B4:D4"/>
    <mergeCell ref="B5:D5"/>
    <mergeCell ref="B19:D19"/>
    <mergeCell ref="B42:D42"/>
    <mergeCell ref="B43:D43"/>
    <mergeCell ref="B888:B889"/>
    <mergeCell ref="C888:C889"/>
    <mergeCell ref="B890:B892"/>
    <mergeCell ref="C890:C892"/>
    <mergeCell ref="B893:B894"/>
    <mergeCell ref="C893:C894"/>
    <mergeCell ref="B869:B872"/>
    <mergeCell ref="C869:C872"/>
    <mergeCell ref="B873:B876"/>
    <mergeCell ref="C873:C876"/>
    <mergeCell ref="B70:D70"/>
    <mergeCell ref="B71:D71"/>
    <mergeCell ref="B72:D72"/>
    <mergeCell ref="B95:D95"/>
    <mergeCell ref="B96:D96"/>
    <mergeCell ref="B64:D64"/>
    <mergeCell ref="B65:D65"/>
    <mergeCell ref="B66:D66"/>
    <mergeCell ref="B67:D67"/>
    <mergeCell ref="B68:D68"/>
    <mergeCell ref="B69:D69"/>
    <mergeCell ref="B74:B75"/>
    <mergeCell ref="C74:C75"/>
    <mergeCell ref="B76:B78"/>
    <mergeCell ref="C76:C78"/>
    <mergeCell ref="B79:B82"/>
    <mergeCell ref="C79:C82"/>
    <mergeCell ref="B124:D124"/>
    <mergeCell ref="B125:D125"/>
    <mergeCell ref="B146:D146"/>
    <mergeCell ref="B147:D147"/>
    <mergeCell ref="B148:D148"/>
    <mergeCell ref="B97:D97"/>
    <mergeCell ref="B98:D98"/>
    <mergeCell ref="B121:D121"/>
    <mergeCell ref="B122:D122"/>
    <mergeCell ref="B123:D123"/>
    <mergeCell ref="B127:B129"/>
    <mergeCell ref="C127:C129"/>
    <mergeCell ref="B130:B132"/>
    <mergeCell ref="C130:C132"/>
    <mergeCell ref="B133:B136"/>
    <mergeCell ref="C133:C136"/>
    <mergeCell ref="B109:B112"/>
    <mergeCell ref="C109:C112"/>
    <mergeCell ref="B113:B116"/>
    <mergeCell ref="C113:C116"/>
    <mergeCell ref="B117:B120"/>
    <mergeCell ref="C117:C120"/>
    <mergeCell ref="B100:B101"/>
    <mergeCell ref="C100:C101"/>
    <mergeCell ref="B223:D223"/>
    <mergeCell ref="B245:D245"/>
    <mergeCell ref="B246:D246"/>
    <mergeCell ref="B247:D247"/>
    <mergeCell ref="B248:D248"/>
    <mergeCell ref="B171:D171"/>
    <mergeCell ref="B188:D188"/>
    <mergeCell ref="B189:D189"/>
    <mergeCell ref="B190:D190"/>
    <mergeCell ref="B191:D191"/>
    <mergeCell ref="B215:B218"/>
    <mergeCell ref="C215:C218"/>
    <mergeCell ref="B225:B227"/>
    <mergeCell ref="C225:C227"/>
    <mergeCell ref="B228:B231"/>
    <mergeCell ref="C228:C231"/>
    <mergeCell ref="B219:D219"/>
    <mergeCell ref="B220:D220"/>
    <mergeCell ref="B221:D221"/>
    <mergeCell ref="B222:D222"/>
    <mergeCell ref="B203:B206"/>
    <mergeCell ref="C203:C206"/>
    <mergeCell ref="B207:B210"/>
    <mergeCell ref="C207:C210"/>
    <mergeCell ref="B341:D341"/>
    <mergeCell ref="B342:D342"/>
    <mergeCell ref="B343:D343"/>
    <mergeCell ref="B344:D344"/>
    <mergeCell ref="B345:D345"/>
    <mergeCell ref="B299:D299"/>
    <mergeCell ref="B300:D300"/>
    <mergeCell ref="B301:D301"/>
    <mergeCell ref="B321:D321"/>
    <mergeCell ref="B331:B333"/>
    <mergeCell ref="C331:C333"/>
    <mergeCell ref="B334:B337"/>
    <mergeCell ref="C334:C337"/>
    <mergeCell ref="B305:B307"/>
    <mergeCell ref="C305:C307"/>
    <mergeCell ref="B308:B311"/>
    <mergeCell ref="C308:C311"/>
    <mergeCell ref="B312:B315"/>
    <mergeCell ref="C312:C315"/>
    <mergeCell ref="B457:D457"/>
    <mergeCell ref="B458:D458"/>
    <mergeCell ref="B459:D459"/>
    <mergeCell ref="B484:D484"/>
    <mergeCell ref="B411:D411"/>
    <mergeCell ref="B412:D412"/>
    <mergeCell ref="B413:D413"/>
    <mergeCell ref="B430:D430"/>
    <mergeCell ref="B365:D365"/>
    <mergeCell ref="B366:D366"/>
    <mergeCell ref="B367:D367"/>
    <mergeCell ref="B368:D368"/>
    <mergeCell ref="B390:D390"/>
    <mergeCell ref="B480:B483"/>
    <mergeCell ref="C480:C483"/>
    <mergeCell ref="B451:B454"/>
    <mergeCell ref="C451:C454"/>
    <mergeCell ref="B461:B464"/>
    <mergeCell ref="C461:C464"/>
    <mergeCell ref="B465:B468"/>
    <mergeCell ref="C465:C468"/>
    <mergeCell ref="B456:D456"/>
    <mergeCell ref="B439:B442"/>
    <mergeCell ref="C439:C442"/>
    <mergeCell ref="B553:D553"/>
    <mergeCell ref="B554:D554"/>
    <mergeCell ref="B555:D555"/>
    <mergeCell ref="B556:D556"/>
    <mergeCell ref="B557:D557"/>
    <mergeCell ref="B504:D504"/>
    <mergeCell ref="B505:D505"/>
    <mergeCell ref="B506:D506"/>
    <mergeCell ref="B527:D527"/>
    <mergeCell ref="B540:B543"/>
    <mergeCell ref="C540:C543"/>
    <mergeCell ref="B544:B547"/>
    <mergeCell ref="C544:C547"/>
    <mergeCell ref="B548:B551"/>
    <mergeCell ref="C548:C551"/>
    <mergeCell ref="B523:B525"/>
    <mergeCell ref="C523:C525"/>
    <mergeCell ref="B532:B535"/>
    <mergeCell ref="C532:C535"/>
    <mergeCell ref="B536:B539"/>
    <mergeCell ref="C536:C539"/>
    <mergeCell ref="B528:D528"/>
    <mergeCell ref="B529:D529"/>
    <mergeCell ref="B530:D530"/>
    <mergeCell ref="B621:D621"/>
    <mergeCell ref="B622:D622"/>
    <mergeCell ref="B623:D623"/>
    <mergeCell ref="B646:D646"/>
    <mergeCell ref="B558:D558"/>
    <mergeCell ref="B578:D578"/>
    <mergeCell ref="B579:D579"/>
    <mergeCell ref="B580:D580"/>
    <mergeCell ref="B581:D581"/>
    <mergeCell ref="B629:B632"/>
    <mergeCell ref="C629:C632"/>
    <mergeCell ref="B633:B636"/>
    <mergeCell ref="C633:C636"/>
    <mergeCell ref="B637:B640"/>
    <mergeCell ref="C637:C640"/>
    <mergeCell ref="B614:B616"/>
    <mergeCell ref="C614:C616"/>
    <mergeCell ref="B617:B618"/>
    <mergeCell ref="C617:C618"/>
    <mergeCell ref="B625:B628"/>
    <mergeCell ref="C625:C628"/>
    <mergeCell ref="B620:D620"/>
    <mergeCell ref="B596:B598"/>
    <mergeCell ref="C596:C598"/>
    <mergeCell ref="B720:D720"/>
    <mergeCell ref="B721:D721"/>
    <mergeCell ref="B722:D722"/>
    <mergeCell ref="B723:D723"/>
    <mergeCell ref="B743:D743"/>
    <mergeCell ref="B669:D669"/>
    <mergeCell ref="B670:D670"/>
    <mergeCell ref="B671:D671"/>
    <mergeCell ref="B672:D672"/>
    <mergeCell ref="B673:D673"/>
    <mergeCell ref="B725:B727"/>
    <mergeCell ref="C725:C727"/>
    <mergeCell ref="B728:B731"/>
    <mergeCell ref="C728:C731"/>
    <mergeCell ref="B732:B734"/>
    <mergeCell ref="C732:C734"/>
    <mergeCell ref="B707:B710"/>
    <mergeCell ref="C707:C710"/>
    <mergeCell ref="B711:B714"/>
    <mergeCell ref="C711:C714"/>
    <mergeCell ref="B715:B718"/>
    <mergeCell ref="C715:C718"/>
    <mergeCell ref="B692:B695"/>
    <mergeCell ref="C692:C695"/>
    <mergeCell ref="B808:D808"/>
    <mergeCell ref="B809:D809"/>
    <mergeCell ref="B810:D810"/>
    <mergeCell ref="B811:D811"/>
    <mergeCell ref="B812:D812"/>
    <mergeCell ref="B764:D764"/>
    <mergeCell ref="B765:D765"/>
    <mergeCell ref="B766:D766"/>
    <mergeCell ref="B788:D788"/>
    <mergeCell ref="B804:B806"/>
    <mergeCell ref="C804:C806"/>
    <mergeCell ref="B771:B774"/>
    <mergeCell ref="C771:C774"/>
    <mergeCell ref="B775:B778"/>
    <mergeCell ref="C775:C778"/>
    <mergeCell ref="B779:B782"/>
    <mergeCell ref="C779:C782"/>
    <mergeCell ref="B886:D886"/>
    <mergeCell ref="B901:D901"/>
    <mergeCell ref="B902:D902"/>
    <mergeCell ref="B859:D859"/>
    <mergeCell ref="B860:D860"/>
    <mergeCell ref="B883:D883"/>
    <mergeCell ref="B884:D884"/>
    <mergeCell ref="B885:D885"/>
    <mergeCell ref="B835:D835"/>
    <mergeCell ref="B836:D836"/>
    <mergeCell ref="B837:D837"/>
    <mergeCell ref="B838:D838"/>
    <mergeCell ref="B854:D854"/>
    <mergeCell ref="B877:B880"/>
    <mergeCell ref="C877:C880"/>
    <mergeCell ref="B849:B851"/>
    <mergeCell ref="C849:C851"/>
    <mergeCell ref="B861:B864"/>
    <mergeCell ref="C861:C864"/>
    <mergeCell ref="B865:B868"/>
    <mergeCell ref="C865:C868"/>
    <mergeCell ref="B855:D855"/>
    <mergeCell ref="B856:D856"/>
    <mergeCell ref="B857:D85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BBEEE-5DAE-C147-8BAD-23EB4A8AD2CA}">
  <dimension ref="A1:A51"/>
  <sheetViews>
    <sheetView workbookViewId="0">
      <selection activeCell="F52" sqref="F52"/>
    </sheetView>
  </sheetViews>
  <sheetFormatPr baseColWidth="10" defaultRowHeight="15"/>
  <sheetData>
    <row r="1" spans="1:1">
      <c r="A1" t="s">
        <v>226</v>
      </c>
    </row>
    <row r="2" spans="1:1">
      <c r="A2" t="s">
        <v>224</v>
      </c>
    </row>
    <row r="3" spans="1:1">
      <c r="A3" t="s">
        <v>239</v>
      </c>
    </row>
    <row r="4" spans="1:1">
      <c r="A4" t="s">
        <v>253</v>
      </c>
    </row>
    <row r="5" spans="1:1">
      <c r="A5" t="s">
        <v>273</v>
      </c>
    </row>
    <row r="6" spans="1:1">
      <c r="A6" t="s">
        <v>296</v>
      </c>
    </row>
    <row r="7" spans="1:1">
      <c r="A7" t="s">
        <v>319</v>
      </c>
    </row>
    <row r="8" spans="1:1">
      <c r="A8" t="s">
        <v>339</v>
      </c>
    </row>
    <row r="9" spans="1:1">
      <c r="A9" t="s">
        <v>357</v>
      </c>
    </row>
    <row r="11" spans="1:1">
      <c r="A11" t="s">
        <v>371</v>
      </c>
    </row>
    <row r="12" spans="1:1">
      <c r="A12" t="s">
        <v>372</v>
      </c>
    </row>
    <row r="13" spans="1:1">
      <c r="A13" t="s">
        <v>398</v>
      </c>
    </row>
    <row r="14" spans="1:1">
      <c r="A14" t="s">
        <v>420</v>
      </c>
    </row>
    <row r="15" spans="1:1">
      <c r="A15" t="s">
        <v>440</v>
      </c>
    </row>
    <row r="16" spans="1:1">
      <c r="A16" t="s">
        <v>466</v>
      </c>
    </row>
    <row r="17" spans="1:1">
      <c r="A17" t="s">
        <v>485</v>
      </c>
    </row>
    <row r="19" spans="1:1">
      <c r="A19" t="s">
        <v>499</v>
      </c>
    </row>
    <row r="20" spans="1:1">
      <c r="A20" t="s">
        <v>58</v>
      </c>
    </row>
    <row r="21" spans="1:1">
      <c r="A21" t="s">
        <v>517</v>
      </c>
    </row>
    <row r="22" spans="1:1">
      <c r="A22" t="s">
        <v>538</v>
      </c>
    </row>
    <row r="23" spans="1:1">
      <c r="A23" t="s">
        <v>552</v>
      </c>
    </row>
    <row r="24" spans="1:1">
      <c r="A24" t="s">
        <v>566</v>
      </c>
    </row>
    <row r="25" spans="1:1">
      <c r="A25" t="s">
        <v>588</v>
      </c>
    </row>
    <row r="26" spans="1:1">
      <c r="A26" t="s">
        <v>613</v>
      </c>
    </row>
    <row r="27" spans="1:1">
      <c r="A27" t="s">
        <v>939</v>
      </c>
    </row>
    <row r="28" spans="1:1">
      <c r="A28" t="s">
        <v>646</v>
      </c>
    </row>
    <row r="30" spans="1:1">
      <c r="A30" t="s">
        <v>668</v>
      </c>
    </row>
    <row r="31" spans="1:1">
      <c r="A31" t="s">
        <v>669</v>
      </c>
    </row>
    <row r="32" spans="1:1">
      <c r="A32" t="s">
        <v>688</v>
      </c>
    </row>
    <row r="33" spans="1:1">
      <c r="A33" t="s">
        <v>706</v>
      </c>
    </row>
    <row r="34" spans="1:1">
      <c r="A34" t="s">
        <v>721</v>
      </c>
    </row>
    <row r="35" spans="1:1">
      <c r="A35" t="s">
        <v>743</v>
      </c>
    </row>
    <row r="37" spans="1:1">
      <c r="A37" t="s">
        <v>760</v>
      </c>
    </row>
    <row r="38" spans="1:1">
      <c r="A38" t="s">
        <v>761</v>
      </c>
    </row>
    <row r="39" spans="1:1">
      <c r="A39" t="s">
        <v>783</v>
      </c>
    </row>
    <row r="40" spans="1:1">
      <c r="A40" t="s">
        <v>803</v>
      </c>
    </row>
    <row r="41" spans="1:1">
      <c r="A41" t="s">
        <v>821</v>
      </c>
    </row>
    <row r="42" spans="1:1">
      <c r="A42" t="s">
        <v>835</v>
      </c>
    </row>
    <row r="43" spans="1:1">
      <c r="A43" t="s">
        <v>854</v>
      </c>
    </row>
    <row r="45" spans="1:1">
      <c r="A45" t="s">
        <v>867</v>
      </c>
    </row>
    <row r="46" spans="1:1">
      <c r="A46" t="s">
        <v>868</v>
      </c>
    </row>
    <row r="47" spans="1:1">
      <c r="A47" t="s">
        <v>890</v>
      </c>
    </row>
    <row r="49" spans="1:1">
      <c r="A49" t="s">
        <v>902</v>
      </c>
    </row>
    <row r="50" spans="1:1">
      <c r="A50" t="s">
        <v>903</v>
      </c>
    </row>
    <row r="51" spans="1:1">
      <c r="A51" t="s">
        <v>925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2FCB84-3AB6-1C48-BF05-A051A16DEE73}">
  <dimension ref="B1:AR57"/>
  <sheetViews>
    <sheetView tabSelected="1" zoomScale="170" workbookViewId="0">
      <pane xSplit="3" ySplit="3" topLeftCell="X4" activePane="bottomRight" state="frozen"/>
      <selection pane="topRight" activeCell="D1" sqref="D1"/>
      <selection pane="bottomLeft" activeCell="A4" sqref="A4"/>
      <selection pane="bottomRight" activeCell="A16" sqref="A16:XFD18"/>
    </sheetView>
  </sheetViews>
  <sheetFormatPr baseColWidth="10" defaultRowHeight="14"/>
  <cols>
    <col min="1" max="1" width="2.83203125" style="178" customWidth="1"/>
    <col min="2" max="2" width="4" style="178" customWidth="1"/>
    <col min="3" max="3" width="26.5" style="178" customWidth="1"/>
    <col min="4" max="41" width="6" style="178" customWidth="1"/>
    <col min="42" max="42" width="10.83203125" style="178" customWidth="1"/>
    <col min="43" max="43" width="12.33203125" style="178" customWidth="1"/>
    <col min="44" max="44" width="0.33203125" style="178" customWidth="1"/>
    <col min="45" max="16384" width="10.83203125" style="178"/>
  </cols>
  <sheetData>
    <row r="1" spans="2:44" ht="15" thickBot="1"/>
    <row r="2" spans="2:44" s="191" customFormat="1" ht="144" thickBot="1">
      <c r="B2" s="213"/>
      <c r="C2" s="218"/>
      <c r="D2" s="217" t="s">
        <v>224</v>
      </c>
      <c r="E2" s="186" t="s">
        <v>239</v>
      </c>
      <c r="F2" s="186" t="s">
        <v>253</v>
      </c>
      <c r="G2" s="186" t="s">
        <v>273</v>
      </c>
      <c r="H2" s="186" t="s">
        <v>296</v>
      </c>
      <c r="I2" s="186" t="s">
        <v>319</v>
      </c>
      <c r="J2" s="186" t="s">
        <v>339</v>
      </c>
      <c r="K2" s="187" t="s">
        <v>357</v>
      </c>
      <c r="L2" s="188" t="s">
        <v>372</v>
      </c>
      <c r="M2" s="189" t="s">
        <v>398</v>
      </c>
      <c r="N2" s="189" t="s">
        <v>420</v>
      </c>
      <c r="O2" s="189" t="s">
        <v>440</v>
      </c>
      <c r="P2" s="189" t="s">
        <v>466</v>
      </c>
      <c r="Q2" s="190" t="s">
        <v>485</v>
      </c>
      <c r="R2" s="193" t="s">
        <v>58</v>
      </c>
      <c r="S2" s="194" t="s">
        <v>517</v>
      </c>
      <c r="T2" s="194" t="s">
        <v>538</v>
      </c>
      <c r="U2" s="194" t="s">
        <v>552</v>
      </c>
      <c r="V2" s="194" t="s">
        <v>566</v>
      </c>
      <c r="W2" s="194" t="s">
        <v>588</v>
      </c>
      <c r="X2" s="194" t="s">
        <v>613</v>
      </c>
      <c r="Y2" s="194" t="s">
        <v>939</v>
      </c>
      <c r="Z2" s="195" t="s">
        <v>646</v>
      </c>
      <c r="AA2" s="196" t="s">
        <v>669</v>
      </c>
      <c r="AB2" s="197" t="s">
        <v>688</v>
      </c>
      <c r="AC2" s="197" t="s">
        <v>706</v>
      </c>
      <c r="AD2" s="197" t="s">
        <v>721</v>
      </c>
      <c r="AE2" s="198" t="s">
        <v>743</v>
      </c>
      <c r="AF2" s="199" t="s">
        <v>761</v>
      </c>
      <c r="AG2" s="200" t="s">
        <v>783</v>
      </c>
      <c r="AH2" s="200" t="s">
        <v>803</v>
      </c>
      <c r="AI2" s="200" t="s">
        <v>821</v>
      </c>
      <c r="AJ2" s="200" t="s">
        <v>835</v>
      </c>
      <c r="AK2" s="201" t="s">
        <v>854</v>
      </c>
      <c r="AL2" s="202" t="s">
        <v>868</v>
      </c>
      <c r="AM2" s="203" t="s">
        <v>890</v>
      </c>
      <c r="AN2" s="204" t="s">
        <v>903</v>
      </c>
      <c r="AO2" s="205" t="s">
        <v>925</v>
      </c>
      <c r="AP2" s="206"/>
      <c r="AQ2" s="207"/>
      <c r="AR2" s="207"/>
    </row>
    <row r="3" spans="2:44" s="192" customFormat="1" ht="28" customHeight="1" thickBot="1">
      <c r="B3" s="353" t="s">
        <v>946</v>
      </c>
      <c r="C3" s="354"/>
      <c r="D3" s="357" t="s">
        <v>226</v>
      </c>
      <c r="E3" s="357"/>
      <c r="F3" s="357"/>
      <c r="G3" s="357"/>
      <c r="H3" s="357"/>
      <c r="I3" s="357"/>
      <c r="J3" s="357"/>
      <c r="K3" s="358"/>
      <c r="L3" s="359" t="s">
        <v>371</v>
      </c>
      <c r="M3" s="360"/>
      <c r="N3" s="360"/>
      <c r="O3" s="360"/>
      <c r="P3" s="360"/>
      <c r="Q3" s="361"/>
      <c r="R3" s="362" t="s">
        <v>499</v>
      </c>
      <c r="S3" s="363"/>
      <c r="T3" s="363"/>
      <c r="U3" s="363"/>
      <c r="V3" s="363"/>
      <c r="W3" s="363"/>
      <c r="X3" s="363"/>
      <c r="Y3" s="363"/>
      <c r="Z3" s="364"/>
      <c r="AA3" s="365" t="s">
        <v>668</v>
      </c>
      <c r="AB3" s="366"/>
      <c r="AC3" s="366"/>
      <c r="AD3" s="366"/>
      <c r="AE3" s="367"/>
      <c r="AF3" s="368" t="s">
        <v>760</v>
      </c>
      <c r="AG3" s="369"/>
      <c r="AH3" s="369"/>
      <c r="AI3" s="369"/>
      <c r="AJ3" s="369"/>
      <c r="AK3" s="370"/>
      <c r="AL3" s="349" t="s">
        <v>867</v>
      </c>
      <c r="AM3" s="350"/>
      <c r="AN3" s="351" t="s">
        <v>902</v>
      </c>
      <c r="AO3" s="352"/>
      <c r="AP3" s="355" t="s">
        <v>979</v>
      </c>
      <c r="AQ3" s="356"/>
      <c r="AR3" s="255"/>
    </row>
    <row r="4" spans="2:44" ht="15" thickBot="1">
      <c r="B4" s="221"/>
      <c r="C4" s="222"/>
      <c r="D4" s="223"/>
      <c r="E4" s="224"/>
      <c r="F4" s="224"/>
      <c r="G4" s="224"/>
      <c r="H4" s="224"/>
      <c r="I4" s="224"/>
      <c r="J4" s="224"/>
      <c r="K4" s="225"/>
      <c r="L4" s="226"/>
      <c r="M4" s="224"/>
      <c r="N4" s="224"/>
      <c r="O4" s="224"/>
      <c r="P4" s="224"/>
      <c r="Q4" s="225"/>
      <c r="R4" s="226"/>
      <c r="S4" s="224"/>
      <c r="T4" s="224"/>
      <c r="U4" s="224"/>
      <c r="V4" s="224"/>
      <c r="W4" s="224"/>
      <c r="X4" s="224"/>
      <c r="Y4" s="224"/>
      <c r="Z4" s="225"/>
      <c r="AA4" s="226"/>
      <c r="AB4" s="224"/>
      <c r="AC4" s="224"/>
      <c r="AD4" s="224"/>
      <c r="AE4" s="225"/>
      <c r="AF4" s="226"/>
      <c r="AG4" s="224"/>
      <c r="AH4" s="224"/>
      <c r="AI4" s="224"/>
      <c r="AJ4" s="224"/>
      <c r="AK4" s="225"/>
      <c r="AL4" s="226"/>
      <c r="AM4" s="225"/>
      <c r="AN4" s="226"/>
      <c r="AO4" s="225"/>
      <c r="AP4" s="179"/>
      <c r="AQ4" s="177"/>
      <c r="AR4" s="256"/>
    </row>
    <row r="5" spans="2:44" ht="15" thickBot="1">
      <c r="B5" s="227" t="s">
        <v>940</v>
      </c>
      <c r="C5" s="228"/>
      <c r="D5" s="229">
        <v>7</v>
      </c>
      <c r="E5" s="230">
        <v>6</v>
      </c>
      <c r="F5" s="230">
        <v>6</v>
      </c>
      <c r="G5" s="230">
        <v>5</v>
      </c>
      <c r="H5" s="230">
        <v>5</v>
      </c>
      <c r="I5" s="230">
        <v>5</v>
      </c>
      <c r="J5" s="230">
        <v>5</v>
      </c>
      <c r="K5" s="231">
        <v>5</v>
      </c>
      <c r="L5" s="232">
        <v>6</v>
      </c>
      <c r="M5" s="230"/>
      <c r="N5" s="230"/>
      <c r="O5" s="230">
        <v>5</v>
      </c>
      <c r="P5" s="230">
        <v>4</v>
      </c>
      <c r="Q5" s="231"/>
      <c r="R5" s="232">
        <v>5</v>
      </c>
      <c r="S5" s="230">
        <v>3</v>
      </c>
      <c r="T5" s="230">
        <v>5</v>
      </c>
      <c r="U5" s="230">
        <v>4</v>
      </c>
      <c r="V5" s="230"/>
      <c r="W5" s="230"/>
      <c r="X5" s="230"/>
      <c r="Y5" s="230"/>
      <c r="Z5" s="231"/>
      <c r="AA5" s="232"/>
      <c r="AB5" s="230"/>
      <c r="AC5" s="230"/>
      <c r="AD5" s="230"/>
      <c r="AE5" s="231"/>
      <c r="AF5" s="232"/>
      <c r="AG5" s="230"/>
      <c r="AH5" s="230"/>
      <c r="AI5" s="230"/>
      <c r="AJ5" s="230"/>
      <c r="AK5" s="231">
        <v>6</v>
      </c>
      <c r="AL5" s="232"/>
      <c r="AM5" s="231"/>
      <c r="AN5" s="232"/>
      <c r="AO5" s="231"/>
      <c r="AP5" s="179">
        <f>COUNTA(D5:AO5)</f>
        <v>16</v>
      </c>
      <c r="AQ5" s="177"/>
      <c r="AR5" s="256"/>
    </row>
    <row r="6" spans="2:44" s="243" customFormat="1" ht="12">
      <c r="B6" s="235"/>
      <c r="C6" s="236" t="s">
        <v>951</v>
      </c>
      <c r="D6" s="258">
        <v>6</v>
      </c>
      <c r="E6" s="263">
        <v>6</v>
      </c>
      <c r="F6" s="263">
        <v>6</v>
      </c>
      <c r="G6" s="263">
        <v>5</v>
      </c>
      <c r="H6" s="263">
        <v>5</v>
      </c>
      <c r="I6" s="263">
        <v>5</v>
      </c>
      <c r="J6" s="263">
        <v>5</v>
      </c>
      <c r="K6" s="264">
        <v>5</v>
      </c>
      <c r="L6" s="265">
        <v>5</v>
      </c>
      <c r="M6" s="238"/>
      <c r="N6" s="238"/>
      <c r="O6" s="263">
        <v>5</v>
      </c>
      <c r="P6" s="259">
        <v>2</v>
      </c>
      <c r="Q6" s="239"/>
      <c r="R6" s="260">
        <v>4</v>
      </c>
      <c r="S6" s="263">
        <v>3</v>
      </c>
      <c r="T6" s="263">
        <v>5</v>
      </c>
      <c r="U6" s="263">
        <v>4</v>
      </c>
      <c r="V6" s="238"/>
      <c r="W6" s="238"/>
      <c r="X6" s="273">
        <v>5</v>
      </c>
      <c r="Y6" s="273">
        <v>5</v>
      </c>
      <c r="Z6" s="239"/>
      <c r="AA6" s="240"/>
      <c r="AB6" s="238"/>
      <c r="AC6" s="238"/>
      <c r="AD6" s="238"/>
      <c r="AE6" s="239"/>
      <c r="AF6" s="275">
        <v>5</v>
      </c>
      <c r="AG6" s="273">
        <v>5</v>
      </c>
      <c r="AH6" s="273">
        <v>5</v>
      </c>
      <c r="AI6" s="238"/>
      <c r="AJ6" s="238"/>
      <c r="AK6" s="261">
        <v>5</v>
      </c>
      <c r="AL6" s="275">
        <v>5</v>
      </c>
      <c r="AM6" s="274">
        <v>5</v>
      </c>
      <c r="AN6" s="240"/>
      <c r="AO6" s="239"/>
      <c r="AP6" s="241">
        <v>12</v>
      </c>
      <c r="AQ6" s="242" t="s">
        <v>976</v>
      </c>
      <c r="AR6" s="257"/>
    </row>
    <row r="7" spans="2:44" s="243" customFormat="1" ht="13" thickBot="1">
      <c r="B7" s="244"/>
      <c r="C7" s="245"/>
      <c r="D7" s="246"/>
      <c r="E7" s="247"/>
      <c r="F7" s="247"/>
      <c r="G7" s="247"/>
      <c r="H7" s="247"/>
      <c r="I7" s="247"/>
      <c r="J7" s="247"/>
      <c r="K7" s="248"/>
      <c r="L7" s="249"/>
      <c r="M7" s="247"/>
      <c r="N7" s="247"/>
      <c r="O7" s="247"/>
      <c r="P7" s="247"/>
      <c r="Q7" s="248"/>
      <c r="R7" s="249"/>
      <c r="S7" s="247"/>
      <c r="T7" s="247"/>
      <c r="U7" s="247"/>
      <c r="V7" s="247"/>
      <c r="W7" s="247"/>
      <c r="X7" s="247"/>
      <c r="Y7" s="247"/>
      <c r="Z7" s="248"/>
      <c r="AA7" s="249"/>
      <c r="AB7" s="247"/>
      <c r="AC7" s="247"/>
      <c r="AD7" s="247"/>
      <c r="AE7" s="248"/>
      <c r="AF7" s="249"/>
      <c r="AG7" s="247"/>
      <c r="AH7" s="247"/>
      <c r="AI7" s="247"/>
      <c r="AJ7" s="247"/>
      <c r="AK7" s="248"/>
      <c r="AL7" s="249"/>
      <c r="AM7" s="248"/>
      <c r="AN7" s="249"/>
      <c r="AO7" s="248"/>
      <c r="AP7" s="241"/>
      <c r="AQ7" s="242"/>
      <c r="AR7" s="257"/>
    </row>
    <row r="8" spans="2:44" ht="15" thickBot="1">
      <c r="B8" s="233" t="s">
        <v>941</v>
      </c>
      <c r="C8" s="234"/>
      <c r="D8" s="229">
        <v>6</v>
      </c>
      <c r="E8" s="230">
        <v>5</v>
      </c>
      <c r="F8" s="230">
        <v>4</v>
      </c>
      <c r="G8" s="230">
        <v>4</v>
      </c>
      <c r="H8" s="230">
        <v>5</v>
      </c>
      <c r="I8" s="230">
        <v>4</v>
      </c>
      <c r="J8" s="230">
        <v>4</v>
      </c>
      <c r="K8" s="231">
        <v>4</v>
      </c>
      <c r="L8" s="232">
        <v>4</v>
      </c>
      <c r="M8" s="230"/>
      <c r="N8" s="230"/>
      <c r="O8" s="230">
        <v>2</v>
      </c>
      <c r="P8" s="230"/>
      <c r="Q8" s="231"/>
      <c r="R8" s="232">
        <v>5</v>
      </c>
      <c r="S8" s="230"/>
      <c r="T8" s="230">
        <v>5</v>
      </c>
      <c r="U8" s="230">
        <v>5</v>
      </c>
      <c r="V8" s="230"/>
      <c r="W8" s="230">
        <v>5</v>
      </c>
      <c r="X8" s="230">
        <v>4</v>
      </c>
      <c r="Y8" s="230">
        <v>5</v>
      </c>
      <c r="Z8" s="231">
        <v>3</v>
      </c>
      <c r="AA8" s="232"/>
      <c r="AB8" s="230"/>
      <c r="AC8" s="230"/>
      <c r="AD8" s="230">
        <v>2</v>
      </c>
      <c r="AE8" s="231"/>
      <c r="AF8" s="232">
        <v>6</v>
      </c>
      <c r="AG8" s="230">
        <v>5</v>
      </c>
      <c r="AH8" s="230">
        <v>6</v>
      </c>
      <c r="AI8" s="230">
        <v>5</v>
      </c>
      <c r="AJ8" s="230"/>
      <c r="AK8" s="231">
        <v>5</v>
      </c>
      <c r="AL8" s="232"/>
      <c r="AM8" s="231">
        <v>4</v>
      </c>
      <c r="AN8" s="232"/>
      <c r="AO8" s="231">
        <v>5</v>
      </c>
      <c r="AP8" s="179">
        <f>COUNTA(D8:AO8)</f>
        <v>25</v>
      </c>
      <c r="AQ8" s="177"/>
      <c r="AR8" s="256"/>
    </row>
    <row r="9" spans="2:44" s="243" customFormat="1" ht="12">
      <c r="B9" s="235"/>
      <c r="C9" s="236" t="s">
        <v>952</v>
      </c>
      <c r="D9" s="262"/>
      <c r="E9" s="259"/>
      <c r="F9" s="259"/>
      <c r="G9" s="259"/>
      <c r="H9" s="259"/>
      <c r="I9" s="259"/>
      <c r="J9" s="259"/>
      <c r="K9" s="261"/>
      <c r="L9" s="260"/>
      <c r="M9" s="238"/>
      <c r="N9" s="238"/>
      <c r="O9" s="259">
        <v>1</v>
      </c>
      <c r="P9" s="238"/>
      <c r="Q9" s="239"/>
      <c r="R9" s="260">
        <v>4</v>
      </c>
      <c r="S9" s="238"/>
      <c r="T9" s="259"/>
      <c r="U9" s="259"/>
      <c r="V9" s="238"/>
      <c r="W9" s="259"/>
      <c r="X9" s="259">
        <v>2</v>
      </c>
      <c r="Y9" s="259">
        <v>2</v>
      </c>
      <c r="Z9" s="261">
        <v>2</v>
      </c>
      <c r="AA9" s="240"/>
      <c r="AB9" s="238"/>
      <c r="AC9" s="238"/>
      <c r="AD9" s="259"/>
      <c r="AE9" s="239"/>
      <c r="AF9" s="260">
        <v>3</v>
      </c>
      <c r="AG9" s="259">
        <v>2</v>
      </c>
      <c r="AH9" s="259">
        <v>2</v>
      </c>
      <c r="AI9" s="259">
        <v>4</v>
      </c>
      <c r="AJ9" s="238">
        <v>2</v>
      </c>
      <c r="AK9" s="239"/>
      <c r="AL9" s="240"/>
      <c r="AM9" s="261">
        <v>2</v>
      </c>
      <c r="AN9" s="240"/>
      <c r="AO9" s="261">
        <v>2</v>
      </c>
      <c r="AP9" s="241"/>
      <c r="AQ9" s="242" t="s">
        <v>977</v>
      </c>
      <c r="AR9" s="257"/>
    </row>
    <row r="10" spans="2:44" s="243" customFormat="1" ht="13" hidden="1" thickBot="1">
      <c r="B10" s="244"/>
      <c r="C10" s="245"/>
      <c r="D10" s="246"/>
      <c r="E10" s="247"/>
      <c r="F10" s="247"/>
      <c r="G10" s="247"/>
      <c r="H10" s="247"/>
      <c r="I10" s="247"/>
      <c r="J10" s="247"/>
      <c r="K10" s="248"/>
      <c r="L10" s="249"/>
      <c r="M10" s="247"/>
      <c r="N10" s="247"/>
      <c r="O10" s="247"/>
      <c r="P10" s="247"/>
      <c r="Q10" s="248"/>
      <c r="R10" s="249"/>
      <c r="S10" s="247"/>
      <c r="T10" s="247"/>
      <c r="U10" s="247"/>
      <c r="V10" s="247"/>
      <c r="W10" s="247"/>
      <c r="X10" s="247"/>
      <c r="Y10" s="247"/>
      <c r="Z10" s="248"/>
      <c r="AA10" s="249"/>
      <c r="AB10" s="247"/>
      <c r="AC10" s="247"/>
      <c r="AD10" s="247"/>
      <c r="AE10" s="248"/>
      <c r="AF10" s="249"/>
      <c r="AG10" s="247"/>
      <c r="AH10" s="247"/>
      <c r="AI10" s="247"/>
      <c r="AJ10" s="247"/>
      <c r="AK10" s="248"/>
      <c r="AL10" s="249"/>
      <c r="AM10" s="248"/>
      <c r="AN10" s="249"/>
      <c r="AO10" s="248"/>
      <c r="AP10" s="241"/>
      <c r="AQ10" s="242"/>
      <c r="AR10" s="257"/>
    </row>
    <row r="11" spans="2:44" ht="15" hidden="1" thickBot="1">
      <c r="B11" s="233" t="s">
        <v>942</v>
      </c>
      <c r="C11" s="234"/>
      <c r="D11" s="229">
        <v>6</v>
      </c>
      <c r="E11" s="230">
        <v>5</v>
      </c>
      <c r="F11" s="230">
        <v>4</v>
      </c>
      <c r="G11" s="230">
        <v>4</v>
      </c>
      <c r="H11" s="230">
        <v>5</v>
      </c>
      <c r="I11" s="230">
        <v>4</v>
      </c>
      <c r="J11" s="230">
        <v>4</v>
      </c>
      <c r="K11" s="231">
        <v>4</v>
      </c>
      <c r="L11" s="232">
        <v>4</v>
      </c>
      <c r="M11" s="230"/>
      <c r="N11" s="230"/>
      <c r="O11" s="230">
        <v>2</v>
      </c>
      <c r="P11" s="230"/>
      <c r="Q11" s="231"/>
      <c r="R11" s="232">
        <v>5</v>
      </c>
      <c r="S11" s="230"/>
      <c r="T11" s="230">
        <v>5</v>
      </c>
      <c r="U11" s="230">
        <v>5</v>
      </c>
      <c r="V11" s="230"/>
      <c r="W11" s="230">
        <v>5</v>
      </c>
      <c r="X11" s="230">
        <v>4</v>
      </c>
      <c r="Y11" s="230">
        <v>5</v>
      </c>
      <c r="Z11" s="231">
        <v>3</v>
      </c>
      <c r="AA11" s="232"/>
      <c r="AB11" s="230"/>
      <c r="AC11" s="230"/>
      <c r="AD11" s="230">
        <v>2</v>
      </c>
      <c r="AE11" s="231"/>
      <c r="AF11" s="232">
        <v>6</v>
      </c>
      <c r="AG11" s="230">
        <v>5</v>
      </c>
      <c r="AH11" s="230">
        <v>6</v>
      </c>
      <c r="AI11" s="230">
        <v>5</v>
      </c>
      <c r="AJ11" s="230"/>
      <c r="AK11" s="231">
        <v>5</v>
      </c>
      <c r="AL11" s="232"/>
      <c r="AM11" s="231">
        <v>4</v>
      </c>
      <c r="AN11" s="232"/>
      <c r="AO11" s="231">
        <v>5</v>
      </c>
      <c r="AP11" s="179">
        <f>COUNTA(D11:AO11)</f>
        <v>25</v>
      </c>
      <c r="AQ11" s="177"/>
      <c r="AR11" s="256"/>
    </row>
    <row r="12" spans="2:44" s="243" customFormat="1" ht="12" hidden="1">
      <c r="B12" s="235"/>
      <c r="C12" s="236"/>
      <c r="D12" s="237"/>
      <c r="E12" s="238"/>
      <c r="F12" s="238"/>
      <c r="G12" s="238"/>
      <c r="H12" s="238"/>
      <c r="I12" s="238"/>
      <c r="J12" s="238"/>
      <c r="K12" s="239"/>
      <c r="L12" s="240"/>
      <c r="M12" s="238"/>
      <c r="N12" s="238"/>
      <c r="O12" s="238"/>
      <c r="P12" s="238"/>
      <c r="Q12" s="239"/>
      <c r="R12" s="240"/>
      <c r="S12" s="238"/>
      <c r="T12" s="238"/>
      <c r="U12" s="238"/>
      <c r="V12" s="238"/>
      <c r="W12" s="238"/>
      <c r="X12" s="238"/>
      <c r="Y12" s="238"/>
      <c r="Z12" s="239"/>
      <c r="AA12" s="240"/>
      <c r="AB12" s="238"/>
      <c r="AC12" s="238"/>
      <c r="AD12" s="238"/>
      <c r="AE12" s="239"/>
      <c r="AF12" s="240"/>
      <c r="AG12" s="238"/>
      <c r="AH12" s="238"/>
      <c r="AI12" s="238"/>
      <c r="AJ12" s="238"/>
      <c r="AK12" s="239"/>
      <c r="AL12" s="240"/>
      <c r="AM12" s="239"/>
      <c r="AN12" s="240"/>
      <c r="AO12" s="239"/>
      <c r="AP12" s="241"/>
      <c r="AQ12" s="242"/>
      <c r="AR12" s="257"/>
    </row>
    <row r="13" spans="2:44" s="243" customFormat="1" ht="13" hidden="1" thickBot="1">
      <c r="B13" s="244"/>
      <c r="C13" s="245"/>
      <c r="D13" s="246"/>
      <c r="E13" s="247"/>
      <c r="F13" s="247"/>
      <c r="G13" s="247"/>
      <c r="H13" s="247"/>
      <c r="I13" s="247"/>
      <c r="J13" s="247"/>
      <c r="K13" s="248"/>
      <c r="L13" s="249"/>
      <c r="M13" s="247"/>
      <c r="N13" s="247"/>
      <c r="O13" s="247"/>
      <c r="P13" s="247"/>
      <c r="Q13" s="248"/>
      <c r="R13" s="249"/>
      <c r="S13" s="247"/>
      <c r="T13" s="247"/>
      <c r="U13" s="247"/>
      <c r="V13" s="247"/>
      <c r="W13" s="247"/>
      <c r="X13" s="247"/>
      <c r="Y13" s="247"/>
      <c r="Z13" s="248"/>
      <c r="AA13" s="249"/>
      <c r="AB13" s="247"/>
      <c r="AC13" s="247"/>
      <c r="AD13" s="247"/>
      <c r="AE13" s="248"/>
      <c r="AF13" s="249"/>
      <c r="AG13" s="247"/>
      <c r="AH13" s="247"/>
      <c r="AI13" s="247"/>
      <c r="AJ13" s="247"/>
      <c r="AK13" s="248"/>
      <c r="AL13" s="249"/>
      <c r="AM13" s="248"/>
      <c r="AN13" s="249"/>
      <c r="AO13" s="248"/>
      <c r="AP13" s="241"/>
      <c r="AQ13" s="242"/>
      <c r="AR13" s="257"/>
    </row>
    <row r="14" spans="2:44" ht="15" hidden="1" thickBot="1">
      <c r="B14" s="233" t="s">
        <v>943</v>
      </c>
      <c r="C14" s="234"/>
      <c r="D14" s="229">
        <v>6</v>
      </c>
      <c r="E14" s="230">
        <v>5</v>
      </c>
      <c r="F14" s="230">
        <v>4</v>
      </c>
      <c r="G14" s="230">
        <v>4</v>
      </c>
      <c r="H14" s="230">
        <v>5</v>
      </c>
      <c r="I14" s="230">
        <v>4</v>
      </c>
      <c r="J14" s="230">
        <v>4</v>
      </c>
      <c r="K14" s="231">
        <v>4</v>
      </c>
      <c r="L14" s="232">
        <v>4</v>
      </c>
      <c r="M14" s="230"/>
      <c r="N14" s="230"/>
      <c r="O14" s="230">
        <v>5</v>
      </c>
      <c r="P14" s="230">
        <v>5</v>
      </c>
      <c r="Q14" s="231"/>
      <c r="R14" s="232">
        <v>5</v>
      </c>
      <c r="S14" s="230">
        <v>4</v>
      </c>
      <c r="T14" s="230">
        <v>5</v>
      </c>
      <c r="U14" s="230">
        <v>5</v>
      </c>
      <c r="V14" s="230">
        <v>6</v>
      </c>
      <c r="W14" s="230"/>
      <c r="X14" s="230"/>
      <c r="Y14" s="230">
        <v>5</v>
      </c>
      <c r="Z14" s="231"/>
      <c r="AA14" s="232">
        <v>5</v>
      </c>
      <c r="AB14" s="230">
        <v>6</v>
      </c>
      <c r="AC14" s="230">
        <v>6</v>
      </c>
      <c r="AD14" s="230">
        <v>5</v>
      </c>
      <c r="AE14" s="231">
        <v>5</v>
      </c>
      <c r="AF14" s="232"/>
      <c r="AG14" s="230"/>
      <c r="AH14" s="230"/>
      <c r="AI14" s="230"/>
      <c r="AJ14" s="230"/>
      <c r="AK14" s="231">
        <v>5</v>
      </c>
      <c r="AL14" s="232"/>
      <c r="AM14" s="231"/>
      <c r="AN14" s="232">
        <v>5</v>
      </c>
      <c r="AO14" s="231"/>
      <c r="AP14" s="179">
        <f>COUNTA(D14:AO14)</f>
        <v>24</v>
      </c>
      <c r="AQ14" s="177"/>
      <c r="AR14" s="256"/>
    </row>
    <row r="15" spans="2:44" s="243" customFormat="1" ht="12">
      <c r="B15" s="235"/>
      <c r="C15" s="236" t="s">
        <v>953</v>
      </c>
      <c r="D15" s="262"/>
      <c r="E15" s="259">
        <v>4</v>
      </c>
      <c r="F15" s="259">
        <v>2</v>
      </c>
      <c r="G15" s="259"/>
      <c r="H15" s="259"/>
      <c r="I15" s="259"/>
      <c r="J15" s="259">
        <v>3</v>
      </c>
      <c r="K15" s="261">
        <v>3</v>
      </c>
      <c r="L15" s="260">
        <v>2</v>
      </c>
      <c r="M15" s="238">
        <v>1</v>
      </c>
      <c r="N15" s="238"/>
      <c r="O15" s="259">
        <v>3</v>
      </c>
      <c r="P15" s="238"/>
      <c r="Q15" s="239"/>
      <c r="R15" s="260"/>
      <c r="S15" s="259">
        <v>2</v>
      </c>
      <c r="T15" s="259"/>
      <c r="U15" s="259"/>
      <c r="V15" s="259">
        <v>5</v>
      </c>
      <c r="W15" s="238"/>
      <c r="X15" s="238"/>
      <c r="Y15" s="259"/>
      <c r="Z15" s="239"/>
      <c r="AA15" s="265">
        <v>5</v>
      </c>
      <c r="AB15" s="263">
        <v>6</v>
      </c>
      <c r="AC15" s="263">
        <v>6</v>
      </c>
      <c r="AD15" s="259">
        <v>2</v>
      </c>
      <c r="AE15" s="261">
        <v>2</v>
      </c>
      <c r="AF15" s="240">
        <v>3</v>
      </c>
      <c r="AG15" s="238"/>
      <c r="AH15" s="238"/>
      <c r="AI15" s="238"/>
      <c r="AJ15" s="238"/>
      <c r="AK15" s="264">
        <v>5</v>
      </c>
      <c r="AL15" s="240"/>
      <c r="AM15" s="239"/>
      <c r="AN15" s="265">
        <v>5</v>
      </c>
      <c r="AO15" s="239"/>
      <c r="AP15" s="241">
        <v>5</v>
      </c>
      <c r="AQ15" s="242" t="s">
        <v>977</v>
      </c>
      <c r="AR15" s="257"/>
    </row>
    <row r="16" spans="2:44" s="243" customFormat="1" ht="12" hidden="1">
      <c r="B16" s="250"/>
      <c r="C16" s="251" t="s">
        <v>954</v>
      </c>
      <c r="D16" s="266">
        <v>5</v>
      </c>
      <c r="E16" s="267">
        <v>5</v>
      </c>
      <c r="F16" s="267">
        <v>4</v>
      </c>
      <c r="G16" s="267">
        <v>4</v>
      </c>
      <c r="H16" s="268">
        <v>4</v>
      </c>
      <c r="I16" s="268">
        <v>3</v>
      </c>
      <c r="J16" s="267">
        <v>4</v>
      </c>
      <c r="K16" s="269">
        <v>4</v>
      </c>
      <c r="L16" s="270">
        <v>3</v>
      </c>
      <c r="M16" s="252"/>
      <c r="N16" s="252"/>
      <c r="O16" s="267">
        <v>5</v>
      </c>
      <c r="P16" s="252"/>
      <c r="Q16" s="253"/>
      <c r="R16" s="270">
        <v>4</v>
      </c>
      <c r="S16" s="267">
        <v>5</v>
      </c>
      <c r="T16" s="252"/>
      <c r="U16" s="252"/>
      <c r="V16" s="267">
        <v>6</v>
      </c>
      <c r="W16" s="252"/>
      <c r="X16" s="252"/>
      <c r="Y16" s="268">
        <v>4</v>
      </c>
      <c r="Z16" s="253"/>
      <c r="AA16" s="271">
        <v>5</v>
      </c>
      <c r="AB16" s="267">
        <v>6</v>
      </c>
      <c r="AC16" s="268">
        <v>5</v>
      </c>
      <c r="AD16" s="268">
        <v>4</v>
      </c>
      <c r="AE16" s="272">
        <v>4</v>
      </c>
      <c r="AF16" s="254"/>
      <c r="AG16" s="252"/>
      <c r="AH16" s="252"/>
      <c r="AI16" s="252"/>
      <c r="AJ16" s="252"/>
      <c r="AK16" s="272"/>
      <c r="AL16" s="254"/>
      <c r="AM16" s="253"/>
      <c r="AN16" s="271">
        <v>5</v>
      </c>
      <c r="AO16" s="253"/>
      <c r="AP16" s="241">
        <v>11</v>
      </c>
      <c r="AQ16" s="242" t="s">
        <v>977</v>
      </c>
      <c r="AR16" s="257"/>
    </row>
    <row r="17" spans="2:44" s="243" customFormat="1" ht="13" hidden="1" thickBot="1">
      <c r="B17" s="244"/>
      <c r="C17" s="245"/>
      <c r="D17" s="246"/>
      <c r="E17" s="247"/>
      <c r="F17" s="247"/>
      <c r="G17" s="247"/>
      <c r="H17" s="247"/>
      <c r="I17" s="247"/>
      <c r="J17" s="247"/>
      <c r="K17" s="248"/>
      <c r="L17" s="249"/>
      <c r="M17" s="247"/>
      <c r="N17" s="247"/>
      <c r="O17" s="247"/>
      <c r="P17" s="247"/>
      <c r="Q17" s="248"/>
      <c r="R17" s="249"/>
      <c r="S17" s="247"/>
      <c r="T17" s="247"/>
      <c r="U17" s="247"/>
      <c r="V17" s="247"/>
      <c r="W17" s="247"/>
      <c r="X17" s="247"/>
      <c r="Y17" s="247"/>
      <c r="Z17" s="248"/>
      <c r="AA17" s="249"/>
      <c r="AB17" s="247"/>
      <c r="AC17" s="247"/>
      <c r="AD17" s="247"/>
      <c r="AE17" s="248"/>
      <c r="AF17" s="249"/>
      <c r="AG17" s="247"/>
      <c r="AH17" s="247"/>
      <c r="AI17" s="247"/>
      <c r="AJ17" s="247"/>
      <c r="AK17" s="248"/>
      <c r="AL17" s="249"/>
      <c r="AM17" s="248"/>
      <c r="AN17" s="249"/>
      <c r="AO17" s="248"/>
      <c r="AP17" s="241"/>
      <c r="AQ17" s="242"/>
      <c r="AR17" s="257"/>
    </row>
    <row r="18" spans="2:44" ht="15" hidden="1" thickBot="1">
      <c r="B18" s="233" t="s">
        <v>944</v>
      </c>
      <c r="C18" s="234"/>
      <c r="D18" s="229">
        <v>6</v>
      </c>
      <c r="E18" s="230">
        <v>5</v>
      </c>
      <c r="F18" s="230">
        <v>4</v>
      </c>
      <c r="G18" s="230">
        <v>4</v>
      </c>
      <c r="H18" s="230">
        <v>5</v>
      </c>
      <c r="I18" s="230">
        <v>4</v>
      </c>
      <c r="J18" s="230">
        <v>4</v>
      </c>
      <c r="K18" s="231">
        <v>4</v>
      </c>
      <c r="L18" s="232">
        <v>4</v>
      </c>
      <c r="M18" s="230"/>
      <c r="N18" s="230"/>
      <c r="O18" s="230">
        <v>2</v>
      </c>
      <c r="P18" s="230">
        <v>3</v>
      </c>
      <c r="Q18" s="231"/>
      <c r="R18" s="232">
        <v>5</v>
      </c>
      <c r="S18" s="230">
        <v>4</v>
      </c>
      <c r="T18" s="230"/>
      <c r="U18" s="230"/>
      <c r="V18" s="230"/>
      <c r="W18" s="230"/>
      <c r="X18" s="230">
        <v>4</v>
      </c>
      <c r="Y18" s="230">
        <v>5</v>
      </c>
      <c r="Z18" s="231">
        <v>4</v>
      </c>
      <c r="AA18" s="232"/>
      <c r="AB18" s="230"/>
      <c r="AC18" s="230">
        <v>3</v>
      </c>
      <c r="AD18" s="230"/>
      <c r="AE18" s="231"/>
      <c r="AF18" s="232"/>
      <c r="AG18" s="230"/>
      <c r="AH18" s="230"/>
      <c r="AI18" s="230"/>
      <c r="AJ18" s="230"/>
      <c r="AK18" s="231">
        <v>5</v>
      </c>
      <c r="AL18" s="232">
        <v>5</v>
      </c>
      <c r="AM18" s="231">
        <v>5</v>
      </c>
      <c r="AN18" s="232"/>
      <c r="AO18" s="231"/>
      <c r="AP18" s="179">
        <f>COUNTA(D18:AO18)</f>
        <v>20</v>
      </c>
      <c r="AQ18" s="177"/>
      <c r="AR18" s="256"/>
    </row>
    <row r="19" spans="2:44" s="243" customFormat="1" ht="12">
      <c r="B19" s="235"/>
      <c r="C19" s="236" t="s">
        <v>955</v>
      </c>
      <c r="D19" s="262"/>
      <c r="E19" s="259"/>
      <c r="F19" s="259"/>
      <c r="G19" s="259"/>
      <c r="H19" s="259"/>
      <c r="I19" s="259"/>
      <c r="J19" s="259"/>
      <c r="K19" s="264">
        <v>4</v>
      </c>
      <c r="L19" s="260">
        <v>1</v>
      </c>
      <c r="M19" s="238"/>
      <c r="N19" s="238"/>
      <c r="O19" s="263">
        <v>3</v>
      </c>
      <c r="P19" s="263">
        <v>3</v>
      </c>
      <c r="Q19" s="239"/>
      <c r="R19" s="260">
        <v>4</v>
      </c>
      <c r="S19" s="259">
        <v>3</v>
      </c>
      <c r="T19" s="273">
        <v>3</v>
      </c>
      <c r="U19" s="273">
        <v>3</v>
      </c>
      <c r="V19" s="273">
        <v>3</v>
      </c>
      <c r="W19" s="273">
        <v>4</v>
      </c>
      <c r="X19" s="263">
        <v>6</v>
      </c>
      <c r="Y19" s="263">
        <v>5</v>
      </c>
      <c r="Z19" s="264">
        <v>4</v>
      </c>
      <c r="AA19" s="240"/>
      <c r="AB19" s="238"/>
      <c r="AC19" s="263">
        <v>3</v>
      </c>
      <c r="AD19" s="273">
        <v>3</v>
      </c>
      <c r="AE19" s="274">
        <v>3</v>
      </c>
      <c r="AF19" s="275">
        <v>3</v>
      </c>
      <c r="AG19" s="273">
        <v>3</v>
      </c>
      <c r="AH19" s="273">
        <v>3</v>
      </c>
      <c r="AI19" s="238"/>
      <c r="AJ19" s="273">
        <v>3</v>
      </c>
      <c r="AK19" s="261">
        <v>3</v>
      </c>
      <c r="AL19" s="265">
        <v>6</v>
      </c>
      <c r="AM19" s="264">
        <v>6</v>
      </c>
      <c r="AN19" s="240"/>
      <c r="AO19" s="264">
        <v>6</v>
      </c>
      <c r="AP19" s="241">
        <v>10</v>
      </c>
      <c r="AQ19" s="242" t="s">
        <v>976</v>
      </c>
      <c r="AR19" s="257"/>
    </row>
    <row r="20" spans="2:44" s="243" customFormat="1" ht="13" thickBot="1">
      <c r="B20" s="244"/>
      <c r="C20" s="245"/>
      <c r="D20" s="246"/>
      <c r="E20" s="247"/>
      <c r="F20" s="247"/>
      <c r="G20" s="247"/>
      <c r="H20" s="247"/>
      <c r="I20" s="247"/>
      <c r="J20" s="247"/>
      <c r="K20" s="248"/>
      <c r="L20" s="249"/>
      <c r="M20" s="247"/>
      <c r="N20" s="247"/>
      <c r="O20" s="247"/>
      <c r="P20" s="247"/>
      <c r="Q20" s="248"/>
      <c r="R20" s="249"/>
      <c r="S20" s="247"/>
      <c r="T20" s="247"/>
      <c r="U20" s="247"/>
      <c r="V20" s="247"/>
      <c r="W20" s="247"/>
      <c r="X20" s="247"/>
      <c r="Y20" s="247"/>
      <c r="Z20" s="248"/>
      <c r="AA20" s="249"/>
      <c r="AB20" s="247"/>
      <c r="AC20" s="247"/>
      <c r="AD20" s="247"/>
      <c r="AE20" s="248"/>
      <c r="AF20" s="249"/>
      <c r="AG20" s="247"/>
      <c r="AH20" s="247"/>
      <c r="AI20" s="247"/>
      <c r="AJ20" s="247"/>
      <c r="AK20" s="248"/>
      <c r="AL20" s="249"/>
      <c r="AM20" s="248"/>
      <c r="AN20" s="249"/>
      <c r="AO20" s="248"/>
      <c r="AP20" s="241"/>
      <c r="AQ20" s="242"/>
      <c r="AR20" s="257"/>
    </row>
    <row r="21" spans="2:44" ht="15" thickBot="1">
      <c r="B21" s="233" t="s">
        <v>945</v>
      </c>
      <c r="C21" s="234"/>
      <c r="D21" s="229">
        <v>6</v>
      </c>
      <c r="E21" s="230">
        <v>5</v>
      </c>
      <c r="F21" s="230">
        <v>5</v>
      </c>
      <c r="G21" s="230">
        <v>4</v>
      </c>
      <c r="H21" s="230">
        <v>5</v>
      </c>
      <c r="I21" s="230">
        <v>4</v>
      </c>
      <c r="J21" s="230">
        <v>4</v>
      </c>
      <c r="K21" s="231">
        <v>4</v>
      </c>
      <c r="L21" s="232">
        <v>6</v>
      </c>
      <c r="M21" s="230">
        <v>5</v>
      </c>
      <c r="N21" s="230">
        <v>4</v>
      </c>
      <c r="O21" s="230">
        <v>5</v>
      </c>
      <c r="P21" s="230">
        <v>3</v>
      </c>
      <c r="Q21" s="231">
        <v>5</v>
      </c>
      <c r="R21" s="232"/>
      <c r="S21" s="230"/>
      <c r="T21" s="230"/>
      <c r="U21" s="230"/>
      <c r="V21" s="230"/>
      <c r="W21" s="230"/>
      <c r="X21" s="230"/>
      <c r="Y21" s="230"/>
      <c r="Z21" s="231"/>
      <c r="AA21" s="232"/>
      <c r="AB21" s="230"/>
      <c r="AC21" s="230"/>
      <c r="AD21" s="230"/>
      <c r="AE21" s="231"/>
      <c r="AF21" s="232"/>
      <c r="AG21" s="230"/>
      <c r="AH21" s="230"/>
      <c r="AI21" s="230"/>
      <c r="AJ21" s="230"/>
      <c r="AK21" s="231"/>
      <c r="AL21" s="232"/>
      <c r="AM21" s="231"/>
      <c r="AN21" s="232"/>
      <c r="AO21" s="231"/>
      <c r="AP21" s="179">
        <f>COUNTA(D21:AO21)</f>
        <v>14</v>
      </c>
      <c r="AQ21" s="177"/>
      <c r="AR21" s="256"/>
    </row>
    <row r="22" spans="2:44" s="243" customFormat="1" ht="12">
      <c r="B22" s="235"/>
      <c r="C22" s="236" t="s">
        <v>956</v>
      </c>
      <c r="D22" s="262"/>
      <c r="E22" s="259">
        <v>4</v>
      </c>
      <c r="F22" s="263">
        <v>5</v>
      </c>
      <c r="G22" s="263">
        <v>5</v>
      </c>
      <c r="H22" s="263">
        <v>5</v>
      </c>
      <c r="I22" s="263">
        <v>5</v>
      </c>
      <c r="J22" s="263">
        <v>5</v>
      </c>
      <c r="K22" s="264">
        <v>4</v>
      </c>
      <c r="L22" s="265">
        <v>6</v>
      </c>
      <c r="M22" s="263">
        <v>5</v>
      </c>
      <c r="N22" s="263">
        <v>5</v>
      </c>
      <c r="O22" s="259">
        <v>4</v>
      </c>
      <c r="P22" s="263">
        <v>4</v>
      </c>
      <c r="Q22" s="261">
        <v>4</v>
      </c>
      <c r="R22" s="275">
        <v>4</v>
      </c>
      <c r="S22" s="273">
        <v>4</v>
      </c>
      <c r="T22" s="273">
        <v>4</v>
      </c>
      <c r="U22" s="273">
        <v>4</v>
      </c>
      <c r="V22" s="273">
        <v>2</v>
      </c>
      <c r="W22" s="273">
        <v>3</v>
      </c>
      <c r="X22" s="273">
        <v>3</v>
      </c>
      <c r="Y22" s="273">
        <v>4</v>
      </c>
      <c r="Z22" s="274">
        <v>4</v>
      </c>
      <c r="AA22" s="275">
        <v>4</v>
      </c>
      <c r="AB22" s="273">
        <v>5</v>
      </c>
      <c r="AC22" s="273">
        <v>4</v>
      </c>
      <c r="AD22" s="273">
        <v>4</v>
      </c>
      <c r="AE22" s="274">
        <v>3</v>
      </c>
      <c r="AF22" s="275">
        <v>3</v>
      </c>
      <c r="AG22" s="273">
        <v>2</v>
      </c>
      <c r="AH22" s="273">
        <v>4</v>
      </c>
      <c r="AI22" s="273">
        <v>4</v>
      </c>
      <c r="AJ22" s="273">
        <v>4</v>
      </c>
      <c r="AK22" s="274">
        <v>5</v>
      </c>
      <c r="AL22" s="275">
        <v>2</v>
      </c>
      <c r="AM22" s="274">
        <v>2</v>
      </c>
      <c r="AN22" s="275">
        <v>4</v>
      </c>
      <c r="AO22" s="274">
        <v>5</v>
      </c>
      <c r="AP22" s="241">
        <v>10</v>
      </c>
      <c r="AQ22" s="242" t="s">
        <v>976</v>
      </c>
      <c r="AR22" s="257"/>
    </row>
    <row r="23" spans="2:44" s="243" customFormat="1" ht="13" thickBot="1">
      <c r="B23" s="244"/>
      <c r="C23" s="245"/>
      <c r="D23" s="246"/>
      <c r="E23" s="247"/>
      <c r="F23" s="247"/>
      <c r="G23" s="247"/>
      <c r="H23" s="247"/>
      <c r="I23" s="247"/>
      <c r="J23" s="247"/>
      <c r="K23" s="248"/>
      <c r="L23" s="249"/>
      <c r="M23" s="247"/>
      <c r="N23" s="247"/>
      <c r="O23" s="247"/>
      <c r="P23" s="247"/>
      <c r="Q23" s="248"/>
      <c r="R23" s="249"/>
      <c r="S23" s="247"/>
      <c r="T23" s="247"/>
      <c r="U23" s="247"/>
      <c r="V23" s="247"/>
      <c r="W23" s="247"/>
      <c r="X23" s="247"/>
      <c r="Y23" s="247"/>
      <c r="Z23" s="248"/>
      <c r="AA23" s="249"/>
      <c r="AB23" s="247"/>
      <c r="AC23" s="247"/>
      <c r="AD23" s="247"/>
      <c r="AE23" s="248"/>
      <c r="AF23" s="249"/>
      <c r="AG23" s="247"/>
      <c r="AH23" s="247"/>
      <c r="AI23" s="247"/>
      <c r="AJ23" s="247"/>
      <c r="AK23" s="248"/>
      <c r="AL23" s="249"/>
      <c r="AM23" s="248"/>
      <c r="AN23" s="249"/>
      <c r="AO23" s="248"/>
      <c r="AP23" s="241"/>
      <c r="AQ23" s="242"/>
      <c r="AR23" s="257"/>
    </row>
    <row r="24" spans="2:44" ht="15" thickBot="1">
      <c r="B24" s="233" t="s">
        <v>947</v>
      </c>
      <c r="C24" s="234"/>
      <c r="D24" s="229"/>
      <c r="E24" s="230"/>
      <c r="F24" s="230">
        <v>3</v>
      </c>
      <c r="G24" s="230">
        <v>3</v>
      </c>
      <c r="H24" s="230"/>
      <c r="I24" s="230">
        <v>3</v>
      </c>
      <c r="J24" s="230"/>
      <c r="K24" s="231"/>
      <c r="L24" s="232">
        <v>2</v>
      </c>
      <c r="M24" s="230"/>
      <c r="N24" s="230"/>
      <c r="O24" s="230"/>
      <c r="P24" s="230"/>
      <c r="Q24" s="231"/>
      <c r="R24" s="232">
        <v>4</v>
      </c>
      <c r="S24" s="230"/>
      <c r="T24" s="230"/>
      <c r="U24" s="230">
        <v>4</v>
      </c>
      <c r="V24" s="230"/>
      <c r="W24" s="230">
        <v>4</v>
      </c>
      <c r="X24" s="230">
        <v>4</v>
      </c>
      <c r="Y24" s="230">
        <v>3</v>
      </c>
      <c r="Z24" s="231">
        <v>2</v>
      </c>
      <c r="AA24" s="232"/>
      <c r="AB24" s="230"/>
      <c r="AC24" s="230"/>
      <c r="AD24" s="230">
        <v>2</v>
      </c>
      <c r="AE24" s="231"/>
      <c r="AF24" s="232">
        <v>4</v>
      </c>
      <c r="AG24" s="230">
        <v>4</v>
      </c>
      <c r="AH24" s="230">
        <v>4</v>
      </c>
      <c r="AI24" s="230">
        <v>4</v>
      </c>
      <c r="AJ24" s="230">
        <v>3</v>
      </c>
      <c r="AK24" s="231">
        <v>3</v>
      </c>
      <c r="AL24" s="232"/>
      <c r="AM24" s="231">
        <v>3</v>
      </c>
      <c r="AN24" s="232"/>
      <c r="AO24" s="231">
        <v>3</v>
      </c>
      <c r="AP24" s="179">
        <f>COUNTA(D24:AO24)</f>
        <v>19</v>
      </c>
      <c r="AQ24" s="177"/>
      <c r="AR24" s="256"/>
    </row>
    <row r="25" spans="2:44" s="243" customFormat="1" ht="12">
      <c r="B25" s="235"/>
      <c r="C25" s="236" t="s">
        <v>957</v>
      </c>
      <c r="D25" s="237"/>
      <c r="E25" s="273">
        <v>4</v>
      </c>
      <c r="F25" s="263">
        <v>4</v>
      </c>
      <c r="G25" s="259">
        <v>2</v>
      </c>
      <c r="H25" s="238"/>
      <c r="I25" s="259"/>
      <c r="J25" s="238"/>
      <c r="K25" s="274">
        <v>3</v>
      </c>
      <c r="L25" s="265">
        <v>3</v>
      </c>
      <c r="M25" s="273">
        <v>2</v>
      </c>
      <c r="N25" s="273">
        <v>3</v>
      </c>
      <c r="O25" s="273">
        <v>1</v>
      </c>
      <c r="P25" s="238"/>
      <c r="Q25" s="239"/>
      <c r="R25" s="265">
        <v>4</v>
      </c>
      <c r="S25" s="238"/>
      <c r="T25" s="238"/>
      <c r="U25" s="263">
        <v>4</v>
      </c>
      <c r="V25" s="273">
        <v>4</v>
      </c>
      <c r="W25" s="259">
        <v>3</v>
      </c>
      <c r="X25" s="259">
        <v>3</v>
      </c>
      <c r="Y25" s="259">
        <v>2</v>
      </c>
      <c r="Z25" s="261"/>
      <c r="AA25" s="275">
        <v>1</v>
      </c>
      <c r="AB25" s="238"/>
      <c r="AC25" s="238"/>
      <c r="AD25" s="263">
        <v>2</v>
      </c>
      <c r="AE25" s="239"/>
      <c r="AF25" s="265">
        <v>5</v>
      </c>
      <c r="AG25" s="263">
        <v>4</v>
      </c>
      <c r="AH25" s="263">
        <v>4</v>
      </c>
      <c r="AI25" s="263">
        <v>4</v>
      </c>
      <c r="AJ25" s="263">
        <v>5</v>
      </c>
      <c r="AK25" s="261"/>
      <c r="AL25" s="240"/>
      <c r="AM25" s="274">
        <v>4</v>
      </c>
      <c r="AN25" s="240"/>
      <c r="AO25" s="264">
        <v>5</v>
      </c>
      <c r="AP25" s="241">
        <v>12</v>
      </c>
      <c r="AQ25" s="242" t="s">
        <v>977</v>
      </c>
      <c r="AR25" s="257"/>
    </row>
    <row r="26" spans="2:44" s="243" customFormat="1" ht="12">
      <c r="B26" s="244"/>
      <c r="C26" s="245" t="s">
        <v>958</v>
      </c>
      <c r="D26" s="246"/>
      <c r="E26" s="247"/>
      <c r="F26" s="276"/>
      <c r="G26" s="276"/>
      <c r="H26" s="247"/>
      <c r="I26" s="276"/>
      <c r="J26" s="247"/>
      <c r="K26" s="248"/>
      <c r="L26" s="277"/>
      <c r="M26" s="247"/>
      <c r="N26" s="247"/>
      <c r="O26" s="247"/>
      <c r="P26" s="247"/>
      <c r="Q26" s="248"/>
      <c r="R26" s="278">
        <v>4</v>
      </c>
      <c r="S26" s="247"/>
      <c r="T26" s="247"/>
      <c r="U26" s="279">
        <v>4</v>
      </c>
      <c r="V26" s="247"/>
      <c r="W26" s="276"/>
      <c r="X26" s="276">
        <v>2</v>
      </c>
      <c r="Y26" s="276">
        <v>2</v>
      </c>
      <c r="Z26" s="280">
        <v>2</v>
      </c>
      <c r="AA26" s="249"/>
      <c r="AB26" s="247"/>
      <c r="AC26" s="247"/>
      <c r="AD26" s="279">
        <v>2</v>
      </c>
      <c r="AE26" s="248"/>
      <c r="AF26" s="277">
        <v>3</v>
      </c>
      <c r="AG26" s="279">
        <v>4</v>
      </c>
      <c r="AH26" s="279">
        <v>4</v>
      </c>
      <c r="AI26" s="279">
        <v>4</v>
      </c>
      <c r="AJ26" s="276">
        <v>2</v>
      </c>
      <c r="AK26" s="281"/>
      <c r="AL26" s="249"/>
      <c r="AM26" s="280">
        <v>2</v>
      </c>
      <c r="AN26" s="249"/>
      <c r="AO26" s="282">
        <v>3</v>
      </c>
      <c r="AP26" s="241">
        <v>8</v>
      </c>
      <c r="AQ26" s="242" t="s">
        <v>977</v>
      </c>
      <c r="AR26" s="257"/>
    </row>
    <row r="27" spans="2:44" s="243" customFormat="1" ht="12">
      <c r="B27" s="244"/>
      <c r="C27" s="245" t="s">
        <v>959</v>
      </c>
      <c r="D27" s="246"/>
      <c r="E27" s="247"/>
      <c r="F27" s="276"/>
      <c r="G27" s="276"/>
      <c r="H27" s="247"/>
      <c r="I27" s="276"/>
      <c r="J27" s="247"/>
      <c r="K27" s="248"/>
      <c r="L27" s="277"/>
      <c r="M27" s="247"/>
      <c r="N27" s="247"/>
      <c r="O27" s="247"/>
      <c r="P27" s="247"/>
      <c r="Q27" s="248"/>
      <c r="R27" s="278">
        <v>4</v>
      </c>
      <c r="S27" s="247"/>
      <c r="T27" s="247"/>
      <c r="U27" s="276"/>
      <c r="V27" s="247"/>
      <c r="W27" s="276"/>
      <c r="X27" s="276"/>
      <c r="Y27" s="276"/>
      <c r="Z27" s="281"/>
      <c r="AA27" s="249"/>
      <c r="AB27" s="247"/>
      <c r="AC27" s="247"/>
      <c r="AD27" s="276"/>
      <c r="AE27" s="248"/>
      <c r="AF27" s="265">
        <v>5</v>
      </c>
      <c r="AG27" s="263">
        <v>4</v>
      </c>
      <c r="AH27" s="263">
        <v>4</v>
      </c>
      <c r="AI27" s="263">
        <v>4</v>
      </c>
      <c r="AJ27" s="276">
        <v>2</v>
      </c>
      <c r="AK27" s="281"/>
      <c r="AL27" s="249"/>
      <c r="AM27" s="281"/>
      <c r="AN27" s="249"/>
      <c r="AO27" s="281"/>
      <c r="AP27" s="241">
        <v>5</v>
      </c>
      <c r="AQ27" s="242" t="s">
        <v>977</v>
      </c>
      <c r="AR27" s="257"/>
    </row>
    <row r="28" spans="2:44" s="243" customFormat="1" ht="12">
      <c r="B28" s="244"/>
      <c r="C28" s="245" t="s">
        <v>960</v>
      </c>
      <c r="D28" s="246"/>
      <c r="E28" s="247"/>
      <c r="F28" s="276"/>
      <c r="G28" s="276"/>
      <c r="H28" s="247"/>
      <c r="I28" s="276"/>
      <c r="J28" s="247"/>
      <c r="K28" s="248"/>
      <c r="L28" s="277"/>
      <c r="M28" s="247"/>
      <c r="N28" s="247"/>
      <c r="O28" s="247"/>
      <c r="P28" s="247"/>
      <c r="Q28" s="248"/>
      <c r="R28" s="277"/>
      <c r="S28" s="247"/>
      <c r="T28" s="247"/>
      <c r="U28" s="276"/>
      <c r="V28" s="247"/>
      <c r="W28" s="276"/>
      <c r="X28" s="276"/>
      <c r="Y28" s="276"/>
      <c r="Z28" s="281"/>
      <c r="AA28" s="249"/>
      <c r="AB28" s="247"/>
      <c r="AC28" s="247"/>
      <c r="AD28" s="276"/>
      <c r="AE28" s="248"/>
      <c r="AF28" s="277">
        <v>3</v>
      </c>
      <c r="AG28" s="276">
        <v>2</v>
      </c>
      <c r="AH28" s="276">
        <v>2</v>
      </c>
      <c r="AI28" s="276"/>
      <c r="AJ28" s="279">
        <v>3</v>
      </c>
      <c r="AK28" s="281"/>
      <c r="AL28" s="249"/>
      <c r="AM28" s="281"/>
      <c r="AN28" s="249"/>
      <c r="AO28" s="281">
        <v>2</v>
      </c>
      <c r="AP28" s="241">
        <v>1</v>
      </c>
      <c r="AQ28" s="242" t="s">
        <v>977</v>
      </c>
      <c r="AR28" s="257"/>
    </row>
    <row r="29" spans="2:44" s="243" customFormat="1" ht="12">
      <c r="B29" s="244"/>
      <c r="C29" s="245" t="s">
        <v>961</v>
      </c>
      <c r="D29" s="246"/>
      <c r="E29" s="247"/>
      <c r="F29" s="276">
        <v>2</v>
      </c>
      <c r="G29" s="276"/>
      <c r="H29" s="247"/>
      <c r="I29" s="276"/>
      <c r="J29" s="247"/>
      <c r="K29" s="248"/>
      <c r="L29" s="277"/>
      <c r="M29" s="247"/>
      <c r="N29" s="247"/>
      <c r="O29" s="247"/>
      <c r="P29" s="247"/>
      <c r="Q29" s="248"/>
      <c r="R29" s="277">
        <v>2</v>
      </c>
      <c r="S29" s="247"/>
      <c r="T29" s="247"/>
      <c r="U29" s="276"/>
      <c r="V29" s="247"/>
      <c r="W29" s="276">
        <v>1</v>
      </c>
      <c r="X29" s="276">
        <v>1</v>
      </c>
      <c r="Y29" s="276">
        <v>2</v>
      </c>
      <c r="Z29" s="281">
        <v>1</v>
      </c>
      <c r="AA29" s="249"/>
      <c r="AB29" s="247"/>
      <c r="AC29" s="247"/>
      <c r="AD29" s="279">
        <v>2</v>
      </c>
      <c r="AE29" s="248"/>
      <c r="AF29" s="277">
        <v>2</v>
      </c>
      <c r="AG29" s="276">
        <v>2</v>
      </c>
      <c r="AH29" s="279">
        <v>5</v>
      </c>
      <c r="AI29" s="279">
        <v>5</v>
      </c>
      <c r="AJ29" s="276">
        <v>2</v>
      </c>
      <c r="AK29" s="281"/>
      <c r="AL29" s="249"/>
      <c r="AM29" s="281"/>
      <c r="AN29" s="249"/>
      <c r="AO29" s="281">
        <v>2</v>
      </c>
      <c r="AP29" s="241">
        <v>3</v>
      </c>
      <c r="AQ29" s="242" t="s">
        <v>977</v>
      </c>
      <c r="AR29" s="257"/>
    </row>
    <row r="30" spans="2:44" s="243" customFormat="1" ht="12">
      <c r="B30" s="244"/>
      <c r="C30" s="245" t="s">
        <v>974</v>
      </c>
      <c r="D30" s="246"/>
      <c r="E30" s="247"/>
      <c r="F30" s="276"/>
      <c r="G30" s="276"/>
      <c r="H30" s="247"/>
      <c r="I30" s="276"/>
      <c r="J30" s="247"/>
      <c r="K30" s="248"/>
      <c r="L30" s="277"/>
      <c r="M30" s="247"/>
      <c r="N30" s="247"/>
      <c r="O30" s="247"/>
      <c r="P30" s="247"/>
      <c r="Q30" s="248"/>
      <c r="R30" s="277"/>
      <c r="S30" s="247"/>
      <c r="T30" s="247"/>
      <c r="U30" s="276"/>
      <c r="V30" s="283">
        <v>3</v>
      </c>
      <c r="W30" s="276"/>
      <c r="X30" s="276"/>
      <c r="Y30" s="276"/>
      <c r="Z30" s="282">
        <v>2</v>
      </c>
      <c r="AA30" s="249"/>
      <c r="AB30" s="247"/>
      <c r="AC30" s="247"/>
      <c r="AD30" s="279">
        <v>4</v>
      </c>
      <c r="AE30" s="248"/>
      <c r="AF30" s="277">
        <v>3</v>
      </c>
      <c r="AG30" s="276"/>
      <c r="AH30" s="276">
        <v>3</v>
      </c>
      <c r="AI30" s="276"/>
      <c r="AJ30" s="276"/>
      <c r="AK30" s="282">
        <v>5</v>
      </c>
      <c r="AL30" s="249"/>
      <c r="AM30" s="281"/>
      <c r="AN30" s="249"/>
      <c r="AO30" s="281"/>
      <c r="AP30" s="241">
        <v>3</v>
      </c>
      <c r="AQ30" s="242" t="s">
        <v>977</v>
      </c>
      <c r="AR30" s="257"/>
    </row>
    <row r="31" spans="2:44" s="243" customFormat="1" ht="12">
      <c r="B31" s="244"/>
      <c r="C31" s="245" t="s">
        <v>975</v>
      </c>
      <c r="D31" s="246"/>
      <c r="E31" s="247"/>
      <c r="F31" s="276"/>
      <c r="G31" s="276"/>
      <c r="H31" s="247"/>
      <c r="I31" s="276"/>
      <c r="J31" s="247"/>
      <c r="K31" s="248"/>
      <c r="L31" s="277"/>
      <c r="M31" s="247"/>
      <c r="N31" s="247"/>
      <c r="O31" s="247"/>
      <c r="P31" s="247"/>
      <c r="Q31" s="248"/>
      <c r="R31" s="277"/>
      <c r="S31" s="247"/>
      <c r="T31" s="247"/>
      <c r="U31" s="276"/>
      <c r="V31" s="247"/>
      <c r="W31" s="276"/>
      <c r="X31" s="276"/>
      <c r="Y31" s="276"/>
      <c r="Z31" s="281"/>
      <c r="AA31" s="249"/>
      <c r="AB31" s="247"/>
      <c r="AC31" s="247"/>
      <c r="AD31" s="276"/>
      <c r="AE31" s="248"/>
      <c r="AF31" s="277">
        <v>1</v>
      </c>
      <c r="AG31" s="276">
        <v>1</v>
      </c>
      <c r="AH31" s="276">
        <v>1</v>
      </c>
      <c r="AI31" s="276">
        <v>1</v>
      </c>
      <c r="AJ31" s="276">
        <v>1</v>
      </c>
      <c r="AK31" s="281">
        <v>1</v>
      </c>
      <c r="AL31" s="249"/>
      <c r="AM31" s="281"/>
      <c r="AN31" s="249"/>
      <c r="AO31" s="281">
        <v>1</v>
      </c>
      <c r="AP31" s="241">
        <v>0</v>
      </c>
      <c r="AQ31" s="242" t="s">
        <v>977</v>
      </c>
      <c r="AR31" s="257"/>
    </row>
    <row r="32" spans="2:44" s="243" customFormat="1" ht="13" thickBot="1">
      <c r="B32" s="244"/>
      <c r="C32" s="245"/>
      <c r="D32" s="246"/>
      <c r="E32" s="247"/>
      <c r="F32" s="247"/>
      <c r="G32" s="247"/>
      <c r="H32" s="247"/>
      <c r="I32" s="247"/>
      <c r="J32" s="247"/>
      <c r="K32" s="248"/>
      <c r="L32" s="249"/>
      <c r="M32" s="247"/>
      <c r="N32" s="247"/>
      <c r="O32" s="247"/>
      <c r="P32" s="247"/>
      <c r="Q32" s="248"/>
      <c r="R32" s="249"/>
      <c r="S32" s="247"/>
      <c r="T32" s="247"/>
      <c r="U32" s="247"/>
      <c r="V32" s="247"/>
      <c r="W32" s="247"/>
      <c r="X32" s="247"/>
      <c r="Y32" s="247"/>
      <c r="Z32" s="248"/>
      <c r="AA32" s="249"/>
      <c r="AB32" s="247"/>
      <c r="AC32" s="247"/>
      <c r="AD32" s="247"/>
      <c r="AE32" s="248"/>
      <c r="AF32" s="249"/>
      <c r="AG32" s="247"/>
      <c r="AH32" s="247"/>
      <c r="AI32" s="247"/>
      <c r="AJ32" s="247"/>
      <c r="AK32" s="248"/>
      <c r="AL32" s="249"/>
      <c r="AM32" s="248"/>
      <c r="AN32" s="249"/>
      <c r="AO32" s="248"/>
      <c r="AP32" s="241"/>
      <c r="AQ32" s="242"/>
      <c r="AR32" s="257"/>
    </row>
    <row r="33" spans="2:44" ht="15" thickBot="1">
      <c r="B33" s="233" t="s">
        <v>903</v>
      </c>
      <c r="C33" s="234"/>
      <c r="D33" s="229"/>
      <c r="E33" s="230"/>
      <c r="F33" s="230">
        <v>3</v>
      </c>
      <c r="G33" s="230">
        <v>3</v>
      </c>
      <c r="H33" s="230">
        <v>3</v>
      </c>
      <c r="I33" s="230">
        <v>3</v>
      </c>
      <c r="J33" s="230"/>
      <c r="K33" s="231"/>
      <c r="L33" s="232">
        <v>2</v>
      </c>
      <c r="M33" s="230"/>
      <c r="N33" s="230"/>
      <c r="O33" s="230"/>
      <c r="P33" s="230"/>
      <c r="Q33" s="231"/>
      <c r="R33" s="232">
        <v>4</v>
      </c>
      <c r="S33" s="230">
        <v>3</v>
      </c>
      <c r="T33" s="230"/>
      <c r="U33" s="230"/>
      <c r="V33" s="230">
        <v>3</v>
      </c>
      <c r="W33" s="230"/>
      <c r="X33" s="230"/>
      <c r="Y33" s="230"/>
      <c r="Z33" s="231"/>
      <c r="AA33" s="232">
        <v>3</v>
      </c>
      <c r="AB33" s="230">
        <v>4</v>
      </c>
      <c r="AC33" s="230">
        <v>4</v>
      </c>
      <c r="AD33" s="230">
        <v>4</v>
      </c>
      <c r="AE33" s="231">
        <v>4</v>
      </c>
      <c r="AF33" s="232"/>
      <c r="AG33" s="230"/>
      <c r="AH33" s="230"/>
      <c r="AI33" s="230"/>
      <c r="AJ33" s="230"/>
      <c r="AK33" s="231"/>
      <c r="AL33" s="232"/>
      <c r="AM33" s="231"/>
      <c r="AN33" s="232">
        <v>4</v>
      </c>
      <c r="AO33" s="231"/>
      <c r="AP33" s="179">
        <f>COUNTA(D33:AO33)</f>
        <v>14</v>
      </c>
      <c r="AQ33" s="177"/>
      <c r="AR33" s="256"/>
    </row>
    <row r="34" spans="2:44" s="243" customFormat="1" ht="12">
      <c r="B34" s="235"/>
      <c r="C34" s="236" t="s">
        <v>962</v>
      </c>
      <c r="D34" s="237"/>
      <c r="E34" s="238"/>
      <c r="F34" s="263">
        <v>3</v>
      </c>
      <c r="G34" s="259"/>
      <c r="H34" s="259"/>
      <c r="I34" s="263">
        <v>3</v>
      </c>
      <c r="J34" s="238"/>
      <c r="K34" s="239"/>
      <c r="L34" s="260"/>
      <c r="M34" s="238"/>
      <c r="N34" s="238"/>
      <c r="O34" s="238"/>
      <c r="P34" s="238"/>
      <c r="Q34" s="239"/>
      <c r="R34" s="260"/>
      <c r="S34" s="259"/>
      <c r="T34" s="238"/>
      <c r="U34" s="238"/>
      <c r="V34" s="259"/>
      <c r="W34" s="238"/>
      <c r="X34" s="238"/>
      <c r="Y34" s="238"/>
      <c r="Z34" s="239"/>
      <c r="AA34" s="265">
        <v>4</v>
      </c>
      <c r="AB34" s="259">
        <v>3</v>
      </c>
      <c r="AC34" s="263">
        <v>4</v>
      </c>
      <c r="AD34" s="259">
        <v>3</v>
      </c>
      <c r="AE34" s="261">
        <v>3</v>
      </c>
      <c r="AF34" s="240"/>
      <c r="AG34" s="238"/>
      <c r="AH34" s="238"/>
      <c r="AI34" s="238"/>
      <c r="AJ34" s="238"/>
      <c r="AK34" s="239"/>
      <c r="AL34" s="240"/>
      <c r="AM34" s="239"/>
      <c r="AN34" s="265">
        <v>4</v>
      </c>
      <c r="AO34" s="239"/>
      <c r="AP34" s="241">
        <v>5</v>
      </c>
      <c r="AQ34" s="242" t="s">
        <v>977</v>
      </c>
      <c r="AR34" s="257"/>
    </row>
    <row r="35" spans="2:44" s="243" customFormat="1" ht="13" thickBot="1">
      <c r="B35" s="244"/>
      <c r="C35" s="245"/>
      <c r="D35" s="246"/>
      <c r="E35" s="247"/>
      <c r="F35" s="247"/>
      <c r="G35" s="247"/>
      <c r="H35" s="247"/>
      <c r="I35" s="247"/>
      <c r="J35" s="247"/>
      <c r="K35" s="248"/>
      <c r="L35" s="249"/>
      <c r="M35" s="247"/>
      <c r="N35" s="247"/>
      <c r="O35" s="247"/>
      <c r="P35" s="247"/>
      <c r="Q35" s="248"/>
      <c r="R35" s="249"/>
      <c r="S35" s="247"/>
      <c r="T35" s="247"/>
      <c r="U35" s="247"/>
      <c r="V35" s="247"/>
      <c r="W35" s="247"/>
      <c r="X35" s="247"/>
      <c r="Y35" s="247"/>
      <c r="Z35" s="248"/>
      <c r="AA35" s="249"/>
      <c r="AB35" s="247"/>
      <c r="AC35" s="247"/>
      <c r="AD35" s="247"/>
      <c r="AE35" s="248"/>
      <c r="AF35" s="249"/>
      <c r="AG35" s="247"/>
      <c r="AH35" s="247"/>
      <c r="AI35" s="247"/>
      <c r="AJ35" s="247"/>
      <c r="AK35" s="248"/>
      <c r="AL35" s="249"/>
      <c r="AM35" s="248"/>
      <c r="AN35" s="249"/>
      <c r="AO35" s="248"/>
      <c r="AP35" s="241"/>
      <c r="AQ35" s="242"/>
      <c r="AR35" s="257"/>
    </row>
    <row r="36" spans="2:44" ht="15" thickBot="1">
      <c r="B36" s="233" t="s">
        <v>965</v>
      </c>
      <c r="C36" s="234"/>
      <c r="D36" s="229"/>
      <c r="E36" s="230"/>
      <c r="F36" s="230">
        <v>3</v>
      </c>
      <c r="G36" s="230">
        <v>3</v>
      </c>
      <c r="H36" s="230">
        <v>3</v>
      </c>
      <c r="I36" s="230">
        <v>3</v>
      </c>
      <c r="J36" s="230"/>
      <c r="K36" s="231"/>
      <c r="L36" s="232">
        <v>2</v>
      </c>
      <c r="M36" s="230"/>
      <c r="N36" s="230"/>
      <c r="O36" s="230">
        <v>3</v>
      </c>
      <c r="P36" s="230">
        <v>3</v>
      </c>
      <c r="Q36" s="231"/>
      <c r="R36" s="232">
        <v>4</v>
      </c>
      <c r="S36" s="230">
        <v>3</v>
      </c>
      <c r="T36" s="230"/>
      <c r="U36" s="230"/>
      <c r="V36" s="230">
        <v>3</v>
      </c>
      <c r="W36" s="230"/>
      <c r="X36" s="230"/>
      <c r="Y36" s="230"/>
      <c r="Z36" s="231"/>
      <c r="AA36" s="232">
        <v>3</v>
      </c>
      <c r="AB36" s="230">
        <v>4</v>
      </c>
      <c r="AC36" s="230"/>
      <c r="AD36" s="230">
        <v>4</v>
      </c>
      <c r="AE36" s="231">
        <v>4</v>
      </c>
      <c r="AF36" s="232"/>
      <c r="AG36" s="230"/>
      <c r="AH36" s="230"/>
      <c r="AI36" s="230"/>
      <c r="AJ36" s="230"/>
      <c r="AK36" s="231"/>
      <c r="AL36" s="232"/>
      <c r="AM36" s="231"/>
      <c r="AN36" s="232"/>
      <c r="AO36" s="231"/>
      <c r="AP36" s="179">
        <f>COUNTA(D36:AO36)</f>
        <v>14</v>
      </c>
      <c r="AQ36" s="177"/>
      <c r="AR36" s="256"/>
    </row>
    <row r="37" spans="2:44" s="243" customFormat="1" ht="12">
      <c r="B37" s="235"/>
      <c r="C37" s="236" t="s">
        <v>964</v>
      </c>
      <c r="D37" s="237"/>
      <c r="E37" s="238"/>
      <c r="F37" s="259">
        <v>2</v>
      </c>
      <c r="G37" s="259"/>
      <c r="H37" s="259"/>
      <c r="I37" s="259">
        <v>1</v>
      </c>
      <c r="J37" s="238"/>
      <c r="K37" s="274">
        <v>2</v>
      </c>
      <c r="L37" s="265">
        <v>3</v>
      </c>
      <c r="M37" s="238"/>
      <c r="N37" s="238"/>
      <c r="O37" s="263">
        <v>3</v>
      </c>
      <c r="P37" s="259">
        <v>1</v>
      </c>
      <c r="Q37" s="239"/>
      <c r="R37" s="260">
        <v>3</v>
      </c>
      <c r="S37" s="263">
        <v>4</v>
      </c>
      <c r="T37" s="238"/>
      <c r="U37" s="238"/>
      <c r="V37" s="263">
        <v>3</v>
      </c>
      <c r="W37" s="238"/>
      <c r="X37" s="238"/>
      <c r="Y37" s="238"/>
      <c r="Z37" s="239"/>
      <c r="AA37" s="265">
        <v>4</v>
      </c>
      <c r="AB37" s="259">
        <v>2</v>
      </c>
      <c r="AC37" s="238"/>
      <c r="AD37" s="263">
        <v>4</v>
      </c>
      <c r="AE37" s="261"/>
      <c r="AF37" s="275">
        <v>3</v>
      </c>
      <c r="AG37" s="238"/>
      <c r="AH37" s="238"/>
      <c r="AI37" s="238"/>
      <c r="AJ37" s="238"/>
      <c r="AK37" s="274">
        <v>2</v>
      </c>
      <c r="AL37" s="240"/>
      <c r="AM37" s="239"/>
      <c r="AN37" s="275">
        <v>1</v>
      </c>
      <c r="AO37" s="274">
        <v>2</v>
      </c>
      <c r="AP37" s="241">
        <v>6</v>
      </c>
      <c r="AQ37" s="242" t="s">
        <v>977</v>
      </c>
      <c r="AR37" s="257"/>
    </row>
    <row r="38" spans="2:44" s="243" customFormat="1" ht="13" thickBot="1">
      <c r="B38" s="244"/>
      <c r="C38" s="245"/>
      <c r="D38" s="246"/>
      <c r="E38" s="247"/>
      <c r="F38" s="247"/>
      <c r="G38" s="247"/>
      <c r="H38" s="247"/>
      <c r="I38" s="247"/>
      <c r="J38" s="247"/>
      <c r="K38" s="248"/>
      <c r="L38" s="249"/>
      <c r="M38" s="247"/>
      <c r="N38" s="247"/>
      <c r="O38" s="247"/>
      <c r="P38" s="247"/>
      <c r="Q38" s="248"/>
      <c r="R38" s="249"/>
      <c r="S38" s="247"/>
      <c r="T38" s="247"/>
      <c r="U38" s="247"/>
      <c r="V38" s="247"/>
      <c r="W38" s="247"/>
      <c r="X38" s="247"/>
      <c r="Y38" s="247"/>
      <c r="Z38" s="248"/>
      <c r="AA38" s="249"/>
      <c r="AB38" s="247"/>
      <c r="AC38" s="247"/>
      <c r="AD38" s="247"/>
      <c r="AE38" s="248"/>
      <c r="AF38" s="249"/>
      <c r="AG38" s="247"/>
      <c r="AH38" s="247"/>
      <c r="AI38" s="247"/>
      <c r="AJ38" s="247"/>
      <c r="AK38" s="248"/>
      <c r="AL38" s="249"/>
      <c r="AM38" s="248"/>
      <c r="AN38" s="249"/>
      <c r="AO38" s="248"/>
      <c r="AP38" s="241"/>
      <c r="AQ38" s="242"/>
      <c r="AR38" s="257"/>
    </row>
    <row r="39" spans="2:44" ht="15" thickBot="1">
      <c r="B39" s="233" t="s">
        <v>968</v>
      </c>
      <c r="C39" s="234"/>
      <c r="D39" s="229"/>
      <c r="E39" s="230"/>
      <c r="F39" s="230"/>
      <c r="G39" s="230"/>
      <c r="H39" s="230"/>
      <c r="I39" s="230"/>
      <c r="J39" s="230"/>
      <c r="K39" s="231"/>
      <c r="L39" s="232">
        <v>2</v>
      </c>
      <c r="M39" s="230"/>
      <c r="N39" s="230"/>
      <c r="O39" s="230"/>
      <c r="P39" s="230"/>
      <c r="Q39" s="231"/>
      <c r="R39" s="232"/>
      <c r="S39" s="230"/>
      <c r="T39" s="230"/>
      <c r="U39" s="230"/>
      <c r="V39" s="230"/>
      <c r="W39" s="230"/>
      <c r="X39" s="230">
        <v>3</v>
      </c>
      <c r="Y39" s="230">
        <v>2</v>
      </c>
      <c r="Z39" s="231"/>
      <c r="AA39" s="232"/>
      <c r="AB39" s="230"/>
      <c r="AC39" s="230"/>
      <c r="AD39" s="230"/>
      <c r="AE39" s="231"/>
      <c r="AF39" s="232"/>
      <c r="AG39" s="230"/>
      <c r="AH39" s="230"/>
      <c r="AI39" s="230"/>
      <c r="AJ39" s="230"/>
      <c r="AK39" s="231"/>
      <c r="AL39" s="232">
        <v>4</v>
      </c>
      <c r="AM39" s="231">
        <v>2</v>
      </c>
      <c r="AN39" s="232"/>
      <c r="AO39" s="231"/>
      <c r="AP39" s="179">
        <f>COUNTA(D39:AO39)</f>
        <v>5</v>
      </c>
      <c r="AQ39" s="177"/>
      <c r="AR39" s="256"/>
    </row>
    <row r="40" spans="2:44" s="243" customFormat="1" ht="12">
      <c r="B40" s="235"/>
      <c r="C40" s="236" t="s">
        <v>969</v>
      </c>
      <c r="D40" s="237"/>
      <c r="E40" s="238"/>
      <c r="F40" s="238"/>
      <c r="G40" s="238"/>
      <c r="H40" s="238"/>
      <c r="I40" s="238"/>
      <c r="J40" s="238"/>
      <c r="K40" s="239"/>
      <c r="L40" s="260"/>
      <c r="M40" s="238"/>
      <c r="N40" s="238"/>
      <c r="O40" s="238"/>
      <c r="P40" s="238"/>
      <c r="Q40" s="239"/>
      <c r="R40" s="240"/>
      <c r="S40" s="238"/>
      <c r="T40" s="238"/>
      <c r="U40" s="238"/>
      <c r="V40" s="238"/>
      <c r="W40" s="238"/>
      <c r="X40" s="263">
        <v>3</v>
      </c>
      <c r="Y40" s="263">
        <v>2</v>
      </c>
      <c r="Z40" s="239"/>
      <c r="AA40" s="240"/>
      <c r="AB40" s="238"/>
      <c r="AC40" s="238"/>
      <c r="AD40" s="273">
        <v>3</v>
      </c>
      <c r="AE40" s="239"/>
      <c r="AF40" s="275">
        <v>2</v>
      </c>
      <c r="AG40" s="273">
        <v>2</v>
      </c>
      <c r="AH40" s="273">
        <v>3</v>
      </c>
      <c r="AI40" s="238"/>
      <c r="AJ40" s="273">
        <v>2</v>
      </c>
      <c r="AK40" s="274">
        <v>2</v>
      </c>
      <c r="AL40" s="260">
        <v>3</v>
      </c>
      <c r="AM40" s="261">
        <v>3</v>
      </c>
      <c r="AN40" s="240"/>
      <c r="AO40" s="239"/>
      <c r="AP40" s="241">
        <v>2</v>
      </c>
      <c r="AQ40" s="242" t="s">
        <v>978</v>
      </c>
      <c r="AR40" s="257"/>
    </row>
    <row r="41" spans="2:44" s="243" customFormat="1" ht="12">
      <c r="B41" s="244"/>
      <c r="C41" s="245" t="s">
        <v>970</v>
      </c>
      <c r="D41" s="246"/>
      <c r="E41" s="247"/>
      <c r="F41" s="283">
        <v>3</v>
      </c>
      <c r="G41" s="247"/>
      <c r="H41" s="247"/>
      <c r="I41" s="247"/>
      <c r="J41" s="247"/>
      <c r="K41" s="248"/>
      <c r="L41" s="277"/>
      <c r="M41" s="247"/>
      <c r="N41" s="247"/>
      <c r="O41" s="247"/>
      <c r="P41" s="247"/>
      <c r="Q41" s="248"/>
      <c r="R41" s="249"/>
      <c r="S41" s="247"/>
      <c r="T41" s="247"/>
      <c r="U41" s="247"/>
      <c r="V41" s="247"/>
      <c r="W41" s="247"/>
      <c r="X41" s="279">
        <v>4</v>
      </c>
      <c r="Y41" s="279">
        <v>2</v>
      </c>
      <c r="Z41" s="248"/>
      <c r="AA41" s="249"/>
      <c r="AB41" s="247"/>
      <c r="AC41" s="247"/>
      <c r="AD41" s="247"/>
      <c r="AE41" s="248"/>
      <c r="AF41" s="249"/>
      <c r="AG41" s="247"/>
      <c r="AH41" s="247"/>
      <c r="AI41" s="247"/>
      <c r="AJ41" s="247"/>
      <c r="AK41" s="248"/>
      <c r="AL41" s="277">
        <v>3</v>
      </c>
      <c r="AM41" s="282">
        <v>4</v>
      </c>
      <c r="AN41" s="249"/>
      <c r="AO41" s="248"/>
      <c r="AP41" s="241">
        <v>3</v>
      </c>
      <c r="AQ41" s="242" t="s">
        <v>977</v>
      </c>
      <c r="AR41" s="257"/>
    </row>
    <row r="42" spans="2:44" s="243" customFormat="1" ht="12">
      <c r="B42" s="244"/>
      <c r="C42" s="245" t="s">
        <v>971</v>
      </c>
      <c r="D42" s="246"/>
      <c r="E42" s="247"/>
      <c r="F42" s="247"/>
      <c r="G42" s="247"/>
      <c r="H42" s="247"/>
      <c r="I42" s="247"/>
      <c r="J42" s="247"/>
      <c r="K42" s="248"/>
      <c r="L42" s="277"/>
      <c r="M42" s="247"/>
      <c r="N42" s="247"/>
      <c r="O42" s="247"/>
      <c r="P42" s="247"/>
      <c r="Q42" s="248"/>
      <c r="R42" s="249"/>
      <c r="S42" s="247"/>
      <c r="T42" s="247"/>
      <c r="U42" s="247"/>
      <c r="V42" s="247"/>
      <c r="W42" s="247"/>
      <c r="X42" s="247"/>
      <c r="Y42" s="247"/>
      <c r="Z42" s="248"/>
      <c r="AA42" s="249"/>
      <c r="AB42" s="247"/>
      <c r="AC42" s="247"/>
      <c r="AD42" s="247"/>
      <c r="AE42" s="248"/>
      <c r="AF42" s="249"/>
      <c r="AG42" s="247"/>
      <c r="AH42" s="247"/>
      <c r="AI42" s="247"/>
      <c r="AJ42" s="247"/>
      <c r="AK42" s="248"/>
      <c r="AL42" s="249"/>
      <c r="AM42" s="248"/>
      <c r="AN42" s="249"/>
      <c r="AO42" s="248"/>
      <c r="AP42" s="241"/>
      <c r="AQ42" s="242"/>
      <c r="AR42" s="257"/>
    </row>
    <row r="43" spans="2:44" s="243" customFormat="1" ht="13" thickBot="1">
      <c r="B43" s="244"/>
      <c r="C43" s="245"/>
      <c r="D43" s="246"/>
      <c r="E43" s="247"/>
      <c r="F43" s="247"/>
      <c r="G43" s="247"/>
      <c r="H43" s="247"/>
      <c r="I43" s="247"/>
      <c r="J43" s="247"/>
      <c r="K43" s="248"/>
      <c r="L43" s="249"/>
      <c r="M43" s="247"/>
      <c r="N43" s="247"/>
      <c r="O43" s="247"/>
      <c r="P43" s="247"/>
      <c r="Q43" s="248"/>
      <c r="R43" s="249"/>
      <c r="S43" s="247"/>
      <c r="T43" s="247"/>
      <c r="U43" s="247"/>
      <c r="V43" s="247"/>
      <c r="W43" s="247"/>
      <c r="X43" s="247"/>
      <c r="Y43" s="247"/>
      <c r="Z43" s="248"/>
      <c r="AA43" s="249"/>
      <c r="AB43" s="247"/>
      <c r="AC43" s="247"/>
      <c r="AD43" s="247"/>
      <c r="AE43" s="248"/>
      <c r="AF43" s="249"/>
      <c r="AG43" s="247"/>
      <c r="AH43" s="247"/>
      <c r="AI43" s="247"/>
      <c r="AJ43" s="247"/>
      <c r="AK43" s="248"/>
      <c r="AL43" s="249"/>
      <c r="AM43" s="248"/>
      <c r="AN43" s="249"/>
      <c r="AO43" s="248"/>
      <c r="AP43" s="241"/>
      <c r="AQ43" s="242"/>
      <c r="AR43" s="257"/>
    </row>
    <row r="44" spans="2:44" ht="15" thickBot="1">
      <c r="B44" s="233" t="s">
        <v>129</v>
      </c>
      <c r="C44" s="234"/>
      <c r="D44" s="229"/>
      <c r="E44" s="230"/>
      <c r="F44" s="230"/>
      <c r="G44" s="230"/>
      <c r="H44" s="230"/>
      <c r="I44" s="230"/>
      <c r="J44" s="230"/>
      <c r="K44" s="231"/>
      <c r="L44" s="232">
        <v>2</v>
      </c>
      <c r="M44" s="230"/>
      <c r="N44" s="230"/>
      <c r="O44" s="230"/>
      <c r="P44" s="230"/>
      <c r="Q44" s="231"/>
      <c r="R44" s="232"/>
      <c r="S44" s="230">
        <v>3</v>
      </c>
      <c r="T44" s="230"/>
      <c r="U44" s="230"/>
      <c r="V44" s="230"/>
      <c r="W44" s="230"/>
      <c r="X44" s="230"/>
      <c r="Y44" s="230"/>
      <c r="Z44" s="231"/>
      <c r="AA44" s="232"/>
      <c r="AB44" s="230"/>
      <c r="AC44" s="230"/>
      <c r="AD44" s="230"/>
      <c r="AE44" s="231"/>
      <c r="AF44" s="232"/>
      <c r="AG44" s="230"/>
      <c r="AH44" s="230"/>
      <c r="AI44" s="230"/>
      <c r="AJ44" s="230"/>
      <c r="AK44" s="231"/>
      <c r="AL44" s="232">
        <v>4</v>
      </c>
      <c r="AM44" s="231">
        <v>2</v>
      </c>
      <c r="AN44" s="232"/>
      <c r="AO44" s="231"/>
      <c r="AP44" s="179">
        <f>COUNTA(D44:AO44)</f>
        <v>4</v>
      </c>
      <c r="AQ44" s="177"/>
      <c r="AR44" s="256"/>
    </row>
    <row r="45" spans="2:44" s="243" customFormat="1" ht="13" thickBot="1">
      <c r="B45" s="235"/>
      <c r="C45" s="236" t="s">
        <v>973</v>
      </c>
      <c r="D45" s="284">
        <v>1</v>
      </c>
      <c r="E45" s="273">
        <v>4</v>
      </c>
      <c r="F45" s="273">
        <v>2</v>
      </c>
      <c r="G45" s="273">
        <v>2</v>
      </c>
      <c r="H45" s="273">
        <v>2</v>
      </c>
      <c r="I45" s="273">
        <v>2</v>
      </c>
      <c r="J45" s="273">
        <v>2</v>
      </c>
      <c r="K45" s="274">
        <v>4</v>
      </c>
      <c r="L45" s="265">
        <v>4</v>
      </c>
      <c r="M45" s="273">
        <v>2</v>
      </c>
      <c r="N45" s="273">
        <v>2</v>
      </c>
      <c r="O45" s="273">
        <v>3</v>
      </c>
      <c r="P45" s="273">
        <v>4</v>
      </c>
      <c r="Q45" s="274">
        <v>2</v>
      </c>
      <c r="R45" s="240"/>
      <c r="S45" s="259">
        <v>2</v>
      </c>
      <c r="T45" s="273">
        <v>2</v>
      </c>
      <c r="U45" s="273">
        <v>3</v>
      </c>
      <c r="V45" s="273">
        <v>2</v>
      </c>
      <c r="W45" s="273">
        <v>2</v>
      </c>
      <c r="X45" s="273">
        <v>4</v>
      </c>
      <c r="Y45" s="273">
        <v>1</v>
      </c>
      <c r="Z45" s="274">
        <v>2</v>
      </c>
      <c r="AA45" s="275">
        <v>3</v>
      </c>
      <c r="AB45" s="273">
        <v>1</v>
      </c>
      <c r="AC45" s="273">
        <v>3</v>
      </c>
      <c r="AD45" s="273">
        <v>4</v>
      </c>
      <c r="AE45" s="274">
        <v>2</v>
      </c>
      <c r="AF45" s="275">
        <v>3</v>
      </c>
      <c r="AG45" s="273">
        <v>1</v>
      </c>
      <c r="AH45" s="273">
        <v>2</v>
      </c>
      <c r="AI45" s="273">
        <v>1</v>
      </c>
      <c r="AJ45" s="273">
        <v>1</v>
      </c>
      <c r="AK45" s="274">
        <v>1</v>
      </c>
      <c r="AL45" s="260">
        <v>2</v>
      </c>
      <c r="AM45" s="264">
        <v>4</v>
      </c>
      <c r="AN45" s="275">
        <v>1</v>
      </c>
      <c r="AO45" s="274">
        <v>4</v>
      </c>
      <c r="AP45" s="291"/>
      <c r="AQ45" s="292" t="s">
        <v>978</v>
      </c>
      <c r="AR45" s="257"/>
    </row>
    <row r="46" spans="2:44" s="243" customFormat="1" ht="13" thickBot="1">
      <c r="B46" s="244"/>
      <c r="C46" s="245"/>
      <c r="D46" s="246"/>
      <c r="E46" s="247"/>
      <c r="F46" s="247"/>
      <c r="G46" s="247"/>
      <c r="H46" s="247"/>
      <c r="I46" s="247"/>
      <c r="J46" s="247"/>
      <c r="K46" s="248"/>
      <c r="L46" s="249"/>
      <c r="M46" s="247"/>
      <c r="N46" s="247"/>
      <c r="O46" s="247"/>
      <c r="P46" s="247"/>
      <c r="Q46" s="248"/>
      <c r="R46" s="249"/>
      <c r="S46" s="247"/>
      <c r="T46" s="247"/>
      <c r="U46" s="247"/>
      <c r="V46" s="247"/>
      <c r="W46" s="247"/>
      <c r="X46" s="247"/>
      <c r="Y46" s="247"/>
      <c r="Z46" s="248"/>
      <c r="AA46" s="249"/>
      <c r="AB46" s="247"/>
      <c r="AC46" s="247"/>
      <c r="AD46" s="247"/>
      <c r="AE46" s="248"/>
      <c r="AF46" s="249"/>
      <c r="AG46" s="247"/>
      <c r="AH46" s="247"/>
      <c r="AI46" s="247"/>
      <c r="AJ46" s="247"/>
      <c r="AK46" s="248"/>
      <c r="AL46" s="249"/>
      <c r="AM46" s="248"/>
      <c r="AN46" s="249"/>
      <c r="AO46" s="248"/>
      <c r="AP46" s="293"/>
      <c r="AQ46" s="294"/>
      <c r="AR46" s="289"/>
    </row>
    <row r="47" spans="2:44" ht="15" thickBot="1">
      <c r="B47" s="233" t="s">
        <v>966</v>
      </c>
      <c r="C47" s="234"/>
      <c r="D47" s="229"/>
      <c r="E47" s="230"/>
      <c r="F47" s="230">
        <v>4</v>
      </c>
      <c r="G47" s="230">
        <v>3</v>
      </c>
      <c r="H47" s="230">
        <v>3</v>
      </c>
      <c r="I47" s="230">
        <v>3</v>
      </c>
      <c r="J47" s="230"/>
      <c r="K47" s="231"/>
      <c r="L47" s="232">
        <v>3</v>
      </c>
      <c r="M47" s="230">
        <v>3</v>
      </c>
      <c r="N47" s="230">
        <v>4</v>
      </c>
      <c r="O47" s="230">
        <v>3</v>
      </c>
      <c r="P47" s="230">
        <v>2</v>
      </c>
      <c r="Q47" s="231">
        <v>4</v>
      </c>
      <c r="R47" s="232"/>
      <c r="S47" s="230"/>
      <c r="T47" s="230"/>
      <c r="U47" s="230"/>
      <c r="V47" s="230"/>
      <c r="W47" s="230"/>
      <c r="X47" s="230"/>
      <c r="Y47" s="230"/>
      <c r="Z47" s="231"/>
      <c r="AA47" s="232"/>
      <c r="AB47" s="230"/>
      <c r="AC47" s="230"/>
      <c r="AD47" s="230"/>
      <c r="AE47" s="231"/>
      <c r="AF47" s="232"/>
      <c r="AG47" s="230"/>
      <c r="AH47" s="230"/>
      <c r="AI47" s="230"/>
      <c r="AJ47" s="230"/>
      <c r="AK47" s="231"/>
      <c r="AL47" s="232"/>
      <c r="AM47" s="231"/>
      <c r="AN47" s="232">
        <v>2</v>
      </c>
      <c r="AO47" s="231">
        <v>2</v>
      </c>
      <c r="AP47" s="180">
        <f>COUNTA(D47:AO47)</f>
        <v>12</v>
      </c>
      <c r="AQ47" s="181"/>
      <c r="AR47" s="290"/>
    </row>
    <row r="48" spans="2:44" s="243" customFormat="1" ht="12">
      <c r="B48" s="235"/>
      <c r="C48" s="236" t="s">
        <v>967</v>
      </c>
      <c r="D48" s="237"/>
      <c r="E48" s="238"/>
      <c r="F48" s="259">
        <v>2</v>
      </c>
      <c r="G48" s="259">
        <v>2</v>
      </c>
      <c r="H48" s="259">
        <v>2</v>
      </c>
      <c r="I48" s="259">
        <v>2</v>
      </c>
      <c r="J48" s="273">
        <v>2</v>
      </c>
      <c r="K48" s="274">
        <v>3</v>
      </c>
      <c r="L48" s="265">
        <v>4</v>
      </c>
      <c r="M48" s="263">
        <v>4</v>
      </c>
      <c r="N48" s="263">
        <v>5</v>
      </c>
      <c r="O48" s="263">
        <v>4</v>
      </c>
      <c r="P48" s="263">
        <v>3</v>
      </c>
      <c r="Q48" s="264">
        <v>5</v>
      </c>
      <c r="R48" s="275">
        <v>3</v>
      </c>
      <c r="S48" s="273">
        <v>2</v>
      </c>
      <c r="T48" s="273">
        <v>2</v>
      </c>
      <c r="U48" s="273">
        <v>2</v>
      </c>
      <c r="V48" s="273">
        <v>3</v>
      </c>
      <c r="W48" s="273">
        <v>1</v>
      </c>
      <c r="X48" s="273">
        <v>2</v>
      </c>
      <c r="Y48" s="273">
        <v>2</v>
      </c>
      <c r="Z48" s="274">
        <v>2</v>
      </c>
      <c r="AA48" s="275">
        <v>3</v>
      </c>
      <c r="AB48" s="273">
        <v>3</v>
      </c>
      <c r="AC48" s="273">
        <v>2</v>
      </c>
      <c r="AD48" s="273">
        <v>2</v>
      </c>
      <c r="AE48" s="274">
        <v>2</v>
      </c>
      <c r="AF48" s="275">
        <v>2</v>
      </c>
      <c r="AG48" s="273">
        <v>2</v>
      </c>
      <c r="AH48" s="273">
        <v>3</v>
      </c>
      <c r="AI48" s="273">
        <v>4</v>
      </c>
      <c r="AJ48" s="273">
        <v>3</v>
      </c>
      <c r="AK48" s="274">
        <v>3</v>
      </c>
      <c r="AL48" s="275">
        <v>1</v>
      </c>
      <c r="AM48" s="274">
        <v>2</v>
      </c>
      <c r="AN48" s="265">
        <v>3</v>
      </c>
      <c r="AO48" s="264">
        <v>2</v>
      </c>
      <c r="AP48" s="295"/>
      <c r="AQ48" s="296" t="s">
        <v>980</v>
      </c>
      <c r="AR48" s="289"/>
    </row>
    <row r="49" spans="2:44" s="243" customFormat="1" ht="13" thickBot="1">
      <c r="B49" s="244"/>
      <c r="C49" s="245"/>
      <c r="D49" s="246"/>
      <c r="E49" s="247"/>
      <c r="F49" s="247"/>
      <c r="G49" s="247"/>
      <c r="H49" s="247"/>
      <c r="I49" s="247"/>
      <c r="J49" s="247"/>
      <c r="K49" s="248"/>
      <c r="L49" s="249"/>
      <c r="M49" s="247"/>
      <c r="N49" s="247"/>
      <c r="O49" s="247"/>
      <c r="P49" s="247"/>
      <c r="Q49" s="248"/>
      <c r="R49" s="249"/>
      <c r="S49" s="247"/>
      <c r="T49" s="247"/>
      <c r="U49" s="247"/>
      <c r="V49" s="247"/>
      <c r="W49" s="247"/>
      <c r="X49" s="247"/>
      <c r="Y49" s="247"/>
      <c r="Z49" s="248"/>
      <c r="AA49" s="249"/>
      <c r="AB49" s="247"/>
      <c r="AC49" s="247"/>
      <c r="AD49" s="247"/>
      <c r="AE49" s="248"/>
      <c r="AF49" s="249"/>
      <c r="AG49" s="247"/>
      <c r="AH49" s="247"/>
      <c r="AI49" s="247"/>
      <c r="AJ49" s="247"/>
      <c r="AK49" s="248"/>
      <c r="AL49" s="249"/>
      <c r="AM49" s="248"/>
      <c r="AN49" s="249"/>
      <c r="AO49" s="248"/>
      <c r="AP49" s="295"/>
      <c r="AQ49" s="296"/>
      <c r="AR49" s="289"/>
    </row>
    <row r="50" spans="2:44" ht="15" thickBot="1">
      <c r="B50" s="233" t="s">
        <v>925</v>
      </c>
      <c r="C50" s="234"/>
      <c r="D50" s="229"/>
      <c r="E50" s="230"/>
      <c r="F50" s="230">
        <v>1</v>
      </c>
      <c r="G50" s="230"/>
      <c r="H50" s="230"/>
      <c r="I50" s="230">
        <v>2</v>
      </c>
      <c r="J50" s="230"/>
      <c r="K50" s="231"/>
      <c r="L50" s="232">
        <v>2</v>
      </c>
      <c r="M50" s="230"/>
      <c r="N50" s="230"/>
      <c r="O50" s="230"/>
      <c r="P50" s="230"/>
      <c r="Q50" s="231"/>
      <c r="R50" s="232"/>
      <c r="S50" s="230"/>
      <c r="T50" s="230"/>
      <c r="U50" s="230"/>
      <c r="V50" s="230"/>
      <c r="W50" s="230">
        <v>2</v>
      </c>
      <c r="X50" s="230">
        <v>2</v>
      </c>
      <c r="Y50" s="230"/>
      <c r="Z50" s="231">
        <v>2</v>
      </c>
      <c r="AA50" s="232"/>
      <c r="AB50" s="230"/>
      <c r="AC50" s="230"/>
      <c r="AD50" s="230">
        <v>2</v>
      </c>
      <c r="AE50" s="231"/>
      <c r="AF50" s="232"/>
      <c r="AG50" s="230">
        <v>2</v>
      </c>
      <c r="AH50" s="230">
        <v>3</v>
      </c>
      <c r="AI50" s="230"/>
      <c r="AJ50" s="230"/>
      <c r="AK50" s="231"/>
      <c r="AL50" s="232"/>
      <c r="AM50" s="231"/>
      <c r="AN50" s="232"/>
      <c r="AO50" s="231">
        <v>3</v>
      </c>
      <c r="AP50" s="180">
        <f>COUNTA(D50:AO50)</f>
        <v>10</v>
      </c>
      <c r="AQ50" s="181"/>
      <c r="AR50" s="290"/>
    </row>
    <row r="51" spans="2:44" s="243" customFormat="1" ht="12">
      <c r="B51" s="235"/>
      <c r="C51" s="236" t="s">
        <v>972</v>
      </c>
      <c r="D51" s="237"/>
      <c r="E51" s="238"/>
      <c r="F51" s="259"/>
      <c r="G51" s="238"/>
      <c r="H51" s="238"/>
      <c r="I51" s="263">
        <v>2</v>
      </c>
      <c r="J51" s="238"/>
      <c r="K51" s="239"/>
      <c r="L51" s="260"/>
      <c r="M51" s="238"/>
      <c r="N51" s="273">
        <v>2</v>
      </c>
      <c r="O51" s="273">
        <v>3</v>
      </c>
      <c r="P51" s="273">
        <v>2</v>
      </c>
      <c r="Q51" s="274">
        <v>2</v>
      </c>
      <c r="R51" s="275">
        <v>4</v>
      </c>
      <c r="S51" s="238"/>
      <c r="T51" s="238"/>
      <c r="U51" s="238"/>
      <c r="V51" s="238"/>
      <c r="W51" s="263">
        <v>2</v>
      </c>
      <c r="X51" s="259"/>
      <c r="Y51" s="238"/>
      <c r="Z51" s="264">
        <v>2</v>
      </c>
      <c r="AA51" s="240"/>
      <c r="AB51" s="238"/>
      <c r="AC51" s="238"/>
      <c r="AD51" s="263">
        <v>2</v>
      </c>
      <c r="AE51" s="264">
        <v>2</v>
      </c>
      <c r="AF51" s="240"/>
      <c r="AG51" s="263">
        <v>2</v>
      </c>
      <c r="AH51" s="263">
        <v>3</v>
      </c>
      <c r="AI51" s="238"/>
      <c r="AJ51" s="238"/>
      <c r="AK51" s="239"/>
      <c r="AL51" s="275">
        <v>2</v>
      </c>
      <c r="AM51" s="239"/>
      <c r="AN51" s="240"/>
      <c r="AO51" s="261"/>
      <c r="AP51" s="295"/>
      <c r="AQ51" s="296" t="s">
        <v>978</v>
      </c>
      <c r="AR51" s="289"/>
    </row>
    <row r="52" spans="2:44" s="243" customFormat="1" ht="13" thickBot="1">
      <c r="B52" s="244"/>
      <c r="C52" s="245"/>
      <c r="D52" s="246"/>
      <c r="E52" s="247"/>
      <c r="F52" s="247"/>
      <c r="G52" s="247"/>
      <c r="H52" s="247"/>
      <c r="I52" s="247"/>
      <c r="J52" s="247"/>
      <c r="K52" s="248"/>
      <c r="L52" s="249"/>
      <c r="M52" s="247"/>
      <c r="N52" s="247"/>
      <c r="O52" s="247"/>
      <c r="P52" s="247"/>
      <c r="Q52" s="248"/>
      <c r="R52" s="249"/>
      <c r="S52" s="247"/>
      <c r="T52" s="247"/>
      <c r="U52" s="247"/>
      <c r="V52" s="247"/>
      <c r="W52" s="247"/>
      <c r="X52" s="247"/>
      <c r="Y52" s="247"/>
      <c r="Z52" s="248"/>
      <c r="AA52" s="249"/>
      <c r="AB52" s="247"/>
      <c r="AC52" s="247"/>
      <c r="AD52" s="247"/>
      <c r="AE52" s="248"/>
      <c r="AF52" s="249"/>
      <c r="AG52" s="247"/>
      <c r="AH52" s="247"/>
      <c r="AI52" s="247"/>
      <c r="AJ52" s="247"/>
      <c r="AK52" s="248"/>
      <c r="AL52" s="249"/>
      <c r="AM52" s="248"/>
      <c r="AN52" s="249"/>
      <c r="AO52" s="248"/>
      <c r="AP52" s="295"/>
      <c r="AQ52" s="296"/>
      <c r="AR52" s="289"/>
    </row>
    <row r="53" spans="2:44" ht="15" thickBot="1">
      <c r="B53" s="233" t="s">
        <v>948</v>
      </c>
      <c r="C53" s="234"/>
      <c r="D53" s="229"/>
      <c r="E53" s="230"/>
      <c r="F53" s="230">
        <v>1</v>
      </c>
      <c r="G53" s="230"/>
      <c r="H53" s="230">
        <v>2</v>
      </c>
      <c r="I53" s="230">
        <v>2</v>
      </c>
      <c r="J53" s="230"/>
      <c r="K53" s="231"/>
      <c r="L53" s="232">
        <v>2</v>
      </c>
      <c r="M53" s="230"/>
      <c r="N53" s="230"/>
      <c r="O53" s="230"/>
      <c r="P53" s="230"/>
      <c r="Q53" s="231"/>
      <c r="R53" s="232"/>
      <c r="S53" s="230"/>
      <c r="T53" s="230"/>
      <c r="U53" s="230"/>
      <c r="V53" s="230">
        <v>2</v>
      </c>
      <c r="W53" s="230"/>
      <c r="X53" s="230"/>
      <c r="Y53" s="230"/>
      <c r="Z53" s="231"/>
      <c r="AA53" s="232">
        <v>2</v>
      </c>
      <c r="AB53" s="230">
        <v>2</v>
      </c>
      <c r="AC53" s="230">
        <v>3</v>
      </c>
      <c r="AD53" s="230"/>
      <c r="AE53" s="231">
        <v>2</v>
      </c>
      <c r="AF53" s="232"/>
      <c r="AG53" s="230"/>
      <c r="AH53" s="230"/>
      <c r="AI53" s="230"/>
      <c r="AJ53" s="230"/>
      <c r="AK53" s="231"/>
      <c r="AL53" s="232"/>
      <c r="AM53" s="231"/>
      <c r="AN53" s="232">
        <v>3</v>
      </c>
      <c r="AO53" s="231"/>
      <c r="AP53" s="180">
        <f>COUNTA(D53:AO53)</f>
        <v>10</v>
      </c>
      <c r="AQ53" s="181"/>
      <c r="AR53" s="290"/>
    </row>
    <row r="54" spans="2:44" s="243" customFormat="1" ht="12">
      <c r="B54" s="235"/>
      <c r="C54" s="236" t="s">
        <v>963</v>
      </c>
      <c r="D54" s="237"/>
      <c r="E54" s="238"/>
      <c r="F54" s="259"/>
      <c r="G54" s="238"/>
      <c r="H54" s="263">
        <v>2</v>
      </c>
      <c r="I54" s="263">
        <v>2</v>
      </c>
      <c r="J54" s="273">
        <v>2</v>
      </c>
      <c r="K54" s="239"/>
      <c r="L54" s="265">
        <v>2</v>
      </c>
      <c r="M54" s="273">
        <v>2</v>
      </c>
      <c r="N54" s="273">
        <v>2</v>
      </c>
      <c r="O54" s="273">
        <v>1</v>
      </c>
      <c r="P54" s="273">
        <v>2</v>
      </c>
      <c r="Q54" s="274">
        <v>2</v>
      </c>
      <c r="R54" s="240"/>
      <c r="S54" s="238"/>
      <c r="T54" s="238"/>
      <c r="U54" s="238"/>
      <c r="V54" s="263">
        <v>2</v>
      </c>
      <c r="W54" s="238"/>
      <c r="X54" s="238"/>
      <c r="Y54" s="238"/>
      <c r="Z54" s="239"/>
      <c r="AA54" s="265">
        <v>2</v>
      </c>
      <c r="AB54" s="263">
        <v>3</v>
      </c>
      <c r="AC54" s="259"/>
      <c r="AD54" s="238"/>
      <c r="AE54" s="264">
        <v>2</v>
      </c>
      <c r="AF54" s="240"/>
      <c r="AG54" s="238"/>
      <c r="AH54" s="238"/>
      <c r="AI54" s="238"/>
      <c r="AJ54" s="238"/>
      <c r="AK54" s="239"/>
      <c r="AL54" s="240"/>
      <c r="AM54" s="239"/>
      <c r="AN54" s="260">
        <v>2</v>
      </c>
      <c r="AO54" s="239"/>
      <c r="AP54" s="295"/>
      <c r="AQ54" s="296" t="s">
        <v>978</v>
      </c>
      <c r="AR54" s="289"/>
    </row>
    <row r="55" spans="2:44" s="243" customFormat="1" ht="12">
      <c r="B55" s="244"/>
      <c r="C55" s="245"/>
      <c r="D55" s="246"/>
      <c r="E55" s="247"/>
      <c r="F55" s="247"/>
      <c r="G55" s="247"/>
      <c r="H55" s="247"/>
      <c r="I55" s="247"/>
      <c r="J55" s="247"/>
      <c r="K55" s="248"/>
      <c r="L55" s="249"/>
      <c r="M55" s="247"/>
      <c r="N55" s="247"/>
      <c r="O55" s="247"/>
      <c r="P55" s="247"/>
      <c r="Q55" s="248"/>
      <c r="R55" s="249"/>
      <c r="S55" s="247"/>
      <c r="T55" s="247"/>
      <c r="U55" s="247"/>
      <c r="V55" s="247"/>
      <c r="W55" s="247"/>
      <c r="X55" s="247"/>
      <c r="Y55" s="247"/>
      <c r="Z55" s="248"/>
      <c r="AA55" s="249"/>
      <c r="AB55" s="247"/>
      <c r="AC55" s="247"/>
      <c r="AD55" s="247"/>
      <c r="AE55" s="248"/>
      <c r="AF55" s="249"/>
      <c r="AG55" s="247"/>
      <c r="AH55" s="247"/>
      <c r="AI55" s="247"/>
      <c r="AJ55" s="247"/>
      <c r="AK55" s="248"/>
      <c r="AL55" s="249"/>
      <c r="AM55" s="248"/>
      <c r="AN55" s="249"/>
      <c r="AO55" s="248"/>
      <c r="AP55" s="295"/>
      <c r="AQ55" s="296"/>
      <c r="AR55" s="289"/>
    </row>
    <row r="56" spans="2:44">
      <c r="B56" s="214"/>
      <c r="C56" s="219"/>
      <c r="D56" s="184"/>
      <c r="E56" s="185"/>
      <c r="F56" s="185"/>
      <c r="G56" s="185"/>
      <c r="H56" s="185"/>
      <c r="I56" s="185"/>
      <c r="J56" s="185"/>
      <c r="K56" s="209"/>
      <c r="L56" s="208"/>
      <c r="M56" s="185"/>
      <c r="N56" s="185"/>
      <c r="O56" s="185"/>
      <c r="P56" s="185"/>
      <c r="Q56" s="209"/>
      <c r="R56" s="208"/>
      <c r="S56" s="185"/>
      <c r="T56" s="185"/>
      <c r="U56" s="185"/>
      <c r="V56" s="185"/>
      <c r="W56" s="185"/>
      <c r="X56" s="185"/>
      <c r="Y56" s="185"/>
      <c r="Z56" s="209"/>
      <c r="AA56" s="208"/>
      <c r="AB56" s="185"/>
      <c r="AC56" s="185"/>
      <c r="AD56" s="185"/>
      <c r="AE56" s="209"/>
      <c r="AF56" s="208"/>
      <c r="AG56" s="185"/>
      <c r="AH56" s="185"/>
      <c r="AI56" s="185"/>
      <c r="AJ56" s="185"/>
      <c r="AK56" s="209"/>
      <c r="AL56" s="208"/>
      <c r="AM56" s="209"/>
      <c r="AN56" s="208"/>
      <c r="AO56" s="209"/>
      <c r="AP56" s="180"/>
      <c r="AQ56" s="181"/>
      <c r="AR56" s="290"/>
    </row>
    <row r="57" spans="2:44" ht="15" thickBot="1">
      <c r="B57" s="215"/>
      <c r="C57" s="220"/>
      <c r="D57" s="216"/>
      <c r="E57" s="211"/>
      <c r="F57" s="211"/>
      <c r="G57" s="211"/>
      <c r="H57" s="211"/>
      <c r="I57" s="211"/>
      <c r="J57" s="211"/>
      <c r="K57" s="212"/>
      <c r="L57" s="210"/>
      <c r="M57" s="211"/>
      <c r="N57" s="211"/>
      <c r="O57" s="211"/>
      <c r="P57" s="211"/>
      <c r="Q57" s="212"/>
      <c r="R57" s="210"/>
      <c r="S57" s="211"/>
      <c r="T57" s="211"/>
      <c r="U57" s="211"/>
      <c r="V57" s="211"/>
      <c r="W57" s="211"/>
      <c r="X57" s="211"/>
      <c r="Y57" s="211"/>
      <c r="Z57" s="212"/>
      <c r="AA57" s="210"/>
      <c r="AB57" s="211"/>
      <c r="AC57" s="211"/>
      <c r="AD57" s="211"/>
      <c r="AE57" s="212"/>
      <c r="AF57" s="210"/>
      <c r="AG57" s="211"/>
      <c r="AH57" s="211"/>
      <c r="AI57" s="211"/>
      <c r="AJ57" s="211"/>
      <c r="AK57" s="212"/>
      <c r="AL57" s="210"/>
      <c r="AM57" s="212"/>
      <c r="AN57" s="210"/>
      <c r="AO57" s="212"/>
      <c r="AP57" s="182"/>
      <c r="AQ57" s="183"/>
      <c r="AR57" s="290"/>
    </row>
  </sheetData>
  <mergeCells count="9">
    <mergeCell ref="AL3:AM3"/>
    <mergeCell ref="AN3:AO3"/>
    <mergeCell ref="B3:C3"/>
    <mergeCell ref="AP3:AQ3"/>
    <mergeCell ref="D3:K3"/>
    <mergeCell ref="L3:Q3"/>
    <mergeCell ref="R3:Z3"/>
    <mergeCell ref="AA3:AE3"/>
    <mergeCell ref="AF3:AK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57"/>
  <sheetViews>
    <sheetView zoomScale="115" zoomScaleNormal="100" workbookViewId="0">
      <pane xSplit="4" ySplit="10" topLeftCell="E24" activePane="bottomRight" state="frozen"/>
      <selection pane="topRight" activeCell="E1" sqref="E1"/>
      <selection pane="bottomLeft" activeCell="A12" sqref="A12"/>
      <selection pane="bottomRight" activeCell="AJ54" sqref="AJ54"/>
    </sheetView>
  </sheetViews>
  <sheetFormatPr baseColWidth="10" defaultColWidth="9.1640625" defaultRowHeight="15"/>
  <cols>
    <col min="1" max="1" width="4.5" style="47" customWidth="1"/>
    <col min="2" max="2" width="32.5" style="42" customWidth="1"/>
    <col min="3" max="3" width="37.1640625" style="42" customWidth="1"/>
    <col min="4" max="4" width="53.33203125" style="42" customWidth="1"/>
    <col min="5" max="42" width="15.83203125" style="42" customWidth="1"/>
    <col min="43" max="43" width="1.1640625" style="42" customWidth="1"/>
    <col min="44" max="48" width="14.6640625" style="42" customWidth="1"/>
    <col min="49" max="16384" width="9.1640625" style="42"/>
  </cols>
  <sheetData>
    <row r="1" spans="1:43" s="44" customFormat="1">
      <c r="A1" s="43"/>
      <c r="B1" s="48"/>
      <c r="C1" s="48"/>
      <c r="D1" s="48"/>
    </row>
    <row r="2" spans="1:43">
      <c r="A2" s="42"/>
      <c r="B2" s="64"/>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row>
    <row r="3" spans="1:43" ht="21">
      <c r="A3" s="42"/>
      <c r="B3" s="65"/>
      <c r="C3" s="385" t="s">
        <v>168</v>
      </c>
      <c r="D3" s="385"/>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row>
    <row r="4" spans="1:43" ht="21">
      <c r="A4" s="42"/>
      <c r="B4" s="64"/>
      <c r="C4" s="386">
        <v>2025</v>
      </c>
      <c r="D4" s="386"/>
      <c r="E4" s="64"/>
      <c r="F4" s="64"/>
      <c r="G4" s="64"/>
      <c r="H4" s="64"/>
      <c r="I4" s="64"/>
      <c r="J4" s="64"/>
      <c r="K4" s="64"/>
      <c r="L4" s="64"/>
      <c r="M4" s="64"/>
      <c r="N4" s="64"/>
      <c r="O4" s="64"/>
      <c r="P4" s="64"/>
      <c r="Q4" s="64"/>
      <c r="R4" s="64"/>
      <c r="S4" s="64"/>
      <c r="T4" s="64"/>
      <c r="U4" s="64"/>
      <c r="V4" s="64"/>
      <c r="W4" s="64"/>
      <c r="X4" s="64"/>
      <c r="Y4" s="64"/>
      <c r="Z4" s="64"/>
      <c r="AA4" s="64"/>
      <c r="AB4" s="64"/>
      <c r="AC4" s="64"/>
      <c r="AD4" s="64"/>
      <c r="AE4" s="64"/>
      <c r="AF4" s="64"/>
      <c r="AG4" s="64"/>
      <c r="AH4" s="64"/>
      <c r="AI4" s="64"/>
      <c r="AJ4" s="64"/>
      <c r="AK4" s="64"/>
      <c r="AL4" s="64"/>
      <c r="AM4" s="64"/>
      <c r="AN4" s="64"/>
      <c r="AO4" s="64"/>
      <c r="AP4" s="64"/>
      <c r="AQ4" s="64"/>
    </row>
    <row r="5" spans="1:43">
      <c r="A5" s="42"/>
      <c r="B5" s="65"/>
      <c r="C5" s="65"/>
      <c r="D5" s="65"/>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c r="AJ5" s="64"/>
      <c r="AK5" s="64"/>
      <c r="AL5" s="64"/>
      <c r="AM5" s="64"/>
      <c r="AN5" s="64"/>
      <c r="AO5" s="64"/>
      <c r="AP5" s="64"/>
      <c r="AQ5" s="64"/>
    </row>
    <row r="6" spans="1:43" ht="16" thickBot="1">
      <c r="A6" s="42"/>
      <c r="B6" s="45"/>
      <c r="C6" s="45"/>
      <c r="D6" s="45"/>
    </row>
    <row r="7" spans="1:43" s="49" customFormat="1">
      <c r="A7" s="371" t="s">
        <v>1</v>
      </c>
      <c r="B7" s="380" t="s">
        <v>110</v>
      </c>
      <c r="C7" s="380" t="s">
        <v>3</v>
      </c>
      <c r="D7" s="380" t="s">
        <v>4</v>
      </c>
      <c r="E7" s="376" t="s">
        <v>0</v>
      </c>
      <c r="F7" s="376"/>
      <c r="G7" s="376"/>
      <c r="H7" s="376"/>
      <c r="I7" s="376"/>
      <c r="J7" s="376"/>
      <c r="K7" s="376"/>
      <c r="L7" s="376"/>
      <c r="M7" s="376"/>
      <c r="N7" s="376"/>
      <c r="O7" s="376"/>
      <c r="P7" s="376"/>
      <c r="Q7" s="376"/>
      <c r="R7" s="376"/>
      <c r="S7" s="376"/>
      <c r="T7" s="376"/>
      <c r="U7" s="376"/>
      <c r="V7" s="376"/>
      <c r="W7" s="376"/>
      <c r="X7" s="376"/>
      <c r="Y7" s="376"/>
      <c r="Z7" s="376"/>
      <c r="AA7" s="376"/>
      <c r="AB7" s="376"/>
      <c r="AC7" s="376"/>
      <c r="AD7" s="376"/>
      <c r="AE7" s="376"/>
      <c r="AF7" s="376"/>
      <c r="AG7" s="376"/>
      <c r="AH7" s="376"/>
      <c r="AI7" s="376"/>
      <c r="AJ7" s="376"/>
      <c r="AK7" s="376"/>
      <c r="AL7" s="376"/>
      <c r="AM7" s="376"/>
      <c r="AN7" s="376"/>
      <c r="AO7" s="376"/>
      <c r="AP7" s="376"/>
      <c r="AQ7" s="377"/>
    </row>
    <row r="8" spans="1:43" s="49" customFormat="1" ht="19" thickBot="1">
      <c r="A8" s="372"/>
      <c r="B8" s="381"/>
      <c r="C8" s="381"/>
      <c r="D8" s="381"/>
      <c r="E8" s="378" t="s">
        <v>5</v>
      </c>
      <c r="F8" s="378"/>
      <c r="G8" s="378"/>
      <c r="H8" s="378"/>
      <c r="I8" s="378"/>
      <c r="J8" s="378"/>
      <c r="K8" s="378"/>
      <c r="L8" s="378"/>
      <c r="M8" s="378"/>
      <c r="N8" s="378"/>
      <c r="O8" s="378"/>
      <c r="P8" s="378"/>
      <c r="Q8" s="378"/>
      <c r="R8" s="378"/>
      <c r="S8" s="378"/>
      <c r="T8" s="378"/>
      <c r="U8" s="378"/>
      <c r="V8" s="378"/>
      <c r="W8" s="378"/>
      <c r="X8" s="378"/>
      <c r="Y8" s="378"/>
      <c r="Z8" s="378"/>
      <c r="AA8" s="378"/>
      <c r="AB8" s="378"/>
      <c r="AC8" s="378"/>
      <c r="AD8" s="378"/>
      <c r="AE8" s="378"/>
      <c r="AF8" s="378"/>
      <c r="AG8" s="378"/>
      <c r="AH8" s="378"/>
      <c r="AI8" s="378"/>
      <c r="AJ8" s="378"/>
      <c r="AK8" s="378"/>
      <c r="AL8" s="378"/>
      <c r="AM8" s="378"/>
      <c r="AN8" s="378"/>
      <c r="AO8" s="378"/>
      <c r="AP8" s="378"/>
      <c r="AQ8" s="379"/>
    </row>
    <row r="9" spans="1:43" s="49" customFormat="1" ht="65">
      <c r="A9" s="372"/>
      <c r="B9" s="381"/>
      <c r="C9" s="381"/>
      <c r="D9" s="382"/>
      <c r="E9" s="54" t="s">
        <v>116</v>
      </c>
      <c r="F9" s="79" t="s">
        <v>111</v>
      </c>
      <c r="G9" s="90" t="s">
        <v>193</v>
      </c>
      <c r="H9" s="78" t="s">
        <v>193</v>
      </c>
      <c r="I9" s="78" t="s">
        <v>193</v>
      </c>
      <c r="J9" s="91" t="s">
        <v>193</v>
      </c>
      <c r="K9" s="111" t="s">
        <v>197</v>
      </c>
      <c r="L9" s="111" t="s">
        <v>197</v>
      </c>
      <c r="M9" s="111" t="s">
        <v>197</v>
      </c>
      <c r="N9" s="111" t="s">
        <v>197</v>
      </c>
      <c r="O9" s="115" t="s">
        <v>203</v>
      </c>
      <c r="P9" s="99" t="s">
        <v>203</v>
      </c>
      <c r="Q9" s="100" t="s">
        <v>203</v>
      </c>
      <c r="R9" s="100" t="s">
        <v>203</v>
      </c>
      <c r="S9" s="101" t="s">
        <v>203</v>
      </c>
      <c r="T9" s="115" t="s">
        <v>204</v>
      </c>
      <c r="U9" s="154" t="s">
        <v>204</v>
      </c>
      <c r="V9" s="155" t="s">
        <v>204</v>
      </c>
      <c r="W9" s="155" t="s">
        <v>204</v>
      </c>
      <c r="X9" s="156" t="s">
        <v>204</v>
      </c>
      <c r="Y9" s="105" t="s">
        <v>118</v>
      </c>
      <c r="Z9" s="106" t="s">
        <v>118</v>
      </c>
      <c r="AA9" s="106" t="s">
        <v>118</v>
      </c>
      <c r="AB9" s="107" t="s">
        <v>118</v>
      </c>
      <c r="AC9" s="115" t="s">
        <v>119</v>
      </c>
      <c r="AD9" s="117" t="s">
        <v>199</v>
      </c>
      <c r="AE9" s="118" t="s">
        <v>199</v>
      </c>
      <c r="AF9" s="118" t="s">
        <v>199</v>
      </c>
      <c r="AG9" s="119" t="s">
        <v>199</v>
      </c>
      <c r="AH9" s="123" t="s">
        <v>198</v>
      </c>
      <c r="AI9" s="124" t="s">
        <v>198</v>
      </c>
      <c r="AJ9" s="124" t="s">
        <v>198</v>
      </c>
      <c r="AK9" s="127" t="s">
        <v>198</v>
      </c>
      <c r="AL9" s="151" t="s">
        <v>196</v>
      </c>
      <c r="AM9" s="149" t="s">
        <v>196</v>
      </c>
      <c r="AN9" s="133" t="s">
        <v>196</v>
      </c>
      <c r="AO9" s="133" t="s">
        <v>196</v>
      </c>
      <c r="AP9" s="134" t="s">
        <v>196</v>
      </c>
      <c r="AQ9" s="129"/>
    </row>
    <row r="10" spans="1:43" s="46" customFormat="1" ht="32">
      <c r="A10" s="373"/>
      <c r="B10" s="384"/>
      <c r="C10" s="384"/>
      <c r="D10" s="383"/>
      <c r="E10" s="55" t="s">
        <v>117</v>
      </c>
      <c r="F10" s="80" t="s">
        <v>165</v>
      </c>
      <c r="G10" s="92" t="s">
        <v>112</v>
      </c>
      <c r="H10" s="93" t="s">
        <v>113</v>
      </c>
      <c r="I10" s="93" t="s">
        <v>114</v>
      </c>
      <c r="J10" s="94" t="s">
        <v>115</v>
      </c>
      <c r="K10" s="112" t="s">
        <v>112</v>
      </c>
      <c r="L10" s="113" t="s">
        <v>113</v>
      </c>
      <c r="M10" s="113" t="s">
        <v>114</v>
      </c>
      <c r="N10" s="114" t="s">
        <v>115</v>
      </c>
      <c r="O10" s="116" t="s">
        <v>165</v>
      </c>
      <c r="P10" s="102" t="s">
        <v>112</v>
      </c>
      <c r="Q10" s="103" t="s">
        <v>113</v>
      </c>
      <c r="R10" s="103" t="s">
        <v>114</v>
      </c>
      <c r="S10" s="104" t="s">
        <v>115</v>
      </c>
      <c r="T10" s="116" t="s">
        <v>165</v>
      </c>
      <c r="U10" s="157" t="s">
        <v>112</v>
      </c>
      <c r="V10" s="158" t="s">
        <v>113</v>
      </c>
      <c r="W10" s="158" t="s">
        <v>114</v>
      </c>
      <c r="X10" s="159" t="s">
        <v>115</v>
      </c>
      <c r="Y10" s="108" t="s">
        <v>112</v>
      </c>
      <c r="Z10" s="109" t="s">
        <v>113</v>
      </c>
      <c r="AA10" s="109" t="s">
        <v>114</v>
      </c>
      <c r="AB10" s="110" t="s">
        <v>115</v>
      </c>
      <c r="AC10" s="116" t="s">
        <v>165</v>
      </c>
      <c r="AD10" s="120" t="s">
        <v>112</v>
      </c>
      <c r="AE10" s="121" t="s">
        <v>113</v>
      </c>
      <c r="AF10" s="121" t="s">
        <v>114</v>
      </c>
      <c r="AG10" s="122" t="s">
        <v>115</v>
      </c>
      <c r="AH10" s="125" t="s">
        <v>112</v>
      </c>
      <c r="AI10" s="126" t="s">
        <v>113</v>
      </c>
      <c r="AJ10" s="126" t="s">
        <v>114</v>
      </c>
      <c r="AK10" s="128" t="s">
        <v>115</v>
      </c>
      <c r="AL10" s="152" t="s">
        <v>165</v>
      </c>
      <c r="AM10" s="150" t="s">
        <v>112</v>
      </c>
      <c r="AN10" s="135" t="s">
        <v>113</v>
      </c>
      <c r="AO10" s="135" t="s">
        <v>114</v>
      </c>
      <c r="AP10" s="136" t="s">
        <v>115</v>
      </c>
      <c r="AQ10" s="130"/>
    </row>
    <row r="11" spans="1:43" s="51" customFormat="1" ht="21">
      <c r="A11" s="60"/>
      <c r="B11" s="374" t="s">
        <v>137</v>
      </c>
      <c r="C11" s="375"/>
      <c r="D11" s="375"/>
      <c r="E11" s="56"/>
      <c r="F11" s="81"/>
      <c r="G11" s="57"/>
      <c r="H11" s="95"/>
      <c r="I11" s="95"/>
      <c r="J11" s="59"/>
      <c r="K11" s="86"/>
      <c r="L11" s="58"/>
      <c r="M11" s="58"/>
      <c r="N11" s="59"/>
      <c r="O11" s="81"/>
      <c r="P11" s="57"/>
      <c r="Q11" s="95"/>
      <c r="R11" s="95"/>
      <c r="S11" s="59"/>
      <c r="T11" s="81"/>
      <c r="U11" s="57"/>
      <c r="V11" s="95"/>
      <c r="W11" s="95"/>
      <c r="X11" s="59"/>
      <c r="Y11" s="57"/>
      <c r="Z11" s="95"/>
      <c r="AA11" s="95"/>
      <c r="AB11" s="59"/>
      <c r="AC11" s="81"/>
      <c r="AD11" s="57"/>
      <c r="AE11" s="95"/>
      <c r="AF11" s="95"/>
      <c r="AG11" s="59"/>
      <c r="AH11" s="57"/>
      <c r="AI11" s="95"/>
      <c r="AJ11" s="95"/>
      <c r="AK11" s="81"/>
      <c r="AL11" s="56"/>
      <c r="AM11" s="86"/>
      <c r="AN11" s="95"/>
      <c r="AO11" s="95"/>
      <c r="AP11" s="59"/>
      <c r="AQ11" s="131"/>
    </row>
    <row r="12" spans="1:43" s="51" customFormat="1" ht="96">
      <c r="A12" s="60">
        <f>ROW()-ROW($A$7)-4</f>
        <v>1</v>
      </c>
      <c r="B12" s="50" t="s">
        <v>138</v>
      </c>
      <c r="C12" s="50" t="s">
        <v>180</v>
      </c>
      <c r="D12" s="52"/>
      <c r="E12" s="66">
        <v>5</v>
      </c>
      <c r="F12" s="137">
        <v>4</v>
      </c>
      <c r="G12" s="67">
        <v>3</v>
      </c>
      <c r="H12" s="96">
        <v>3</v>
      </c>
      <c r="I12" s="96">
        <v>2</v>
      </c>
      <c r="J12" s="69">
        <v>1</v>
      </c>
      <c r="K12" s="87">
        <v>3</v>
      </c>
      <c r="L12" s="68">
        <v>3</v>
      </c>
      <c r="M12" s="68">
        <v>2</v>
      </c>
      <c r="N12" s="69">
        <v>1</v>
      </c>
      <c r="O12" s="137">
        <v>4</v>
      </c>
      <c r="P12" s="67">
        <v>3</v>
      </c>
      <c r="Q12" s="96">
        <v>3</v>
      </c>
      <c r="R12" s="96">
        <v>2</v>
      </c>
      <c r="S12" s="69">
        <v>1</v>
      </c>
      <c r="T12" s="137">
        <v>4</v>
      </c>
      <c r="U12" s="67">
        <v>3</v>
      </c>
      <c r="V12" s="96">
        <v>3</v>
      </c>
      <c r="W12" s="96">
        <v>2</v>
      </c>
      <c r="X12" s="69">
        <v>1</v>
      </c>
      <c r="Y12" s="67">
        <v>3</v>
      </c>
      <c r="Z12" s="96">
        <v>3</v>
      </c>
      <c r="AA12" s="96">
        <v>2</v>
      </c>
      <c r="AB12" s="69">
        <v>1</v>
      </c>
      <c r="AC12" s="137">
        <v>4</v>
      </c>
      <c r="AD12" s="67">
        <v>3</v>
      </c>
      <c r="AE12" s="96">
        <v>3</v>
      </c>
      <c r="AF12" s="96">
        <v>2</v>
      </c>
      <c r="AG12" s="69">
        <v>1</v>
      </c>
      <c r="AH12" s="67">
        <v>3</v>
      </c>
      <c r="AI12" s="96">
        <v>3</v>
      </c>
      <c r="AJ12" s="96">
        <v>2</v>
      </c>
      <c r="AK12" s="84">
        <v>1</v>
      </c>
      <c r="AL12" s="153">
        <v>4</v>
      </c>
      <c r="AM12" s="87">
        <v>3</v>
      </c>
      <c r="AN12" s="96">
        <v>3</v>
      </c>
      <c r="AO12" s="96">
        <v>2</v>
      </c>
      <c r="AP12" s="69">
        <v>1</v>
      </c>
      <c r="AQ12" s="131"/>
    </row>
    <row r="13" spans="1:43" s="51" customFormat="1" ht="80">
      <c r="A13" s="60">
        <f t="shared" ref="A13:A21" si="0">ROW()-ROW($A$7)-4</f>
        <v>2</v>
      </c>
      <c r="B13" s="50" t="s">
        <v>139</v>
      </c>
      <c r="C13" s="50" t="s">
        <v>181</v>
      </c>
      <c r="D13" s="52"/>
      <c r="E13" s="66">
        <v>4</v>
      </c>
      <c r="F13" s="137">
        <v>4</v>
      </c>
      <c r="G13" s="67">
        <v>3</v>
      </c>
      <c r="H13" s="96">
        <v>3</v>
      </c>
      <c r="I13" s="96">
        <v>2</v>
      </c>
      <c r="J13" s="69">
        <v>2</v>
      </c>
      <c r="K13" s="87">
        <v>3</v>
      </c>
      <c r="L13" s="68">
        <v>3</v>
      </c>
      <c r="M13" s="68">
        <v>2</v>
      </c>
      <c r="N13" s="69">
        <v>2</v>
      </c>
      <c r="O13" s="137">
        <v>4</v>
      </c>
      <c r="P13" s="67">
        <v>3</v>
      </c>
      <c r="Q13" s="96">
        <v>3</v>
      </c>
      <c r="R13" s="96">
        <v>2</v>
      </c>
      <c r="S13" s="69">
        <v>2</v>
      </c>
      <c r="T13" s="137">
        <v>4</v>
      </c>
      <c r="U13" s="67">
        <v>3</v>
      </c>
      <c r="V13" s="96">
        <v>3</v>
      </c>
      <c r="W13" s="96">
        <v>2</v>
      </c>
      <c r="X13" s="69">
        <v>2</v>
      </c>
      <c r="Y13" s="67">
        <v>3</v>
      </c>
      <c r="Z13" s="96">
        <v>3</v>
      </c>
      <c r="AA13" s="96">
        <v>2</v>
      </c>
      <c r="AB13" s="69">
        <v>2</v>
      </c>
      <c r="AC13" s="137">
        <v>4</v>
      </c>
      <c r="AD13" s="67">
        <v>3</v>
      </c>
      <c r="AE13" s="96">
        <v>3</v>
      </c>
      <c r="AF13" s="96">
        <v>2</v>
      </c>
      <c r="AG13" s="69">
        <v>2</v>
      </c>
      <c r="AH13" s="67">
        <v>3</v>
      </c>
      <c r="AI13" s="96">
        <v>3</v>
      </c>
      <c r="AJ13" s="96">
        <v>2</v>
      </c>
      <c r="AK13" s="84">
        <v>2</v>
      </c>
      <c r="AL13" s="153">
        <v>4</v>
      </c>
      <c r="AM13" s="87">
        <v>3</v>
      </c>
      <c r="AN13" s="96">
        <v>3</v>
      </c>
      <c r="AO13" s="96">
        <v>2</v>
      </c>
      <c r="AP13" s="69">
        <v>2</v>
      </c>
      <c r="AQ13" s="131"/>
    </row>
    <row r="14" spans="1:43" s="51" customFormat="1" ht="80">
      <c r="A14" s="60">
        <f t="shared" si="0"/>
        <v>3</v>
      </c>
      <c r="B14" s="50" t="s">
        <v>140</v>
      </c>
      <c r="C14" s="50" t="s">
        <v>186</v>
      </c>
      <c r="D14" s="52"/>
      <c r="E14" s="66">
        <v>4</v>
      </c>
      <c r="F14" s="137">
        <v>4</v>
      </c>
      <c r="G14" s="67">
        <v>3</v>
      </c>
      <c r="H14" s="96">
        <v>3</v>
      </c>
      <c r="I14" s="96">
        <v>2</v>
      </c>
      <c r="J14" s="69">
        <v>1</v>
      </c>
      <c r="K14" s="87">
        <v>3</v>
      </c>
      <c r="L14" s="68">
        <v>3</v>
      </c>
      <c r="M14" s="68">
        <v>2</v>
      </c>
      <c r="N14" s="69">
        <v>1</v>
      </c>
      <c r="O14" s="137">
        <v>3</v>
      </c>
      <c r="P14" s="67">
        <v>3</v>
      </c>
      <c r="Q14" s="96">
        <v>3</v>
      </c>
      <c r="R14" s="96">
        <v>2</v>
      </c>
      <c r="S14" s="69">
        <v>1</v>
      </c>
      <c r="T14" s="137">
        <v>3</v>
      </c>
      <c r="U14" s="67">
        <v>3</v>
      </c>
      <c r="V14" s="96">
        <v>3</v>
      </c>
      <c r="W14" s="96">
        <v>2</v>
      </c>
      <c r="X14" s="69">
        <v>1</v>
      </c>
      <c r="Y14" s="67">
        <v>3</v>
      </c>
      <c r="Z14" s="96">
        <v>3</v>
      </c>
      <c r="AA14" s="96">
        <v>2</v>
      </c>
      <c r="AB14" s="69">
        <v>1</v>
      </c>
      <c r="AC14" s="137">
        <v>3</v>
      </c>
      <c r="AD14" s="67">
        <v>3</v>
      </c>
      <c r="AE14" s="96">
        <v>3</v>
      </c>
      <c r="AF14" s="96">
        <v>2</v>
      </c>
      <c r="AG14" s="69">
        <v>1</v>
      </c>
      <c r="AH14" s="67">
        <v>3</v>
      </c>
      <c r="AI14" s="96">
        <v>3</v>
      </c>
      <c r="AJ14" s="96">
        <v>2</v>
      </c>
      <c r="AK14" s="84">
        <v>1</v>
      </c>
      <c r="AL14" s="153">
        <v>3</v>
      </c>
      <c r="AM14" s="87">
        <v>3</v>
      </c>
      <c r="AN14" s="96">
        <v>3</v>
      </c>
      <c r="AO14" s="96">
        <v>2</v>
      </c>
      <c r="AP14" s="69">
        <v>1</v>
      </c>
      <c r="AQ14" s="131"/>
    </row>
    <row r="15" spans="1:43" s="51" customFormat="1" ht="80">
      <c r="A15" s="60">
        <f t="shared" si="0"/>
        <v>4</v>
      </c>
      <c r="B15" s="50" t="s">
        <v>177</v>
      </c>
      <c r="C15" s="50" t="s">
        <v>187</v>
      </c>
      <c r="D15" s="52"/>
      <c r="E15" s="66">
        <v>5</v>
      </c>
      <c r="F15" s="137">
        <v>5</v>
      </c>
      <c r="G15" s="67">
        <v>4</v>
      </c>
      <c r="H15" s="96">
        <v>4</v>
      </c>
      <c r="I15" s="96">
        <v>4</v>
      </c>
      <c r="J15" s="69">
        <v>3</v>
      </c>
      <c r="K15" s="87">
        <v>4</v>
      </c>
      <c r="L15" s="68">
        <v>4</v>
      </c>
      <c r="M15" s="68">
        <v>4</v>
      </c>
      <c r="N15" s="69">
        <v>3</v>
      </c>
      <c r="O15" s="137">
        <v>5</v>
      </c>
      <c r="P15" s="67">
        <v>4</v>
      </c>
      <c r="Q15" s="96">
        <v>4</v>
      </c>
      <c r="R15" s="96">
        <v>4</v>
      </c>
      <c r="S15" s="69">
        <v>3</v>
      </c>
      <c r="T15" s="137">
        <v>5</v>
      </c>
      <c r="U15" s="67">
        <v>4</v>
      </c>
      <c r="V15" s="96">
        <v>4</v>
      </c>
      <c r="W15" s="96">
        <v>4</v>
      </c>
      <c r="X15" s="69">
        <v>3</v>
      </c>
      <c r="Y15" s="67">
        <v>4</v>
      </c>
      <c r="Z15" s="96">
        <v>4</v>
      </c>
      <c r="AA15" s="96">
        <v>4</v>
      </c>
      <c r="AB15" s="69">
        <v>3</v>
      </c>
      <c r="AC15" s="137">
        <v>5</v>
      </c>
      <c r="AD15" s="67">
        <v>4</v>
      </c>
      <c r="AE15" s="96">
        <v>4</v>
      </c>
      <c r="AF15" s="96">
        <v>4</v>
      </c>
      <c r="AG15" s="69">
        <v>3</v>
      </c>
      <c r="AH15" s="67">
        <v>4</v>
      </c>
      <c r="AI15" s="96">
        <v>4</v>
      </c>
      <c r="AJ15" s="96">
        <v>4</v>
      </c>
      <c r="AK15" s="84">
        <v>3</v>
      </c>
      <c r="AL15" s="153">
        <v>5</v>
      </c>
      <c r="AM15" s="87">
        <v>4</v>
      </c>
      <c r="AN15" s="96">
        <v>4</v>
      </c>
      <c r="AO15" s="96">
        <v>4</v>
      </c>
      <c r="AP15" s="69">
        <v>3</v>
      </c>
      <c r="AQ15" s="131"/>
    </row>
    <row r="16" spans="1:43" s="51" customFormat="1" ht="80">
      <c r="A16" s="60">
        <f t="shared" si="0"/>
        <v>5</v>
      </c>
      <c r="B16" s="50" t="s">
        <v>178</v>
      </c>
      <c r="C16" s="50" t="s">
        <v>188</v>
      </c>
      <c r="D16" s="52"/>
      <c r="E16" s="66">
        <v>4</v>
      </c>
      <c r="F16" s="137">
        <v>4</v>
      </c>
      <c r="G16" s="67">
        <v>4</v>
      </c>
      <c r="H16" s="96">
        <v>4</v>
      </c>
      <c r="I16" s="96">
        <v>4</v>
      </c>
      <c r="J16" s="69">
        <v>1</v>
      </c>
      <c r="K16" s="87">
        <v>4</v>
      </c>
      <c r="L16" s="68">
        <v>4</v>
      </c>
      <c r="M16" s="68">
        <v>4</v>
      </c>
      <c r="N16" s="69">
        <v>1</v>
      </c>
      <c r="O16" s="137">
        <v>4</v>
      </c>
      <c r="P16" s="67">
        <v>4</v>
      </c>
      <c r="Q16" s="96">
        <v>4</v>
      </c>
      <c r="R16" s="96">
        <v>4</v>
      </c>
      <c r="S16" s="69">
        <v>1</v>
      </c>
      <c r="T16" s="137">
        <v>4</v>
      </c>
      <c r="U16" s="67">
        <v>4</v>
      </c>
      <c r="V16" s="96">
        <v>4</v>
      </c>
      <c r="W16" s="96">
        <v>4</v>
      </c>
      <c r="X16" s="69">
        <v>1</v>
      </c>
      <c r="Y16" s="67">
        <v>4</v>
      </c>
      <c r="Z16" s="96">
        <v>4</v>
      </c>
      <c r="AA16" s="96">
        <v>4</v>
      </c>
      <c r="AB16" s="69">
        <v>1</v>
      </c>
      <c r="AC16" s="137">
        <v>4</v>
      </c>
      <c r="AD16" s="67">
        <v>4</v>
      </c>
      <c r="AE16" s="96">
        <v>4</v>
      </c>
      <c r="AF16" s="96">
        <v>4</v>
      </c>
      <c r="AG16" s="69">
        <v>1</v>
      </c>
      <c r="AH16" s="67">
        <v>4</v>
      </c>
      <c r="AI16" s="96">
        <v>4</v>
      </c>
      <c r="AJ16" s="96">
        <v>4</v>
      </c>
      <c r="AK16" s="84">
        <v>1</v>
      </c>
      <c r="AL16" s="153">
        <v>4</v>
      </c>
      <c r="AM16" s="87">
        <v>4</v>
      </c>
      <c r="AN16" s="96">
        <v>4</v>
      </c>
      <c r="AO16" s="96">
        <v>4</v>
      </c>
      <c r="AP16" s="69">
        <v>1</v>
      </c>
      <c r="AQ16" s="131"/>
    </row>
    <row r="17" spans="1:43" s="51" customFormat="1" ht="64">
      <c r="A17" s="60">
        <f t="shared" si="0"/>
        <v>6</v>
      </c>
      <c r="B17" s="50" t="s">
        <v>150</v>
      </c>
      <c r="C17" s="50" t="s">
        <v>183</v>
      </c>
      <c r="D17" s="52"/>
      <c r="E17" s="66">
        <v>5</v>
      </c>
      <c r="F17" s="137">
        <v>5</v>
      </c>
      <c r="G17" s="67">
        <v>4</v>
      </c>
      <c r="H17" s="96">
        <v>4</v>
      </c>
      <c r="I17" s="96">
        <v>4</v>
      </c>
      <c r="J17" s="69">
        <v>1</v>
      </c>
      <c r="K17" s="87">
        <v>4</v>
      </c>
      <c r="L17" s="68">
        <v>4</v>
      </c>
      <c r="M17" s="68">
        <v>4</v>
      </c>
      <c r="N17" s="69">
        <v>1</v>
      </c>
      <c r="O17" s="137">
        <v>5</v>
      </c>
      <c r="P17" s="67">
        <v>4</v>
      </c>
      <c r="Q17" s="96">
        <v>4</v>
      </c>
      <c r="R17" s="96">
        <v>4</v>
      </c>
      <c r="S17" s="69">
        <v>1</v>
      </c>
      <c r="T17" s="137">
        <v>5</v>
      </c>
      <c r="U17" s="67">
        <v>4</v>
      </c>
      <c r="V17" s="96">
        <v>4</v>
      </c>
      <c r="W17" s="96">
        <v>4</v>
      </c>
      <c r="X17" s="69">
        <v>1</v>
      </c>
      <c r="Y17" s="67">
        <v>4</v>
      </c>
      <c r="Z17" s="96">
        <v>4</v>
      </c>
      <c r="AA17" s="96">
        <v>4</v>
      </c>
      <c r="AB17" s="69">
        <v>1</v>
      </c>
      <c r="AC17" s="137">
        <v>5</v>
      </c>
      <c r="AD17" s="67">
        <v>4</v>
      </c>
      <c r="AE17" s="96">
        <v>4</v>
      </c>
      <c r="AF17" s="96">
        <v>4</v>
      </c>
      <c r="AG17" s="69">
        <v>1</v>
      </c>
      <c r="AH17" s="67">
        <v>4</v>
      </c>
      <c r="AI17" s="96">
        <v>4</v>
      </c>
      <c r="AJ17" s="96">
        <v>4</v>
      </c>
      <c r="AK17" s="84">
        <v>1</v>
      </c>
      <c r="AL17" s="153">
        <v>5</v>
      </c>
      <c r="AM17" s="87">
        <v>4</v>
      </c>
      <c r="AN17" s="96">
        <v>4</v>
      </c>
      <c r="AO17" s="96">
        <v>4</v>
      </c>
      <c r="AP17" s="69">
        <v>1</v>
      </c>
      <c r="AQ17" s="131"/>
    </row>
    <row r="18" spans="1:43" s="51" customFormat="1" ht="64">
      <c r="A18" s="60">
        <f t="shared" si="0"/>
        <v>7</v>
      </c>
      <c r="B18" s="50" t="s">
        <v>152</v>
      </c>
      <c r="C18" s="50" t="s">
        <v>182</v>
      </c>
      <c r="D18" s="52"/>
      <c r="E18" s="66">
        <v>4</v>
      </c>
      <c r="F18" s="137">
        <v>4</v>
      </c>
      <c r="G18" s="67">
        <v>3</v>
      </c>
      <c r="H18" s="96">
        <v>3</v>
      </c>
      <c r="I18" s="96">
        <v>3</v>
      </c>
      <c r="J18" s="69">
        <v>1</v>
      </c>
      <c r="K18" s="87">
        <v>3</v>
      </c>
      <c r="L18" s="68">
        <v>3</v>
      </c>
      <c r="M18" s="68">
        <v>3</v>
      </c>
      <c r="N18" s="69">
        <v>1</v>
      </c>
      <c r="O18" s="137">
        <v>4</v>
      </c>
      <c r="P18" s="67">
        <v>3</v>
      </c>
      <c r="Q18" s="96">
        <v>3</v>
      </c>
      <c r="R18" s="96">
        <v>3</v>
      </c>
      <c r="S18" s="69">
        <v>1</v>
      </c>
      <c r="T18" s="137">
        <v>4</v>
      </c>
      <c r="U18" s="67">
        <v>3</v>
      </c>
      <c r="V18" s="96">
        <v>3</v>
      </c>
      <c r="W18" s="96">
        <v>3</v>
      </c>
      <c r="X18" s="69">
        <v>1</v>
      </c>
      <c r="Y18" s="67">
        <v>3</v>
      </c>
      <c r="Z18" s="96">
        <v>3</v>
      </c>
      <c r="AA18" s="96">
        <v>3</v>
      </c>
      <c r="AB18" s="69">
        <v>1</v>
      </c>
      <c r="AC18" s="137">
        <v>4</v>
      </c>
      <c r="AD18" s="67">
        <v>3</v>
      </c>
      <c r="AE18" s="96">
        <v>3</v>
      </c>
      <c r="AF18" s="96">
        <v>3</v>
      </c>
      <c r="AG18" s="69">
        <v>1</v>
      </c>
      <c r="AH18" s="67">
        <v>3</v>
      </c>
      <c r="AI18" s="96">
        <v>3</v>
      </c>
      <c r="AJ18" s="96">
        <v>3</v>
      </c>
      <c r="AK18" s="84">
        <v>1</v>
      </c>
      <c r="AL18" s="153">
        <v>4</v>
      </c>
      <c r="AM18" s="87">
        <v>3</v>
      </c>
      <c r="AN18" s="96">
        <v>3</v>
      </c>
      <c r="AO18" s="96">
        <v>3</v>
      </c>
      <c r="AP18" s="69">
        <v>1</v>
      </c>
      <c r="AQ18" s="131"/>
    </row>
    <row r="19" spans="1:43" s="51" customFormat="1" ht="64">
      <c r="A19" s="60">
        <f t="shared" si="0"/>
        <v>8</v>
      </c>
      <c r="B19" s="50" t="s">
        <v>151</v>
      </c>
      <c r="C19" s="50" t="s">
        <v>184</v>
      </c>
      <c r="D19" s="52"/>
      <c r="E19" s="66">
        <v>5</v>
      </c>
      <c r="F19" s="137">
        <v>4</v>
      </c>
      <c r="G19" s="67">
        <v>4</v>
      </c>
      <c r="H19" s="96">
        <v>4</v>
      </c>
      <c r="I19" s="96">
        <v>4</v>
      </c>
      <c r="J19" s="69">
        <v>3</v>
      </c>
      <c r="K19" s="87">
        <v>4</v>
      </c>
      <c r="L19" s="68">
        <v>4</v>
      </c>
      <c r="M19" s="68">
        <v>4</v>
      </c>
      <c r="N19" s="69">
        <v>3</v>
      </c>
      <c r="O19" s="137">
        <v>4</v>
      </c>
      <c r="P19" s="67">
        <v>4</v>
      </c>
      <c r="Q19" s="96">
        <v>4</v>
      </c>
      <c r="R19" s="96">
        <v>4</v>
      </c>
      <c r="S19" s="69">
        <v>3</v>
      </c>
      <c r="T19" s="137">
        <v>4</v>
      </c>
      <c r="U19" s="67">
        <v>4</v>
      </c>
      <c r="V19" s="96">
        <v>4</v>
      </c>
      <c r="W19" s="96">
        <v>4</v>
      </c>
      <c r="X19" s="69">
        <v>3</v>
      </c>
      <c r="Y19" s="67">
        <v>4</v>
      </c>
      <c r="Z19" s="96">
        <v>4</v>
      </c>
      <c r="AA19" s="96">
        <v>4</v>
      </c>
      <c r="AB19" s="69">
        <v>3</v>
      </c>
      <c r="AC19" s="137">
        <v>4</v>
      </c>
      <c r="AD19" s="67">
        <v>4</v>
      </c>
      <c r="AE19" s="96">
        <v>4</v>
      </c>
      <c r="AF19" s="96">
        <v>4</v>
      </c>
      <c r="AG19" s="69">
        <v>3</v>
      </c>
      <c r="AH19" s="67">
        <v>4</v>
      </c>
      <c r="AI19" s="96">
        <v>4</v>
      </c>
      <c r="AJ19" s="96">
        <v>4</v>
      </c>
      <c r="AK19" s="84">
        <v>3</v>
      </c>
      <c r="AL19" s="153">
        <v>4</v>
      </c>
      <c r="AM19" s="87">
        <v>4</v>
      </c>
      <c r="AN19" s="96">
        <v>4</v>
      </c>
      <c r="AO19" s="96">
        <v>4</v>
      </c>
      <c r="AP19" s="69">
        <v>3</v>
      </c>
      <c r="AQ19" s="131"/>
    </row>
    <row r="20" spans="1:43" s="51" customFormat="1" ht="64">
      <c r="A20" s="60">
        <f t="shared" si="0"/>
        <v>9</v>
      </c>
      <c r="B20" s="50" t="s">
        <v>163</v>
      </c>
      <c r="C20" s="50" t="s">
        <v>185</v>
      </c>
      <c r="D20" s="52"/>
      <c r="E20" s="66">
        <v>5</v>
      </c>
      <c r="F20" s="137">
        <v>4</v>
      </c>
      <c r="G20" s="67">
        <v>4</v>
      </c>
      <c r="H20" s="96">
        <v>4</v>
      </c>
      <c r="I20" s="96">
        <v>4</v>
      </c>
      <c r="J20" s="69">
        <v>3</v>
      </c>
      <c r="K20" s="87">
        <v>4</v>
      </c>
      <c r="L20" s="68">
        <v>4</v>
      </c>
      <c r="M20" s="68">
        <v>4</v>
      </c>
      <c r="N20" s="69">
        <v>3</v>
      </c>
      <c r="O20" s="137">
        <v>4</v>
      </c>
      <c r="P20" s="67">
        <v>4</v>
      </c>
      <c r="Q20" s="96">
        <v>4</v>
      </c>
      <c r="R20" s="96">
        <v>4</v>
      </c>
      <c r="S20" s="69">
        <v>3</v>
      </c>
      <c r="T20" s="137">
        <v>4</v>
      </c>
      <c r="U20" s="67">
        <v>4</v>
      </c>
      <c r="V20" s="96">
        <v>4</v>
      </c>
      <c r="W20" s="96">
        <v>4</v>
      </c>
      <c r="X20" s="69">
        <v>3</v>
      </c>
      <c r="Y20" s="67">
        <v>4</v>
      </c>
      <c r="Z20" s="96">
        <v>4</v>
      </c>
      <c r="AA20" s="96">
        <v>4</v>
      </c>
      <c r="AB20" s="69">
        <v>3</v>
      </c>
      <c r="AC20" s="137">
        <v>4</v>
      </c>
      <c r="AD20" s="67">
        <v>4</v>
      </c>
      <c r="AE20" s="96">
        <v>4</v>
      </c>
      <c r="AF20" s="96">
        <v>4</v>
      </c>
      <c r="AG20" s="69">
        <v>3</v>
      </c>
      <c r="AH20" s="67">
        <v>4</v>
      </c>
      <c r="AI20" s="96">
        <v>4</v>
      </c>
      <c r="AJ20" s="96">
        <v>4</v>
      </c>
      <c r="AK20" s="84">
        <v>3</v>
      </c>
      <c r="AL20" s="153">
        <v>4</v>
      </c>
      <c r="AM20" s="87">
        <v>4</v>
      </c>
      <c r="AN20" s="96">
        <v>4</v>
      </c>
      <c r="AO20" s="96">
        <v>4</v>
      </c>
      <c r="AP20" s="69">
        <v>3</v>
      </c>
      <c r="AQ20" s="131"/>
    </row>
    <row r="21" spans="1:43" s="51" customFormat="1" ht="80">
      <c r="A21" s="60">
        <f t="shared" si="0"/>
        <v>10</v>
      </c>
      <c r="B21" s="50" t="s">
        <v>179</v>
      </c>
      <c r="C21" s="50" t="s">
        <v>189</v>
      </c>
      <c r="D21" s="52"/>
      <c r="E21" s="66">
        <v>5</v>
      </c>
      <c r="F21" s="137">
        <v>4</v>
      </c>
      <c r="G21" s="67">
        <v>4</v>
      </c>
      <c r="H21" s="96">
        <v>2</v>
      </c>
      <c r="I21" s="96">
        <v>1</v>
      </c>
      <c r="J21" s="69">
        <v>1</v>
      </c>
      <c r="K21" s="87">
        <v>4</v>
      </c>
      <c r="L21" s="68">
        <v>2</v>
      </c>
      <c r="M21" s="68">
        <v>1</v>
      </c>
      <c r="N21" s="68">
        <v>1</v>
      </c>
      <c r="O21" s="137">
        <v>4</v>
      </c>
      <c r="P21" s="67">
        <v>4</v>
      </c>
      <c r="Q21" s="96">
        <v>2</v>
      </c>
      <c r="R21" s="96">
        <v>1</v>
      </c>
      <c r="S21" s="69">
        <v>1</v>
      </c>
      <c r="T21" s="137">
        <v>4</v>
      </c>
      <c r="U21" s="67">
        <v>4</v>
      </c>
      <c r="V21" s="96">
        <v>2</v>
      </c>
      <c r="W21" s="96">
        <v>1</v>
      </c>
      <c r="X21" s="69">
        <v>1</v>
      </c>
      <c r="Y21" s="67">
        <v>4</v>
      </c>
      <c r="Z21" s="96">
        <v>2</v>
      </c>
      <c r="AA21" s="96">
        <v>1</v>
      </c>
      <c r="AB21" s="69">
        <v>1</v>
      </c>
      <c r="AC21" s="137">
        <v>4</v>
      </c>
      <c r="AD21" s="67">
        <v>4</v>
      </c>
      <c r="AE21" s="96">
        <v>2</v>
      </c>
      <c r="AF21" s="96">
        <v>1</v>
      </c>
      <c r="AG21" s="69">
        <v>1</v>
      </c>
      <c r="AH21" s="67">
        <v>4</v>
      </c>
      <c r="AI21" s="96">
        <v>2</v>
      </c>
      <c r="AJ21" s="96">
        <v>1</v>
      </c>
      <c r="AK21" s="84">
        <v>1</v>
      </c>
      <c r="AL21" s="153">
        <v>4</v>
      </c>
      <c r="AM21" s="87">
        <v>4</v>
      </c>
      <c r="AN21" s="96">
        <v>2</v>
      </c>
      <c r="AO21" s="96">
        <v>1</v>
      </c>
      <c r="AP21" s="69">
        <v>1</v>
      </c>
      <c r="AQ21" s="131"/>
    </row>
    <row r="22" spans="1:43" s="51" customFormat="1" ht="21">
      <c r="A22" s="60"/>
      <c r="B22" s="374" t="s">
        <v>134</v>
      </c>
      <c r="C22" s="375"/>
      <c r="D22" s="375"/>
      <c r="E22" s="70"/>
      <c r="F22" s="83"/>
      <c r="G22" s="73"/>
      <c r="H22" s="97"/>
      <c r="I22" s="97"/>
      <c r="J22" s="72"/>
      <c r="K22" s="88"/>
      <c r="L22" s="71"/>
      <c r="M22" s="71"/>
      <c r="N22" s="72"/>
      <c r="O22" s="83"/>
      <c r="P22" s="73"/>
      <c r="Q22" s="97"/>
      <c r="R22" s="97"/>
      <c r="S22" s="72"/>
      <c r="T22" s="83"/>
      <c r="U22" s="73"/>
      <c r="V22" s="97"/>
      <c r="W22" s="97"/>
      <c r="X22" s="72"/>
      <c r="Y22" s="73"/>
      <c r="Z22" s="97"/>
      <c r="AA22" s="97"/>
      <c r="AB22" s="72"/>
      <c r="AC22" s="83"/>
      <c r="AD22" s="73"/>
      <c r="AE22" s="97"/>
      <c r="AF22" s="97"/>
      <c r="AG22" s="72"/>
      <c r="AH22" s="73"/>
      <c r="AI22" s="97"/>
      <c r="AJ22" s="97"/>
      <c r="AK22" s="83"/>
      <c r="AL22" s="70"/>
      <c r="AM22" s="88"/>
      <c r="AN22" s="97"/>
      <c r="AO22" s="97"/>
      <c r="AP22" s="72"/>
      <c r="AQ22" s="131"/>
    </row>
    <row r="23" spans="1:43" s="51" customFormat="1" ht="96">
      <c r="A23" s="60">
        <f>ROW()-ROW($A$7)-5</f>
        <v>11</v>
      </c>
      <c r="B23" s="50" t="s">
        <v>120</v>
      </c>
      <c r="C23" s="50" t="s">
        <v>121</v>
      </c>
      <c r="D23" s="52" t="s">
        <v>122</v>
      </c>
      <c r="E23" s="66">
        <v>5</v>
      </c>
      <c r="F23" s="138">
        <v>5</v>
      </c>
      <c r="G23" s="67">
        <v>4</v>
      </c>
      <c r="H23" s="96">
        <v>3</v>
      </c>
      <c r="I23" s="96">
        <v>3</v>
      </c>
      <c r="J23" s="69">
        <v>2</v>
      </c>
      <c r="K23" s="87">
        <v>4</v>
      </c>
      <c r="L23" s="68">
        <v>3</v>
      </c>
      <c r="M23" s="68">
        <v>3</v>
      </c>
      <c r="N23" s="69">
        <v>2</v>
      </c>
      <c r="O23" s="138">
        <v>5</v>
      </c>
      <c r="P23" s="67">
        <v>4</v>
      </c>
      <c r="Q23" s="96">
        <v>3</v>
      </c>
      <c r="R23" s="96">
        <v>3</v>
      </c>
      <c r="S23" s="69">
        <v>2</v>
      </c>
      <c r="T23" s="138">
        <v>5</v>
      </c>
      <c r="U23" s="67">
        <v>4</v>
      </c>
      <c r="V23" s="96">
        <v>3</v>
      </c>
      <c r="W23" s="96">
        <v>3</v>
      </c>
      <c r="X23" s="69">
        <v>2</v>
      </c>
      <c r="Y23" s="67">
        <v>4</v>
      </c>
      <c r="Z23" s="96">
        <v>3</v>
      </c>
      <c r="AA23" s="96">
        <v>3</v>
      </c>
      <c r="AB23" s="69">
        <v>2</v>
      </c>
      <c r="AC23" s="138">
        <v>5</v>
      </c>
      <c r="AD23" s="67">
        <v>4</v>
      </c>
      <c r="AE23" s="96">
        <v>3</v>
      </c>
      <c r="AF23" s="96">
        <v>3</v>
      </c>
      <c r="AG23" s="69">
        <v>2</v>
      </c>
      <c r="AH23" s="67">
        <v>4</v>
      </c>
      <c r="AI23" s="96">
        <v>3</v>
      </c>
      <c r="AJ23" s="96">
        <v>3</v>
      </c>
      <c r="AK23" s="84">
        <v>2</v>
      </c>
      <c r="AL23" s="153">
        <v>5</v>
      </c>
      <c r="AM23" s="87">
        <v>4</v>
      </c>
      <c r="AN23" s="96">
        <v>3</v>
      </c>
      <c r="AO23" s="96">
        <v>3</v>
      </c>
      <c r="AP23" s="69">
        <v>2</v>
      </c>
      <c r="AQ23" s="131"/>
    </row>
    <row r="24" spans="1:43" s="51" customFormat="1" ht="96">
      <c r="A24" s="60">
        <f t="shared" ref="A24:A26" si="1">ROW()-ROW($A$7)-5</f>
        <v>12</v>
      </c>
      <c r="B24" s="50" t="s">
        <v>123</v>
      </c>
      <c r="C24" s="50" t="s">
        <v>190</v>
      </c>
      <c r="D24" s="53" t="s">
        <v>195</v>
      </c>
      <c r="E24" s="66">
        <v>5</v>
      </c>
      <c r="F24" s="138">
        <v>4</v>
      </c>
      <c r="G24" s="67">
        <v>3</v>
      </c>
      <c r="H24" s="96">
        <v>3</v>
      </c>
      <c r="I24" s="96">
        <v>2</v>
      </c>
      <c r="J24" s="69">
        <v>1</v>
      </c>
      <c r="K24" s="87">
        <v>4</v>
      </c>
      <c r="L24" s="68">
        <v>3</v>
      </c>
      <c r="M24" s="68">
        <v>2</v>
      </c>
      <c r="N24" s="69">
        <v>1</v>
      </c>
      <c r="O24" s="138">
        <v>4</v>
      </c>
      <c r="P24" s="67">
        <v>4</v>
      </c>
      <c r="Q24" s="96">
        <v>3</v>
      </c>
      <c r="R24" s="96">
        <v>2</v>
      </c>
      <c r="S24" s="69">
        <v>1</v>
      </c>
      <c r="T24" s="138">
        <v>4</v>
      </c>
      <c r="U24" s="67">
        <v>4</v>
      </c>
      <c r="V24" s="96">
        <v>3</v>
      </c>
      <c r="W24" s="96">
        <v>2</v>
      </c>
      <c r="X24" s="69">
        <v>1</v>
      </c>
      <c r="Y24" s="67">
        <v>4</v>
      </c>
      <c r="Z24" s="96">
        <v>3</v>
      </c>
      <c r="AA24" s="96">
        <v>2</v>
      </c>
      <c r="AB24" s="69">
        <v>1</v>
      </c>
      <c r="AC24" s="138">
        <v>4</v>
      </c>
      <c r="AD24" s="67">
        <v>4</v>
      </c>
      <c r="AE24" s="96">
        <v>3</v>
      </c>
      <c r="AF24" s="96">
        <v>2</v>
      </c>
      <c r="AG24" s="69">
        <v>1</v>
      </c>
      <c r="AH24" s="67">
        <v>4</v>
      </c>
      <c r="AI24" s="96">
        <v>3</v>
      </c>
      <c r="AJ24" s="96">
        <v>2</v>
      </c>
      <c r="AK24" s="84">
        <v>1</v>
      </c>
      <c r="AL24" s="153">
        <v>4</v>
      </c>
      <c r="AM24" s="87">
        <v>4</v>
      </c>
      <c r="AN24" s="96">
        <v>3</v>
      </c>
      <c r="AO24" s="96">
        <v>2</v>
      </c>
      <c r="AP24" s="69">
        <v>1</v>
      </c>
      <c r="AQ24" s="131"/>
    </row>
    <row r="25" spans="1:43" s="51" customFormat="1" ht="64">
      <c r="A25" s="60">
        <f t="shared" si="1"/>
        <v>13</v>
      </c>
      <c r="B25" s="50" t="s">
        <v>132</v>
      </c>
      <c r="C25" s="50" t="s">
        <v>191</v>
      </c>
      <c r="D25" s="139" t="s">
        <v>200</v>
      </c>
      <c r="E25" s="66">
        <v>4</v>
      </c>
      <c r="F25" s="138">
        <v>4</v>
      </c>
      <c r="G25" s="67">
        <v>3</v>
      </c>
      <c r="H25" s="96">
        <v>3</v>
      </c>
      <c r="I25" s="96">
        <v>2</v>
      </c>
      <c r="J25" s="69">
        <v>1</v>
      </c>
      <c r="K25" s="87">
        <v>4</v>
      </c>
      <c r="L25" s="68">
        <v>3</v>
      </c>
      <c r="M25" s="68">
        <v>2</v>
      </c>
      <c r="N25" s="69">
        <v>1</v>
      </c>
      <c r="O25" s="138">
        <v>3</v>
      </c>
      <c r="P25" s="67">
        <v>4</v>
      </c>
      <c r="Q25" s="96">
        <v>3</v>
      </c>
      <c r="R25" s="96">
        <v>2</v>
      </c>
      <c r="S25" s="69">
        <v>1</v>
      </c>
      <c r="T25" s="138">
        <v>3</v>
      </c>
      <c r="U25" s="67">
        <v>4</v>
      </c>
      <c r="V25" s="96">
        <v>3</v>
      </c>
      <c r="W25" s="96">
        <v>2</v>
      </c>
      <c r="X25" s="69">
        <v>1</v>
      </c>
      <c r="Y25" s="67">
        <v>4</v>
      </c>
      <c r="Z25" s="96">
        <v>3</v>
      </c>
      <c r="AA25" s="96">
        <v>2</v>
      </c>
      <c r="AB25" s="69">
        <v>1</v>
      </c>
      <c r="AC25" s="138">
        <v>3</v>
      </c>
      <c r="AD25" s="67">
        <v>4</v>
      </c>
      <c r="AE25" s="96">
        <v>3</v>
      </c>
      <c r="AF25" s="96">
        <v>2</v>
      </c>
      <c r="AG25" s="69">
        <v>1</v>
      </c>
      <c r="AH25" s="67">
        <v>4</v>
      </c>
      <c r="AI25" s="96">
        <v>3</v>
      </c>
      <c r="AJ25" s="96">
        <v>2</v>
      </c>
      <c r="AK25" s="84">
        <v>1</v>
      </c>
      <c r="AL25" s="153">
        <v>3</v>
      </c>
      <c r="AM25" s="87">
        <v>4</v>
      </c>
      <c r="AN25" s="96">
        <v>3</v>
      </c>
      <c r="AO25" s="96">
        <v>2</v>
      </c>
      <c r="AP25" s="69">
        <v>1</v>
      </c>
      <c r="AQ25" s="131"/>
    </row>
    <row r="26" spans="1:43" s="51" customFormat="1" ht="96">
      <c r="A26" s="60">
        <f t="shared" si="1"/>
        <v>14</v>
      </c>
      <c r="B26" s="50" t="s">
        <v>125</v>
      </c>
      <c r="C26" s="50" t="s">
        <v>192</v>
      </c>
      <c r="D26" s="53"/>
      <c r="E26" s="66">
        <v>5</v>
      </c>
      <c r="F26" s="138">
        <v>4</v>
      </c>
      <c r="G26" s="67">
        <v>3</v>
      </c>
      <c r="H26" s="96">
        <v>3</v>
      </c>
      <c r="I26" s="96">
        <v>3</v>
      </c>
      <c r="J26" s="69">
        <v>2</v>
      </c>
      <c r="K26" s="87">
        <v>4</v>
      </c>
      <c r="L26" s="68">
        <v>3</v>
      </c>
      <c r="M26" s="68">
        <v>3</v>
      </c>
      <c r="N26" s="69">
        <v>2</v>
      </c>
      <c r="O26" s="138">
        <v>4</v>
      </c>
      <c r="P26" s="67">
        <v>4</v>
      </c>
      <c r="Q26" s="96">
        <v>3</v>
      </c>
      <c r="R26" s="96">
        <v>3</v>
      </c>
      <c r="S26" s="69">
        <v>2</v>
      </c>
      <c r="T26" s="138">
        <v>4</v>
      </c>
      <c r="U26" s="67">
        <v>4</v>
      </c>
      <c r="V26" s="96">
        <v>3</v>
      </c>
      <c r="W26" s="96">
        <v>3</v>
      </c>
      <c r="X26" s="69">
        <v>2</v>
      </c>
      <c r="Y26" s="67">
        <v>4</v>
      </c>
      <c r="Z26" s="96">
        <v>3</v>
      </c>
      <c r="AA26" s="96">
        <v>3</v>
      </c>
      <c r="AB26" s="69">
        <v>2</v>
      </c>
      <c r="AC26" s="138">
        <v>4</v>
      </c>
      <c r="AD26" s="67">
        <v>4</v>
      </c>
      <c r="AE26" s="96">
        <v>3</v>
      </c>
      <c r="AF26" s="96">
        <v>3</v>
      </c>
      <c r="AG26" s="69">
        <v>2</v>
      </c>
      <c r="AH26" s="67">
        <v>4</v>
      </c>
      <c r="AI26" s="96">
        <v>3</v>
      </c>
      <c r="AJ26" s="96">
        <v>3</v>
      </c>
      <c r="AK26" s="84">
        <v>2</v>
      </c>
      <c r="AL26" s="153">
        <v>4</v>
      </c>
      <c r="AM26" s="87">
        <v>4</v>
      </c>
      <c r="AN26" s="96">
        <v>3</v>
      </c>
      <c r="AO26" s="96">
        <v>3</v>
      </c>
      <c r="AP26" s="69">
        <v>2</v>
      </c>
      <c r="AQ26" s="131"/>
    </row>
    <row r="27" spans="1:43" s="51" customFormat="1" ht="21">
      <c r="A27" s="60"/>
      <c r="B27" s="374" t="s">
        <v>133</v>
      </c>
      <c r="C27" s="375"/>
      <c r="D27" s="375"/>
      <c r="E27" s="70"/>
      <c r="F27" s="83"/>
      <c r="G27" s="73"/>
      <c r="H27" s="97"/>
      <c r="I27" s="97"/>
      <c r="J27" s="72"/>
      <c r="K27" s="88"/>
      <c r="L27" s="71"/>
      <c r="M27" s="71"/>
      <c r="N27" s="72"/>
      <c r="O27" s="83"/>
      <c r="P27" s="73"/>
      <c r="Q27" s="97"/>
      <c r="R27" s="97"/>
      <c r="S27" s="72"/>
      <c r="T27" s="83"/>
      <c r="U27" s="73"/>
      <c r="V27" s="97"/>
      <c r="W27" s="97"/>
      <c r="X27" s="72"/>
      <c r="Y27" s="73"/>
      <c r="Z27" s="97"/>
      <c r="AA27" s="97"/>
      <c r="AB27" s="72"/>
      <c r="AC27" s="83"/>
      <c r="AD27" s="73"/>
      <c r="AE27" s="97"/>
      <c r="AF27" s="97"/>
      <c r="AG27" s="72"/>
      <c r="AH27" s="73"/>
      <c r="AI27" s="97"/>
      <c r="AJ27" s="97"/>
      <c r="AK27" s="83"/>
      <c r="AL27" s="70"/>
      <c r="AM27" s="88"/>
      <c r="AN27" s="97"/>
      <c r="AO27" s="97"/>
      <c r="AP27" s="72"/>
      <c r="AQ27" s="131"/>
    </row>
    <row r="28" spans="1:43" s="51" customFormat="1" ht="64">
      <c r="A28" s="60">
        <f>ROW()-ROW($A$7)-6</f>
        <v>15</v>
      </c>
      <c r="B28" s="50" t="s">
        <v>159</v>
      </c>
      <c r="C28" s="50"/>
      <c r="D28" s="52" t="s">
        <v>160</v>
      </c>
      <c r="E28" s="66">
        <v>4</v>
      </c>
      <c r="F28" s="138">
        <v>5</v>
      </c>
      <c r="G28" s="67">
        <v>3</v>
      </c>
      <c r="H28" s="96">
        <v>2</v>
      </c>
      <c r="I28" s="96">
        <v>2</v>
      </c>
      <c r="J28" s="69">
        <v>1</v>
      </c>
      <c r="K28" s="87">
        <v>4</v>
      </c>
      <c r="L28" s="68">
        <v>4</v>
      </c>
      <c r="M28" s="68">
        <v>4</v>
      </c>
      <c r="N28" s="69">
        <v>3</v>
      </c>
      <c r="O28" s="138">
        <v>3</v>
      </c>
      <c r="P28" s="67">
        <v>3</v>
      </c>
      <c r="Q28" s="96">
        <v>2</v>
      </c>
      <c r="R28" s="96">
        <v>2</v>
      </c>
      <c r="S28" s="69">
        <v>1</v>
      </c>
      <c r="T28" s="138">
        <v>3</v>
      </c>
      <c r="U28" s="67">
        <v>3</v>
      </c>
      <c r="V28" s="96">
        <v>2</v>
      </c>
      <c r="W28" s="96">
        <v>2</v>
      </c>
      <c r="X28" s="69">
        <v>1</v>
      </c>
      <c r="Y28" s="67">
        <v>3</v>
      </c>
      <c r="Z28" s="96">
        <v>2</v>
      </c>
      <c r="AA28" s="96">
        <v>2</v>
      </c>
      <c r="AB28" s="69">
        <v>1</v>
      </c>
      <c r="AC28" s="138">
        <v>3</v>
      </c>
      <c r="AD28" s="67">
        <v>3</v>
      </c>
      <c r="AE28" s="96">
        <v>2</v>
      </c>
      <c r="AF28" s="96">
        <v>2</v>
      </c>
      <c r="AG28" s="69">
        <v>1</v>
      </c>
      <c r="AH28" s="67">
        <v>3</v>
      </c>
      <c r="AI28" s="96">
        <v>2</v>
      </c>
      <c r="AJ28" s="96">
        <v>2</v>
      </c>
      <c r="AK28" s="84">
        <v>1</v>
      </c>
      <c r="AL28" s="153">
        <v>3</v>
      </c>
      <c r="AM28" s="87">
        <v>3</v>
      </c>
      <c r="AN28" s="96">
        <v>2</v>
      </c>
      <c r="AO28" s="96">
        <v>2</v>
      </c>
      <c r="AP28" s="69">
        <v>1</v>
      </c>
      <c r="AQ28" s="131"/>
    </row>
    <row r="29" spans="1:43" s="51" customFormat="1" ht="128">
      <c r="A29" s="60">
        <f t="shared" ref="A29:A31" si="2">ROW()-ROW($A$7)-6</f>
        <v>16</v>
      </c>
      <c r="B29" s="50" t="s">
        <v>131</v>
      </c>
      <c r="C29" s="50"/>
      <c r="D29" s="52" t="s">
        <v>87</v>
      </c>
      <c r="E29" s="66">
        <v>4</v>
      </c>
      <c r="F29" s="138">
        <v>5</v>
      </c>
      <c r="G29" s="67">
        <v>4</v>
      </c>
      <c r="H29" s="96">
        <v>3</v>
      </c>
      <c r="I29" s="96">
        <v>3</v>
      </c>
      <c r="J29" s="69">
        <v>2</v>
      </c>
      <c r="K29" s="87">
        <v>4</v>
      </c>
      <c r="L29" s="68">
        <v>3</v>
      </c>
      <c r="M29" s="68">
        <v>2</v>
      </c>
      <c r="N29" s="69">
        <v>2</v>
      </c>
      <c r="O29" s="138">
        <v>2</v>
      </c>
      <c r="P29" s="67">
        <v>2</v>
      </c>
      <c r="Q29" s="96">
        <v>1</v>
      </c>
      <c r="R29" s="96">
        <v>1</v>
      </c>
      <c r="S29" s="69">
        <v>1</v>
      </c>
      <c r="T29" s="138">
        <v>2</v>
      </c>
      <c r="U29" s="67">
        <v>2</v>
      </c>
      <c r="V29" s="96">
        <v>1</v>
      </c>
      <c r="W29" s="96">
        <v>1</v>
      </c>
      <c r="X29" s="69">
        <v>1</v>
      </c>
      <c r="Y29" s="67">
        <v>2</v>
      </c>
      <c r="Z29" s="96">
        <v>1</v>
      </c>
      <c r="AA29" s="96">
        <v>1</v>
      </c>
      <c r="AB29" s="69">
        <v>1</v>
      </c>
      <c r="AC29" s="138">
        <v>2</v>
      </c>
      <c r="AD29" s="67">
        <v>2</v>
      </c>
      <c r="AE29" s="96">
        <v>1</v>
      </c>
      <c r="AF29" s="96">
        <v>1</v>
      </c>
      <c r="AG29" s="69">
        <v>1</v>
      </c>
      <c r="AH29" s="67">
        <v>2</v>
      </c>
      <c r="AI29" s="96">
        <v>1</v>
      </c>
      <c r="AJ29" s="96">
        <v>1</v>
      </c>
      <c r="AK29" s="84">
        <v>1</v>
      </c>
      <c r="AL29" s="153">
        <v>2</v>
      </c>
      <c r="AM29" s="87">
        <v>2</v>
      </c>
      <c r="AN29" s="96">
        <v>1</v>
      </c>
      <c r="AO29" s="96">
        <v>1</v>
      </c>
      <c r="AP29" s="69">
        <v>1</v>
      </c>
      <c r="AQ29" s="131"/>
    </row>
    <row r="30" spans="1:43" s="51" customFormat="1" ht="96">
      <c r="A30" s="60">
        <f t="shared" si="2"/>
        <v>17</v>
      </c>
      <c r="B30" s="50" t="s">
        <v>129</v>
      </c>
      <c r="C30" s="50"/>
      <c r="D30" s="52" t="s">
        <v>167</v>
      </c>
      <c r="E30" s="66">
        <v>4</v>
      </c>
      <c r="F30" s="138">
        <v>3</v>
      </c>
      <c r="G30" s="67">
        <v>1</v>
      </c>
      <c r="H30" s="96">
        <v>1</v>
      </c>
      <c r="I30" s="96">
        <v>1</v>
      </c>
      <c r="J30" s="69">
        <v>1</v>
      </c>
      <c r="K30" s="87">
        <v>1</v>
      </c>
      <c r="L30" s="68">
        <v>1</v>
      </c>
      <c r="M30" s="68">
        <v>1</v>
      </c>
      <c r="N30" s="69">
        <v>1</v>
      </c>
      <c r="O30" s="138">
        <v>3</v>
      </c>
      <c r="P30" s="67">
        <v>3</v>
      </c>
      <c r="Q30" s="96">
        <v>2</v>
      </c>
      <c r="R30" s="96">
        <v>1</v>
      </c>
      <c r="S30" s="69">
        <v>1</v>
      </c>
      <c r="T30" s="138">
        <v>3</v>
      </c>
      <c r="U30" s="67">
        <v>3</v>
      </c>
      <c r="V30" s="96">
        <v>2</v>
      </c>
      <c r="W30" s="96">
        <v>1</v>
      </c>
      <c r="X30" s="69">
        <v>1</v>
      </c>
      <c r="Y30" s="67">
        <v>3</v>
      </c>
      <c r="Z30" s="96">
        <v>2</v>
      </c>
      <c r="AA30" s="96">
        <v>1</v>
      </c>
      <c r="AB30" s="69">
        <v>1</v>
      </c>
      <c r="AC30" s="138">
        <v>3</v>
      </c>
      <c r="AD30" s="67">
        <v>3</v>
      </c>
      <c r="AE30" s="96">
        <v>2</v>
      </c>
      <c r="AF30" s="96">
        <v>1</v>
      </c>
      <c r="AG30" s="69">
        <v>1</v>
      </c>
      <c r="AH30" s="67">
        <v>3</v>
      </c>
      <c r="AI30" s="96">
        <v>2</v>
      </c>
      <c r="AJ30" s="96">
        <v>1</v>
      </c>
      <c r="AK30" s="84">
        <v>1</v>
      </c>
      <c r="AL30" s="153">
        <v>3</v>
      </c>
      <c r="AM30" s="87">
        <v>3</v>
      </c>
      <c r="AN30" s="96">
        <v>2</v>
      </c>
      <c r="AO30" s="96">
        <v>1</v>
      </c>
      <c r="AP30" s="69">
        <v>1</v>
      </c>
      <c r="AQ30" s="131"/>
    </row>
    <row r="31" spans="1:43" s="51" customFormat="1" ht="48">
      <c r="A31" s="60">
        <f t="shared" si="2"/>
        <v>18</v>
      </c>
      <c r="B31" s="50" t="s">
        <v>126</v>
      </c>
      <c r="C31" s="50"/>
      <c r="D31" s="52" t="s">
        <v>166</v>
      </c>
      <c r="E31" s="66">
        <v>4</v>
      </c>
      <c r="F31" s="138">
        <v>5</v>
      </c>
      <c r="G31" s="67">
        <v>5</v>
      </c>
      <c r="H31" s="96">
        <v>4</v>
      </c>
      <c r="I31" s="96">
        <v>4</v>
      </c>
      <c r="J31" s="69">
        <v>3</v>
      </c>
      <c r="K31" s="87">
        <v>3</v>
      </c>
      <c r="L31" s="68">
        <v>2</v>
      </c>
      <c r="M31" s="68">
        <v>2</v>
      </c>
      <c r="N31" s="69">
        <v>2</v>
      </c>
      <c r="O31" s="138">
        <v>2</v>
      </c>
      <c r="P31" s="67">
        <v>1</v>
      </c>
      <c r="Q31" s="96">
        <v>1</v>
      </c>
      <c r="R31" s="96">
        <v>1</v>
      </c>
      <c r="S31" s="69">
        <v>1</v>
      </c>
      <c r="T31" s="138">
        <v>2</v>
      </c>
      <c r="U31" s="67">
        <v>1</v>
      </c>
      <c r="V31" s="96">
        <v>1</v>
      </c>
      <c r="W31" s="96">
        <v>1</v>
      </c>
      <c r="X31" s="69">
        <v>1</v>
      </c>
      <c r="Y31" s="67">
        <v>1</v>
      </c>
      <c r="Z31" s="96">
        <v>1</v>
      </c>
      <c r="AA31" s="96">
        <v>1</v>
      </c>
      <c r="AB31" s="69">
        <v>1</v>
      </c>
      <c r="AC31" s="138">
        <v>2</v>
      </c>
      <c r="AD31" s="67">
        <v>1</v>
      </c>
      <c r="AE31" s="96">
        <v>1</v>
      </c>
      <c r="AF31" s="96">
        <v>1</v>
      </c>
      <c r="AG31" s="69">
        <v>1</v>
      </c>
      <c r="AH31" s="67">
        <v>1</v>
      </c>
      <c r="AI31" s="96">
        <v>1</v>
      </c>
      <c r="AJ31" s="96">
        <v>1</v>
      </c>
      <c r="AK31" s="84">
        <v>1</v>
      </c>
      <c r="AL31" s="153">
        <v>2</v>
      </c>
      <c r="AM31" s="87">
        <v>1</v>
      </c>
      <c r="AN31" s="96">
        <v>1</v>
      </c>
      <c r="AO31" s="96">
        <v>1</v>
      </c>
      <c r="AP31" s="69">
        <v>1</v>
      </c>
      <c r="AQ31" s="131"/>
    </row>
    <row r="32" spans="1:43" s="51" customFormat="1" ht="21">
      <c r="A32" s="60"/>
      <c r="B32" s="374" t="s">
        <v>135</v>
      </c>
      <c r="C32" s="375"/>
      <c r="D32" s="375"/>
      <c r="E32" s="70"/>
      <c r="F32" s="83"/>
      <c r="G32" s="73"/>
      <c r="H32" s="97"/>
      <c r="I32" s="97"/>
      <c r="J32" s="72"/>
      <c r="K32" s="88"/>
      <c r="L32" s="71"/>
      <c r="M32" s="71"/>
      <c r="N32" s="72"/>
      <c r="O32" s="83"/>
      <c r="P32" s="73"/>
      <c r="Q32" s="97"/>
      <c r="R32" s="97"/>
      <c r="S32" s="72"/>
      <c r="T32" s="83"/>
      <c r="U32" s="73"/>
      <c r="V32" s="97"/>
      <c r="W32" s="97"/>
      <c r="X32" s="72"/>
      <c r="Y32" s="73"/>
      <c r="Z32" s="97"/>
      <c r="AA32" s="97"/>
      <c r="AB32" s="72"/>
      <c r="AC32" s="83"/>
      <c r="AD32" s="73"/>
      <c r="AE32" s="97"/>
      <c r="AF32" s="97"/>
      <c r="AG32" s="72"/>
      <c r="AH32" s="73"/>
      <c r="AI32" s="97"/>
      <c r="AJ32" s="97"/>
      <c r="AK32" s="83"/>
      <c r="AL32" s="70"/>
      <c r="AM32" s="88"/>
      <c r="AN32" s="97"/>
      <c r="AO32" s="97"/>
      <c r="AP32" s="72"/>
      <c r="AQ32" s="131"/>
    </row>
    <row r="33" spans="1:43" s="51" customFormat="1" ht="112">
      <c r="A33" s="60">
        <f>ROW()-ROW($A$7)-7</f>
        <v>19</v>
      </c>
      <c r="B33" s="50" t="s">
        <v>127</v>
      </c>
      <c r="C33" s="50" t="s">
        <v>155</v>
      </c>
      <c r="D33" s="52" t="s">
        <v>154</v>
      </c>
      <c r="E33" s="66">
        <v>4</v>
      </c>
      <c r="F33" s="138">
        <v>3</v>
      </c>
      <c r="G33" s="67">
        <v>2</v>
      </c>
      <c r="H33" s="96">
        <v>1</v>
      </c>
      <c r="I33" s="96">
        <v>1</v>
      </c>
      <c r="J33" s="69">
        <v>1</v>
      </c>
      <c r="K33" s="87">
        <v>2</v>
      </c>
      <c r="L33" s="68">
        <v>1</v>
      </c>
      <c r="M33" s="68">
        <v>1</v>
      </c>
      <c r="N33" s="69">
        <v>1</v>
      </c>
      <c r="O33" s="138">
        <v>5</v>
      </c>
      <c r="P33" s="67">
        <v>5</v>
      </c>
      <c r="Q33" s="96">
        <v>4</v>
      </c>
      <c r="R33" s="96">
        <v>4</v>
      </c>
      <c r="S33" s="69">
        <v>3</v>
      </c>
      <c r="T33" s="138">
        <v>5</v>
      </c>
      <c r="U33" s="67">
        <v>5</v>
      </c>
      <c r="V33" s="96">
        <v>4</v>
      </c>
      <c r="W33" s="96">
        <v>4</v>
      </c>
      <c r="X33" s="69">
        <v>3</v>
      </c>
      <c r="Y33" s="67">
        <v>5</v>
      </c>
      <c r="Z33" s="96">
        <v>4</v>
      </c>
      <c r="AA33" s="96">
        <v>4</v>
      </c>
      <c r="AB33" s="69">
        <v>3</v>
      </c>
      <c r="AC33" s="138">
        <v>3</v>
      </c>
      <c r="AD33" s="67">
        <v>2</v>
      </c>
      <c r="AE33" s="96">
        <v>1</v>
      </c>
      <c r="AF33" s="96">
        <v>1</v>
      </c>
      <c r="AG33" s="69">
        <v>1</v>
      </c>
      <c r="AH33" s="67">
        <v>2</v>
      </c>
      <c r="AI33" s="96">
        <v>1</v>
      </c>
      <c r="AJ33" s="96">
        <v>1</v>
      </c>
      <c r="AK33" s="84">
        <v>1</v>
      </c>
      <c r="AL33" s="153">
        <v>3</v>
      </c>
      <c r="AM33" s="87">
        <v>2</v>
      </c>
      <c r="AN33" s="96">
        <v>1</v>
      </c>
      <c r="AO33" s="96">
        <v>1</v>
      </c>
      <c r="AP33" s="69">
        <v>1</v>
      </c>
      <c r="AQ33" s="131"/>
    </row>
    <row r="34" spans="1:43" s="51" customFormat="1" ht="96">
      <c r="A34" s="60">
        <f t="shared" ref="A34:A38" si="3">ROW()-ROW($A$7)-7</f>
        <v>20</v>
      </c>
      <c r="B34" s="50" t="s">
        <v>124</v>
      </c>
      <c r="C34" s="50" t="s">
        <v>153</v>
      </c>
      <c r="D34" s="52" t="s">
        <v>162</v>
      </c>
      <c r="E34" s="66">
        <v>4</v>
      </c>
      <c r="F34" s="138">
        <v>3</v>
      </c>
      <c r="G34" s="67">
        <v>2</v>
      </c>
      <c r="H34" s="96">
        <v>1</v>
      </c>
      <c r="I34" s="96">
        <v>1</v>
      </c>
      <c r="J34" s="69">
        <v>1</v>
      </c>
      <c r="K34" s="87">
        <v>2</v>
      </c>
      <c r="L34" s="68">
        <v>1</v>
      </c>
      <c r="M34" s="68">
        <v>1</v>
      </c>
      <c r="N34" s="69">
        <v>1</v>
      </c>
      <c r="O34" s="138">
        <v>5</v>
      </c>
      <c r="P34" s="67">
        <v>5</v>
      </c>
      <c r="Q34" s="96">
        <v>4</v>
      </c>
      <c r="R34" s="96">
        <v>3</v>
      </c>
      <c r="S34" s="69">
        <v>2</v>
      </c>
      <c r="T34" s="138">
        <v>5</v>
      </c>
      <c r="U34" s="67">
        <v>5</v>
      </c>
      <c r="V34" s="96">
        <v>4</v>
      </c>
      <c r="W34" s="96">
        <v>3</v>
      </c>
      <c r="X34" s="69">
        <v>2</v>
      </c>
      <c r="Y34" s="67">
        <v>3</v>
      </c>
      <c r="Z34" s="96">
        <v>2</v>
      </c>
      <c r="AA34" s="96">
        <v>2</v>
      </c>
      <c r="AB34" s="69">
        <v>1</v>
      </c>
      <c r="AC34" s="138">
        <v>3</v>
      </c>
      <c r="AD34" s="67">
        <v>2</v>
      </c>
      <c r="AE34" s="96">
        <v>1</v>
      </c>
      <c r="AF34" s="96">
        <v>1</v>
      </c>
      <c r="AG34" s="69">
        <v>1</v>
      </c>
      <c r="AH34" s="67">
        <v>2</v>
      </c>
      <c r="AI34" s="96">
        <v>1</v>
      </c>
      <c r="AJ34" s="96">
        <v>1</v>
      </c>
      <c r="AK34" s="84">
        <v>1</v>
      </c>
      <c r="AL34" s="153">
        <v>3</v>
      </c>
      <c r="AM34" s="87">
        <v>2</v>
      </c>
      <c r="AN34" s="96">
        <v>1</v>
      </c>
      <c r="AO34" s="96">
        <v>1</v>
      </c>
      <c r="AP34" s="69">
        <v>1</v>
      </c>
      <c r="AQ34" s="131"/>
    </row>
    <row r="35" spans="1:43" s="51" customFormat="1" ht="32">
      <c r="A35" s="60">
        <f t="shared" si="3"/>
        <v>21</v>
      </c>
      <c r="B35" s="50" t="s">
        <v>128</v>
      </c>
      <c r="C35" s="50"/>
      <c r="D35" s="52" t="s">
        <v>156</v>
      </c>
      <c r="E35" s="66">
        <v>4</v>
      </c>
      <c r="F35" s="138">
        <v>3</v>
      </c>
      <c r="G35" s="67">
        <v>2</v>
      </c>
      <c r="H35" s="96">
        <v>2</v>
      </c>
      <c r="I35" s="96">
        <v>1</v>
      </c>
      <c r="J35" s="69">
        <v>1</v>
      </c>
      <c r="K35" s="87">
        <v>2</v>
      </c>
      <c r="L35" s="68">
        <v>2</v>
      </c>
      <c r="M35" s="68">
        <v>1</v>
      </c>
      <c r="N35" s="69">
        <v>1</v>
      </c>
      <c r="O35" s="138">
        <v>5</v>
      </c>
      <c r="P35" s="67">
        <v>5</v>
      </c>
      <c r="Q35" s="96">
        <v>4</v>
      </c>
      <c r="R35" s="96">
        <v>4</v>
      </c>
      <c r="S35" s="69">
        <v>3</v>
      </c>
      <c r="T35" s="138">
        <v>5</v>
      </c>
      <c r="U35" s="67">
        <v>5</v>
      </c>
      <c r="V35" s="96">
        <v>4</v>
      </c>
      <c r="W35" s="96">
        <v>4</v>
      </c>
      <c r="X35" s="69">
        <v>3</v>
      </c>
      <c r="Y35" s="67">
        <v>4</v>
      </c>
      <c r="Z35" s="96">
        <v>3</v>
      </c>
      <c r="AA35" s="96">
        <v>3</v>
      </c>
      <c r="AB35" s="69">
        <v>2</v>
      </c>
      <c r="AC35" s="138">
        <v>3</v>
      </c>
      <c r="AD35" s="67">
        <v>2</v>
      </c>
      <c r="AE35" s="96">
        <v>2</v>
      </c>
      <c r="AF35" s="96">
        <v>1</v>
      </c>
      <c r="AG35" s="69">
        <v>1</v>
      </c>
      <c r="AH35" s="67">
        <v>2</v>
      </c>
      <c r="AI35" s="96">
        <v>2</v>
      </c>
      <c r="AJ35" s="96">
        <v>1</v>
      </c>
      <c r="AK35" s="84">
        <v>1</v>
      </c>
      <c r="AL35" s="153">
        <v>3</v>
      </c>
      <c r="AM35" s="87">
        <v>2</v>
      </c>
      <c r="AN35" s="96">
        <v>2</v>
      </c>
      <c r="AO35" s="96">
        <v>1</v>
      </c>
      <c r="AP35" s="69">
        <v>1</v>
      </c>
      <c r="AQ35" s="131"/>
    </row>
    <row r="36" spans="1:43" s="51" customFormat="1" ht="48">
      <c r="A36" s="60">
        <f t="shared" si="3"/>
        <v>22</v>
      </c>
      <c r="B36" s="50" t="s">
        <v>194</v>
      </c>
      <c r="C36" s="50"/>
      <c r="D36" s="52" t="s">
        <v>157</v>
      </c>
      <c r="E36" s="66">
        <v>2</v>
      </c>
      <c r="F36" s="138">
        <v>1</v>
      </c>
      <c r="G36" s="67">
        <v>1</v>
      </c>
      <c r="H36" s="96">
        <v>1</v>
      </c>
      <c r="I36" s="96">
        <v>1</v>
      </c>
      <c r="J36" s="69">
        <v>1</v>
      </c>
      <c r="K36" s="87">
        <v>1</v>
      </c>
      <c r="L36" s="68">
        <v>1</v>
      </c>
      <c r="M36" s="68">
        <v>1</v>
      </c>
      <c r="N36" s="69">
        <v>1</v>
      </c>
      <c r="O36" s="138">
        <v>2</v>
      </c>
      <c r="P36" s="67">
        <v>2</v>
      </c>
      <c r="Q36" s="96">
        <v>1</v>
      </c>
      <c r="R36" s="96">
        <v>1</v>
      </c>
      <c r="S36" s="69">
        <v>1</v>
      </c>
      <c r="T36" s="138">
        <v>2</v>
      </c>
      <c r="U36" s="67">
        <v>2</v>
      </c>
      <c r="V36" s="96">
        <v>1</v>
      </c>
      <c r="W36" s="96">
        <v>1</v>
      </c>
      <c r="X36" s="69">
        <v>1</v>
      </c>
      <c r="Y36" s="67">
        <v>1</v>
      </c>
      <c r="Z36" s="96">
        <v>1</v>
      </c>
      <c r="AA36" s="96">
        <v>1</v>
      </c>
      <c r="AB36" s="69">
        <v>1</v>
      </c>
      <c r="AC36" s="138">
        <v>1</v>
      </c>
      <c r="AD36" s="67">
        <v>1</v>
      </c>
      <c r="AE36" s="96">
        <v>1</v>
      </c>
      <c r="AF36" s="96">
        <v>1</v>
      </c>
      <c r="AG36" s="69">
        <v>1</v>
      </c>
      <c r="AH36" s="67">
        <v>1</v>
      </c>
      <c r="AI36" s="96">
        <v>1</v>
      </c>
      <c r="AJ36" s="96">
        <v>1</v>
      </c>
      <c r="AK36" s="84">
        <v>1</v>
      </c>
      <c r="AL36" s="153">
        <v>1</v>
      </c>
      <c r="AM36" s="87">
        <v>1</v>
      </c>
      <c r="AN36" s="96">
        <v>1</v>
      </c>
      <c r="AO36" s="96">
        <v>1</v>
      </c>
      <c r="AP36" s="69">
        <v>1</v>
      </c>
      <c r="AQ36" s="131"/>
    </row>
    <row r="37" spans="1:43" s="51" customFormat="1" ht="48">
      <c r="A37" s="60">
        <f t="shared" si="3"/>
        <v>23</v>
      </c>
      <c r="B37" s="50" t="s">
        <v>52</v>
      </c>
      <c r="C37" s="50"/>
      <c r="D37" s="52" t="s">
        <v>158</v>
      </c>
      <c r="E37" s="66">
        <v>4</v>
      </c>
      <c r="F37" s="138">
        <v>4</v>
      </c>
      <c r="G37" s="67">
        <v>1</v>
      </c>
      <c r="H37" s="96">
        <v>1</v>
      </c>
      <c r="I37" s="96">
        <v>1</v>
      </c>
      <c r="J37" s="69">
        <v>1</v>
      </c>
      <c r="K37" s="87">
        <v>1</v>
      </c>
      <c r="L37" s="68">
        <v>1</v>
      </c>
      <c r="M37" s="68">
        <v>1</v>
      </c>
      <c r="N37" s="69">
        <v>1</v>
      </c>
      <c r="O37" s="138">
        <v>5</v>
      </c>
      <c r="P37" s="67">
        <v>5</v>
      </c>
      <c r="Q37" s="96">
        <v>4</v>
      </c>
      <c r="R37" s="96">
        <v>2</v>
      </c>
      <c r="S37" s="69">
        <v>1</v>
      </c>
      <c r="T37" s="138">
        <v>5</v>
      </c>
      <c r="U37" s="67">
        <v>5</v>
      </c>
      <c r="V37" s="96">
        <v>4</v>
      </c>
      <c r="W37" s="96">
        <v>2</v>
      </c>
      <c r="X37" s="69">
        <v>1</v>
      </c>
      <c r="Y37" s="67">
        <v>5</v>
      </c>
      <c r="Z37" s="96">
        <v>4</v>
      </c>
      <c r="AA37" s="96">
        <v>2</v>
      </c>
      <c r="AB37" s="69">
        <v>1</v>
      </c>
      <c r="AC37" s="138">
        <v>4</v>
      </c>
      <c r="AD37" s="67">
        <v>1</v>
      </c>
      <c r="AE37" s="96">
        <v>1</v>
      </c>
      <c r="AF37" s="96">
        <v>1</v>
      </c>
      <c r="AG37" s="69">
        <v>1</v>
      </c>
      <c r="AH37" s="67">
        <v>1</v>
      </c>
      <c r="AI37" s="96">
        <v>1</v>
      </c>
      <c r="AJ37" s="96">
        <v>1</v>
      </c>
      <c r="AK37" s="84">
        <v>1</v>
      </c>
      <c r="AL37" s="153">
        <v>4</v>
      </c>
      <c r="AM37" s="87">
        <v>1</v>
      </c>
      <c r="AN37" s="96">
        <v>1</v>
      </c>
      <c r="AO37" s="96">
        <v>1</v>
      </c>
      <c r="AP37" s="69">
        <v>1</v>
      </c>
      <c r="AQ37" s="131"/>
    </row>
    <row r="38" spans="1:43" s="51" customFormat="1" ht="48">
      <c r="A38" s="60">
        <f t="shared" si="3"/>
        <v>24</v>
      </c>
      <c r="B38" s="50" t="s">
        <v>130</v>
      </c>
      <c r="C38" s="50"/>
      <c r="D38" s="52" t="s">
        <v>161</v>
      </c>
      <c r="E38" s="66">
        <v>3</v>
      </c>
      <c r="F38" s="138">
        <v>3</v>
      </c>
      <c r="G38" s="67">
        <v>1</v>
      </c>
      <c r="H38" s="96">
        <v>1</v>
      </c>
      <c r="I38" s="96">
        <v>1</v>
      </c>
      <c r="J38" s="69">
        <v>1</v>
      </c>
      <c r="K38" s="87">
        <v>1</v>
      </c>
      <c r="L38" s="68">
        <v>1</v>
      </c>
      <c r="M38" s="68">
        <v>1</v>
      </c>
      <c r="N38" s="69">
        <v>1</v>
      </c>
      <c r="O38" s="138">
        <v>3</v>
      </c>
      <c r="P38" s="67">
        <v>4</v>
      </c>
      <c r="Q38" s="96">
        <v>4</v>
      </c>
      <c r="R38" s="96">
        <v>3</v>
      </c>
      <c r="S38" s="69">
        <v>3</v>
      </c>
      <c r="T38" s="138">
        <v>3</v>
      </c>
      <c r="U38" s="67">
        <v>4</v>
      </c>
      <c r="V38" s="96">
        <v>4</v>
      </c>
      <c r="W38" s="96">
        <v>3</v>
      </c>
      <c r="X38" s="69">
        <v>3</v>
      </c>
      <c r="Y38" s="67">
        <v>5</v>
      </c>
      <c r="Z38" s="96">
        <v>5</v>
      </c>
      <c r="AA38" s="96">
        <v>4</v>
      </c>
      <c r="AB38" s="69">
        <v>4</v>
      </c>
      <c r="AC38" s="138">
        <v>3</v>
      </c>
      <c r="AD38" s="67">
        <v>1</v>
      </c>
      <c r="AE38" s="96">
        <v>1</v>
      </c>
      <c r="AF38" s="96">
        <v>1</v>
      </c>
      <c r="AG38" s="69">
        <v>1</v>
      </c>
      <c r="AH38" s="67">
        <v>1</v>
      </c>
      <c r="AI38" s="96">
        <v>1</v>
      </c>
      <c r="AJ38" s="96">
        <v>1</v>
      </c>
      <c r="AK38" s="84">
        <v>1</v>
      </c>
      <c r="AL38" s="153">
        <v>3</v>
      </c>
      <c r="AM38" s="87">
        <v>1</v>
      </c>
      <c r="AN38" s="96">
        <v>1</v>
      </c>
      <c r="AO38" s="96">
        <v>1</v>
      </c>
      <c r="AP38" s="69">
        <v>1</v>
      </c>
      <c r="AQ38" s="131"/>
    </row>
    <row r="39" spans="1:43" s="51" customFormat="1" ht="21">
      <c r="A39" s="60"/>
      <c r="B39" s="374" t="s">
        <v>136</v>
      </c>
      <c r="C39" s="375"/>
      <c r="D39" s="375"/>
      <c r="E39" s="70"/>
      <c r="F39" s="83"/>
      <c r="G39" s="73"/>
      <c r="H39" s="97"/>
      <c r="I39" s="97"/>
      <c r="J39" s="72"/>
      <c r="K39" s="88"/>
      <c r="L39" s="71"/>
      <c r="M39" s="71"/>
      <c r="N39" s="72"/>
      <c r="O39" s="83"/>
      <c r="P39" s="73"/>
      <c r="Q39" s="97"/>
      <c r="R39" s="97"/>
      <c r="S39" s="72"/>
      <c r="T39" s="83"/>
      <c r="U39" s="73"/>
      <c r="V39" s="97"/>
      <c r="W39" s="97"/>
      <c r="X39" s="72"/>
      <c r="Y39" s="73"/>
      <c r="Z39" s="97"/>
      <c r="AA39" s="97"/>
      <c r="AB39" s="72"/>
      <c r="AC39" s="83"/>
      <c r="AD39" s="73"/>
      <c r="AE39" s="97"/>
      <c r="AF39" s="97"/>
      <c r="AG39" s="72"/>
      <c r="AH39" s="73"/>
      <c r="AI39" s="97"/>
      <c r="AJ39" s="97"/>
      <c r="AK39" s="83"/>
      <c r="AL39" s="70"/>
      <c r="AM39" s="88"/>
      <c r="AN39" s="97"/>
      <c r="AO39" s="97"/>
      <c r="AP39" s="72"/>
      <c r="AQ39" s="131"/>
    </row>
    <row r="40" spans="1:43" s="51" customFormat="1" ht="48">
      <c r="A40" s="60">
        <f>ROW()-ROW($A$7)-8</f>
        <v>25</v>
      </c>
      <c r="B40" s="50" t="s">
        <v>141</v>
      </c>
      <c r="C40" s="50"/>
      <c r="D40" s="52" t="s">
        <v>170</v>
      </c>
      <c r="E40" s="66">
        <v>4</v>
      </c>
      <c r="F40" s="138">
        <v>3</v>
      </c>
      <c r="G40" s="67">
        <v>2</v>
      </c>
      <c r="H40" s="96">
        <v>2</v>
      </c>
      <c r="I40" s="96">
        <v>1</v>
      </c>
      <c r="J40" s="69">
        <v>1</v>
      </c>
      <c r="K40" s="87">
        <v>2</v>
      </c>
      <c r="L40" s="68">
        <v>2</v>
      </c>
      <c r="M40" s="68">
        <v>1</v>
      </c>
      <c r="N40" s="69">
        <v>1</v>
      </c>
      <c r="O40" s="138">
        <v>3</v>
      </c>
      <c r="P40" s="67">
        <v>2</v>
      </c>
      <c r="Q40" s="96">
        <v>2</v>
      </c>
      <c r="R40" s="96">
        <v>1</v>
      </c>
      <c r="S40" s="69">
        <v>1</v>
      </c>
      <c r="T40" s="138">
        <v>3</v>
      </c>
      <c r="U40" s="67">
        <v>2</v>
      </c>
      <c r="V40" s="96">
        <v>2</v>
      </c>
      <c r="W40" s="96">
        <v>1</v>
      </c>
      <c r="X40" s="69">
        <v>1</v>
      </c>
      <c r="Y40" s="67">
        <v>2</v>
      </c>
      <c r="Z40" s="96">
        <v>2</v>
      </c>
      <c r="AA40" s="96">
        <v>1</v>
      </c>
      <c r="AB40" s="69">
        <v>1</v>
      </c>
      <c r="AC40" s="138">
        <v>3</v>
      </c>
      <c r="AD40" s="67">
        <v>2</v>
      </c>
      <c r="AE40" s="96">
        <v>2</v>
      </c>
      <c r="AF40" s="96">
        <v>1</v>
      </c>
      <c r="AG40" s="69">
        <v>1</v>
      </c>
      <c r="AH40" s="67">
        <v>2</v>
      </c>
      <c r="AI40" s="96">
        <v>2</v>
      </c>
      <c r="AJ40" s="96">
        <v>1</v>
      </c>
      <c r="AK40" s="84">
        <v>1</v>
      </c>
      <c r="AL40" s="153">
        <v>5</v>
      </c>
      <c r="AM40" s="87">
        <v>5</v>
      </c>
      <c r="AN40" s="96">
        <v>4</v>
      </c>
      <c r="AO40" s="96">
        <v>4</v>
      </c>
      <c r="AP40" s="69">
        <v>3</v>
      </c>
      <c r="AQ40" s="131"/>
    </row>
    <row r="41" spans="1:43" s="51" customFormat="1" ht="48">
      <c r="A41" s="60">
        <f t="shared" ref="A41:A49" si="4">ROW()-ROW($A$7)-8</f>
        <v>26</v>
      </c>
      <c r="B41" s="50" t="s">
        <v>142</v>
      </c>
      <c r="C41" s="50"/>
      <c r="D41" s="52" t="s">
        <v>169</v>
      </c>
      <c r="E41" s="66">
        <v>3</v>
      </c>
      <c r="F41" s="138">
        <v>2</v>
      </c>
      <c r="G41" s="67">
        <v>2</v>
      </c>
      <c r="H41" s="96">
        <v>1</v>
      </c>
      <c r="I41" s="96">
        <v>1</v>
      </c>
      <c r="J41" s="69">
        <v>1</v>
      </c>
      <c r="K41" s="87">
        <v>2</v>
      </c>
      <c r="L41" s="68">
        <v>1</v>
      </c>
      <c r="M41" s="68">
        <v>1</v>
      </c>
      <c r="N41" s="69">
        <v>1</v>
      </c>
      <c r="O41" s="138">
        <v>2</v>
      </c>
      <c r="P41" s="67">
        <v>2</v>
      </c>
      <c r="Q41" s="96">
        <v>1</v>
      </c>
      <c r="R41" s="96">
        <v>1</v>
      </c>
      <c r="S41" s="69">
        <v>1</v>
      </c>
      <c r="T41" s="138">
        <v>2</v>
      </c>
      <c r="U41" s="67">
        <v>2</v>
      </c>
      <c r="V41" s="96">
        <v>1</v>
      </c>
      <c r="W41" s="96">
        <v>1</v>
      </c>
      <c r="X41" s="69">
        <v>1</v>
      </c>
      <c r="Y41" s="67">
        <v>2</v>
      </c>
      <c r="Z41" s="96">
        <v>1</v>
      </c>
      <c r="AA41" s="96">
        <v>1</v>
      </c>
      <c r="AB41" s="69">
        <v>1</v>
      </c>
      <c r="AC41" s="138">
        <v>2</v>
      </c>
      <c r="AD41" s="67">
        <v>2</v>
      </c>
      <c r="AE41" s="96">
        <v>1</v>
      </c>
      <c r="AF41" s="96">
        <v>1</v>
      </c>
      <c r="AG41" s="69">
        <v>1</v>
      </c>
      <c r="AH41" s="67">
        <v>2</v>
      </c>
      <c r="AI41" s="96">
        <v>1</v>
      </c>
      <c r="AJ41" s="96">
        <v>1</v>
      </c>
      <c r="AK41" s="84">
        <v>1</v>
      </c>
      <c r="AL41" s="153">
        <v>3</v>
      </c>
      <c r="AM41" s="87">
        <v>3</v>
      </c>
      <c r="AN41" s="96">
        <v>2</v>
      </c>
      <c r="AO41" s="96">
        <v>2</v>
      </c>
      <c r="AP41" s="69">
        <v>1</v>
      </c>
      <c r="AQ41" s="131"/>
    </row>
    <row r="42" spans="1:43" s="51" customFormat="1" ht="48">
      <c r="A42" s="60">
        <f t="shared" si="4"/>
        <v>27</v>
      </c>
      <c r="B42" s="50" t="s">
        <v>143</v>
      </c>
      <c r="C42" s="50"/>
      <c r="D42" s="52" t="s">
        <v>171</v>
      </c>
      <c r="E42" s="66">
        <v>4</v>
      </c>
      <c r="F42" s="138">
        <v>4</v>
      </c>
      <c r="G42" s="67">
        <v>3</v>
      </c>
      <c r="H42" s="96">
        <v>3</v>
      </c>
      <c r="I42" s="96">
        <v>1</v>
      </c>
      <c r="J42" s="69">
        <v>1</v>
      </c>
      <c r="K42" s="87">
        <v>3</v>
      </c>
      <c r="L42" s="68">
        <v>3</v>
      </c>
      <c r="M42" s="68">
        <v>1</v>
      </c>
      <c r="N42" s="69">
        <v>1</v>
      </c>
      <c r="O42" s="138">
        <v>4</v>
      </c>
      <c r="P42" s="67">
        <v>3</v>
      </c>
      <c r="Q42" s="96">
        <v>3</v>
      </c>
      <c r="R42" s="96">
        <v>1</v>
      </c>
      <c r="S42" s="69">
        <v>1</v>
      </c>
      <c r="T42" s="138">
        <v>4</v>
      </c>
      <c r="U42" s="67">
        <v>3</v>
      </c>
      <c r="V42" s="96">
        <v>3</v>
      </c>
      <c r="W42" s="96">
        <v>1</v>
      </c>
      <c r="X42" s="69">
        <v>1</v>
      </c>
      <c r="Y42" s="67">
        <v>3</v>
      </c>
      <c r="Z42" s="96">
        <v>3</v>
      </c>
      <c r="AA42" s="96">
        <v>1</v>
      </c>
      <c r="AB42" s="69">
        <v>1</v>
      </c>
      <c r="AC42" s="138">
        <v>4</v>
      </c>
      <c r="AD42" s="67">
        <v>3</v>
      </c>
      <c r="AE42" s="96">
        <v>3</v>
      </c>
      <c r="AF42" s="96">
        <v>1</v>
      </c>
      <c r="AG42" s="69">
        <v>1</v>
      </c>
      <c r="AH42" s="67">
        <v>3</v>
      </c>
      <c r="AI42" s="96">
        <v>3</v>
      </c>
      <c r="AJ42" s="96">
        <v>1</v>
      </c>
      <c r="AK42" s="84">
        <v>1</v>
      </c>
      <c r="AL42" s="153">
        <v>5</v>
      </c>
      <c r="AM42" s="87">
        <v>4</v>
      </c>
      <c r="AN42" s="96">
        <v>4</v>
      </c>
      <c r="AO42" s="96">
        <v>3</v>
      </c>
      <c r="AP42" s="69">
        <v>2</v>
      </c>
      <c r="AQ42" s="131"/>
    </row>
    <row r="43" spans="1:43" s="51" customFormat="1" ht="48">
      <c r="A43" s="60">
        <f t="shared" si="4"/>
        <v>28</v>
      </c>
      <c r="B43" s="50" t="s">
        <v>144</v>
      </c>
      <c r="C43" s="50"/>
      <c r="D43" s="52" t="s">
        <v>172</v>
      </c>
      <c r="E43" s="66">
        <v>4</v>
      </c>
      <c r="F43" s="138">
        <v>3</v>
      </c>
      <c r="G43" s="67">
        <v>2</v>
      </c>
      <c r="H43" s="96">
        <v>1</v>
      </c>
      <c r="I43" s="96">
        <v>1</v>
      </c>
      <c r="J43" s="69">
        <v>1</v>
      </c>
      <c r="K43" s="87">
        <v>2</v>
      </c>
      <c r="L43" s="68">
        <v>1</v>
      </c>
      <c r="M43" s="68">
        <v>1</v>
      </c>
      <c r="N43" s="69">
        <v>1</v>
      </c>
      <c r="O43" s="138">
        <v>3</v>
      </c>
      <c r="P43" s="67">
        <v>2</v>
      </c>
      <c r="Q43" s="96">
        <v>1</v>
      </c>
      <c r="R43" s="96">
        <v>1</v>
      </c>
      <c r="S43" s="69">
        <v>1</v>
      </c>
      <c r="T43" s="138">
        <v>3</v>
      </c>
      <c r="U43" s="67">
        <v>2</v>
      </c>
      <c r="V43" s="96">
        <v>1</v>
      </c>
      <c r="W43" s="96">
        <v>1</v>
      </c>
      <c r="X43" s="69">
        <v>1</v>
      </c>
      <c r="Y43" s="67">
        <v>2</v>
      </c>
      <c r="Z43" s="96">
        <v>1</v>
      </c>
      <c r="AA43" s="96">
        <v>1</v>
      </c>
      <c r="AB43" s="69">
        <v>1</v>
      </c>
      <c r="AC43" s="138">
        <v>3</v>
      </c>
      <c r="AD43" s="67">
        <v>2</v>
      </c>
      <c r="AE43" s="96">
        <v>1</v>
      </c>
      <c r="AF43" s="96">
        <v>1</v>
      </c>
      <c r="AG43" s="69">
        <v>1</v>
      </c>
      <c r="AH43" s="67">
        <v>2</v>
      </c>
      <c r="AI43" s="96">
        <v>1</v>
      </c>
      <c r="AJ43" s="96">
        <v>1</v>
      </c>
      <c r="AK43" s="84">
        <v>1</v>
      </c>
      <c r="AL43" s="153">
        <v>5</v>
      </c>
      <c r="AM43" s="87">
        <v>5</v>
      </c>
      <c r="AN43" s="96">
        <v>4</v>
      </c>
      <c r="AO43" s="96">
        <v>4</v>
      </c>
      <c r="AP43" s="69">
        <v>3</v>
      </c>
      <c r="AQ43" s="131"/>
    </row>
    <row r="44" spans="1:43" s="51" customFormat="1" ht="32">
      <c r="A44" s="60">
        <f t="shared" si="4"/>
        <v>29</v>
      </c>
      <c r="B44" s="50" t="s">
        <v>145</v>
      </c>
      <c r="C44" s="50"/>
      <c r="D44" s="52" t="s">
        <v>173</v>
      </c>
      <c r="E44" s="66">
        <v>3</v>
      </c>
      <c r="F44" s="138">
        <v>4</v>
      </c>
      <c r="G44" s="67">
        <v>3</v>
      </c>
      <c r="H44" s="96">
        <v>3</v>
      </c>
      <c r="I44" s="96">
        <v>2</v>
      </c>
      <c r="J44" s="69">
        <v>1</v>
      </c>
      <c r="K44" s="87">
        <v>3</v>
      </c>
      <c r="L44" s="68">
        <v>3</v>
      </c>
      <c r="M44" s="68">
        <v>2</v>
      </c>
      <c r="N44" s="69">
        <v>1</v>
      </c>
      <c r="O44" s="138">
        <v>4</v>
      </c>
      <c r="P44" s="67">
        <v>3</v>
      </c>
      <c r="Q44" s="96">
        <v>3</v>
      </c>
      <c r="R44" s="96">
        <v>2</v>
      </c>
      <c r="S44" s="69">
        <v>1</v>
      </c>
      <c r="T44" s="138">
        <v>4</v>
      </c>
      <c r="U44" s="67">
        <v>3</v>
      </c>
      <c r="V44" s="96">
        <v>3</v>
      </c>
      <c r="W44" s="96">
        <v>2</v>
      </c>
      <c r="X44" s="69">
        <v>1</v>
      </c>
      <c r="Y44" s="67">
        <v>3</v>
      </c>
      <c r="Z44" s="96">
        <v>3</v>
      </c>
      <c r="AA44" s="96">
        <v>2</v>
      </c>
      <c r="AB44" s="69">
        <v>1</v>
      </c>
      <c r="AC44" s="138">
        <v>4</v>
      </c>
      <c r="AD44" s="67">
        <v>3</v>
      </c>
      <c r="AE44" s="96">
        <v>3</v>
      </c>
      <c r="AF44" s="96">
        <v>2</v>
      </c>
      <c r="AG44" s="69">
        <v>1</v>
      </c>
      <c r="AH44" s="67">
        <v>3</v>
      </c>
      <c r="AI44" s="96">
        <v>3</v>
      </c>
      <c r="AJ44" s="96">
        <v>2</v>
      </c>
      <c r="AK44" s="84">
        <v>1</v>
      </c>
      <c r="AL44" s="153">
        <v>3</v>
      </c>
      <c r="AM44" s="87">
        <v>4</v>
      </c>
      <c r="AN44" s="96">
        <v>4</v>
      </c>
      <c r="AO44" s="96">
        <v>3</v>
      </c>
      <c r="AP44" s="69">
        <v>2</v>
      </c>
      <c r="AQ44" s="131"/>
    </row>
    <row r="45" spans="1:43" s="51" customFormat="1" ht="32">
      <c r="A45" s="60">
        <f t="shared" si="4"/>
        <v>30</v>
      </c>
      <c r="B45" s="50" t="s">
        <v>146</v>
      </c>
      <c r="C45" s="50"/>
      <c r="D45" s="52" t="s">
        <v>174</v>
      </c>
      <c r="E45" s="66">
        <v>3</v>
      </c>
      <c r="F45" s="138">
        <v>2</v>
      </c>
      <c r="G45" s="67">
        <v>1</v>
      </c>
      <c r="H45" s="96">
        <v>1</v>
      </c>
      <c r="I45" s="96">
        <v>1</v>
      </c>
      <c r="J45" s="69">
        <v>1</v>
      </c>
      <c r="K45" s="87">
        <v>1</v>
      </c>
      <c r="L45" s="68">
        <v>1</v>
      </c>
      <c r="M45" s="68">
        <v>1</v>
      </c>
      <c r="N45" s="69">
        <v>1</v>
      </c>
      <c r="O45" s="138">
        <v>2</v>
      </c>
      <c r="P45" s="67">
        <v>1</v>
      </c>
      <c r="Q45" s="96">
        <v>1</v>
      </c>
      <c r="R45" s="96">
        <v>1</v>
      </c>
      <c r="S45" s="69">
        <v>1</v>
      </c>
      <c r="T45" s="138">
        <v>2</v>
      </c>
      <c r="U45" s="67">
        <v>1</v>
      </c>
      <c r="V45" s="96">
        <v>1</v>
      </c>
      <c r="W45" s="96">
        <v>1</v>
      </c>
      <c r="X45" s="69">
        <v>1</v>
      </c>
      <c r="Y45" s="67">
        <v>1</v>
      </c>
      <c r="Z45" s="96">
        <v>1</v>
      </c>
      <c r="AA45" s="96">
        <v>1</v>
      </c>
      <c r="AB45" s="69">
        <v>1</v>
      </c>
      <c r="AC45" s="138">
        <v>2</v>
      </c>
      <c r="AD45" s="67">
        <v>1</v>
      </c>
      <c r="AE45" s="96">
        <v>1</v>
      </c>
      <c r="AF45" s="96">
        <v>1</v>
      </c>
      <c r="AG45" s="69">
        <v>1</v>
      </c>
      <c r="AH45" s="67">
        <v>1</v>
      </c>
      <c r="AI45" s="96">
        <v>1</v>
      </c>
      <c r="AJ45" s="96">
        <v>1</v>
      </c>
      <c r="AK45" s="84">
        <v>1</v>
      </c>
      <c r="AL45" s="153">
        <v>3</v>
      </c>
      <c r="AM45" s="87">
        <v>4</v>
      </c>
      <c r="AN45" s="96">
        <v>4</v>
      </c>
      <c r="AO45" s="96">
        <v>3</v>
      </c>
      <c r="AP45" s="69">
        <v>2</v>
      </c>
      <c r="AQ45" s="131"/>
    </row>
    <row r="46" spans="1:43" s="51" customFormat="1" ht="21">
      <c r="A46" s="60">
        <f t="shared" si="4"/>
        <v>31</v>
      </c>
      <c r="B46" s="50" t="s">
        <v>147</v>
      </c>
      <c r="C46" s="50"/>
      <c r="D46" s="52"/>
      <c r="E46" s="66">
        <v>3</v>
      </c>
      <c r="F46" s="138">
        <v>3</v>
      </c>
      <c r="G46" s="67">
        <v>2</v>
      </c>
      <c r="H46" s="96">
        <v>1</v>
      </c>
      <c r="I46" s="96">
        <v>1</v>
      </c>
      <c r="J46" s="69">
        <v>1</v>
      </c>
      <c r="K46" s="87">
        <v>2</v>
      </c>
      <c r="L46" s="68">
        <v>1</v>
      </c>
      <c r="M46" s="68">
        <v>1</v>
      </c>
      <c r="N46" s="69">
        <v>1</v>
      </c>
      <c r="O46" s="138">
        <v>3</v>
      </c>
      <c r="P46" s="67">
        <v>2</v>
      </c>
      <c r="Q46" s="96">
        <v>1</v>
      </c>
      <c r="R46" s="96">
        <v>1</v>
      </c>
      <c r="S46" s="69">
        <v>1</v>
      </c>
      <c r="T46" s="138">
        <v>3</v>
      </c>
      <c r="U46" s="67">
        <v>2</v>
      </c>
      <c r="V46" s="96">
        <v>1</v>
      </c>
      <c r="W46" s="96">
        <v>1</v>
      </c>
      <c r="X46" s="69">
        <v>1</v>
      </c>
      <c r="Y46" s="67">
        <v>2</v>
      </c>
      <c r="Z46" s="96">
        <v>1</v>
      </c>
      <c r="AA46" s="96">
        <v>1</v>
      </c>
      <c r="AB46" s="69">
        <v>1</v>
      </c>
      <c r="AC46" s="138">
        <v>3</v>
      </c>
      <c r="AD46" s="67">
        <v>2</v>
      </c>
      <c r="AE46" s="96">
        <v>1</v>
      </c>
      <c r="AF46" s="96">
        <v>1</v>
      </c>
      <c r="AG46" s="69">
        <v>1</v>
      </c>
      <c r="AH46" s="67">
        <v>2</v>
      </c>
      <c r="AI46" s="96">
        <v>1</v>
      </c>
      <c r="AJ46" s="96">
        <v>1</v>
      </c>
      <c r="AK46" s="84">
        <v>1</v>
      </c>
      <c r="AL46" s="153">
        <v>4</v>
      </c>
      <c r="AM46" s="87">
        <v>4</v>
      </c>
      <c r="AN46" s="96">
        <v>4</v>
      </c>
      <c r="AO46" s="96">
        <v>2</v>
      </c>
      <c r="AP46" s="69">
        <v>1</v>
      </c>
      <c r="AQ46" s="131"/>
    </row>
    <row r="47" spans="1:43" s="51" customFormat="1" ht="21">
      <c r="A47" s="60">
        <f t="shared" si="4"/>
        <v>32</v>
      </c>
      <c r="B47" s="50" t="s">
        <v>148</v>
      </c>
      <c r="C47" s="50"/>
      <c r="D47" s="52"/>
      <c r="E47" s="66">
        <v>4</v>
      </c>
      <c r="F47" s="138">
        <v>3</v>
      </c>
      <c r="G47" s="67">
        <v>2</v>
      </c>
      <c r="H47" s="96">
        <v>1</v>
      </c>
      <c r="I47" s="96">
        <v>1</v>
      </c>
      <c r="J47" s="69">
        <v>1</v>
      </c>
      <c r="K47" s="87">
        <v>2</v>
      </c>
      <c r="L47" s="68">
        <v>1</v>
      </c>
      <c r="M47" s="68">
        <v>1</v>
      </c>
      <c r="N47" s="69">
        <v>1</v>
      </c>
      <c r="O47" s="138">
        <v>3</v>
      </c>
      <c r="P47" s="67">
        <v>2</v>
      </c>
      <c r="Q47" s="96">
        <v>1</v>
      </c>
      <c r="R47" s="96">
        <v>1</v>
      </c>
      <c r="S47" s="69">
        <v>1</v>
      </c>
      <c r="T47" s="138">
        <v>3</v>
      </c>
      <c r="U47" s="67">
        <v>2</v>
      </c>
      <c r="V47" s="96">
        <v>1</v>
      </c>
      <c r="W47" s="96">
        <v>1</v>
      </c>
      <c r="X47" s="69">
        <v>1</v>
      </c>
      <c r="Y47" s="67">
        <v>2</v>
      </c>
      <c r="Z47" s="96">
        <v>1</v>
      </c>
      <c r="AA47" s="96">
        <v>1</v>
      </c>
      <c r="AB47" s="69">
        <v>1</v>
      </c>
      <c r="AC47" s="138">
        <v>3</v>
      </c>
      <c r="AD47" s="67">
        <v>2</v>
      </c>
      <c r="AE47" s="96">
        <v>1</v>
      </c>
      <c r="AF47" s="96">
        <v>1</v>
      </c>
      <c r="AG47" s="69">
        <v>1</v>
      </c>
      <c r="AH47" s="67">
        <v>2</v>
      </c>
      <c r="AI47" s="96">
        <v>1</v>
      </c>
      <c r="AJ47" s="96">
        <v>1</v>
      </c>
      <c r="AK47" s="84">
        <v>1</v>
      </c>
      <c r="AL47" s="153">
        <v>4</v>
      </c>
      <c r="AM47" s="87">
        <v>4</v>
      </c>
      <c r="AN47" s="96">
        <v>4</v>
      </c>
      <c r="AO47" s="96">
        <v>3</v>
      </c>
      <c r="AP47" s="69">
        <v>2</v>
      </c>
      <c r="AQ47" s="131"/>
    </row>
    <row r="48" spans="1:43" s="51" customFormat="1" ht="48">
      <c r="A48" s="60">
        <f t="shared" si="4"/>
        <v>33</v>
      </c>
      <c r="B48" s="50" t="s">
        <v>149</v>
      </c>
      <c r="C48" s="50"/>
      <c r="D48" s="52" t="s">
        <v>175</v>
      </c>
      <c r="E48" s="66">
        <v>5</v>
      </c>
      <c r="F48" s="138">
        <v>4</v>
      </c>
      <c r="G48" s="67">
        <v>3</v>
      </c>
      <c r="H48" s="96">
        <v>2</v>
      </c>
      <c r="I48" s="96">
        <v>2</v>
      </c>
      <c r="J48" s="69">
        <v>1</v>
      </c>
      <c r="K48" s="87">
        <v>3</v>
      </c>
      <c r="L48" s="68">
        <v>2</v>
      </c>
      <c r="M48" s="68">
        <v>2</v>
      </c>
      <c r="N48" s="69">
        <v>1</v>
      </c>
      <c r="O48" s="138">
        <v>4</v>
      </c>
      <c r="P48" s="67">
        <v>3</v>
      </c>
      <c r="Q48" s="96">
        <v>2</v>
      </c>
      <c r="R48" s="96">
        <v>2</v>
      </c>
      <c r="S48" s="69">
        <v>1</v>
      </c>
      <c r="T48" s="138">
        <v>4</v>
      </c>
      <c r="U48" s="67">
        <v>3</v>
      </c>
      <c r="V48" s="96">
        <v>2</v>
      </c>
      <c r="W48" s="96">
        <v>2</v>
      </c>
      <c r="X48" s="69">
        <v>1</v>
      </c>
      <c r="Y48" s="67">
        <v>3</v>
      </c>
      <c r="Z48" s="96">
        <v>2</v>
      </c>
      <c r="AA48" s="96">
        <v>2</v>
      </c>
      <c r="AB48" s="69">
        <v>1</v>
      </c>
      <c r="AC48" s="138">
        <v>4</v>
      </c>
      <c r="AD48" s="67">
        <v>3</v>
      </c>
      <c r="AE48" s="96">
        <v>2</v>
      </c>
      <c r="AF48" s="96">
        <v>2</v>
      </c>
      <c r="AG48" s="69">
        <v>1</v>
      </c>
      <c r="AH48" s="67">
        <v>3</v>
      </c>
      <c r="AI48" s="96">
        <v>2</v>
      </c>
      <c r="AJ48" s="96">
        <v>2</v>
      </c>
      <c r="AK48" s="84">
        <v>1</v>
      </c>
      <c r="AL48" s="153">
        <v>5</v>
      </c>
      <c r="AM48" s="87">
        <v>5</v>
      </c>
      <c r="AN48" s="96">
        <v>4</v>
      </c>
      <c r="AO48" s="96">
        <v>4</v>
      </c>
      <c r="AP48" s="69">
        <v>3</v>
      </c>
      <c r="AQ48" s="131"/>
    </row>
    <row r="49" spans="1:43" s="51" customFormat="1" ht="32">
      <c r="A49" s="60">
        <f t="shared" si="4"/>
        <v>34</v>
      </c>
      <c r="B49" s="50" t="s">
        <v>164</v>
      </c>
      <c r="C49" s="50"/>
      <c r="D49" s="52" t="s">
        <v>176</v>
      </c>
      <c r="E49" s="66">
        <v>4</v>
      </c>
      <c r="F49" s="138">
        <v>3</v>
      </c>
      <c r="G49" s="67">
        <v>2</v>
      </c>
      <c r="H49" s="96">
        <v>1</v>
      </c>
      <c r="I49" s="96">
        <v>1</v>
      </c>
      <c r="J49" s="69">
        <v>1</v>
      </c>
      <c r="K49" s="87">
        <v>2</v>
      </c>
      <c r="L49" s="68">
        <v>1</v>
      </c>
      <c r="M49" s="68">
        <v>1</v>
      </c>
      <c r="N49" s="69">
        <v>1</v>
      </c>
      <c r="O49" s="138">
        <v>3</v>
      </c>
      <c r="P49" s="67">
        <v>2</v>
      </c>
      <c r="Q49" s="96">
        <v>1</v>
      </c>
      <c r="R49" s="96">
        <v>1</v>
      </c>
      <c r="S49" s="69">
        <v>1</v>
      </c>
      <c r="T49" s="138">
        <v>3</v>
      </c>
      <c r="U49" s="67">
        <v>2</v>
      </c>
      <c r="V49" s="96">
        <v>1</v>
      </c>
      <c r="W49" s="96">
        <v>1</v>
      </c>
      <c r="X49" s="69">
        <v>1</v>
      </c>
      <c r="Y49" s="67">
        <v>2</v>
      </c>
      <c r="Z49" s="96">
        <v>1</v>
      </c>
      <c r="AA49" s="96">
        <v>1</v>
      </c>
      <c r="AB49" s="69">
        <v>1</v>
      </c>
      <c r="AC49" s="138">
        <v>3</v>
      </c>
      <c r="AD49" s="67">
        <v>2</v>
      </c>
      <c r="AE49" s="96">
        <v>1</v>
      </c>
      <c r="AF49" s="96">
        <v>1</v>
      </c>
      <c r="AG49" s="69">
        <v>1</v>
      </c>
      <c r="AH49" s="67">
        <v>2</v>
      </c>
      <c r="AI49" s="96">
        <v>1</v>
      </c>
      <c r="AJ49" s="96">
        <v>1</v>
      </c>
      <c r="AK49" s="84">
        <v>1</v>
      </c>
      <c r="AL49" s="153">
        <v>5</v>
      </c>
      <c r="AM49" s="87">
        <v>5</v>
      </c>
      <c r="AN49" s="96">
        <v>4</v>
      </c>
      <c r="AO49" s="96">
        <v>4</v>
      </c>
      <c r="AP49" s="69">
        <v>3</v>
      </c>
      <c r="AQ49" s="131"/>
    </row>
    <row r="50" spans="1:43" s="51" customFormat="1" ht="21">
      <c r="A50" s="60"/>
      <c r="B50" s="50"/>
      <c r="C50" s="50"/>
      <c r="D50" s="52"/>
      <c r="E50" s="66"/>
      <c r="F50" s="84"/>
      <c r="G50" s="67"/>
      <c r="H50" s="96"/>
      <c r="I50" s="96"/>
      <c r="J50" s="69"/>
      <c r="K50" s="87"/>
      <c r="L50" s="68"/>
      <c r="M50" s="68"/>
      <c r="N50" s="69"/>
      <c r="O50" s="82"/>
      <c r="P50" s="67"/>
      <c r="Q50" s="96"/>
      <c r="R50" s="96"/>
      <c r="S50" s="69"/>
      <c r="T50" s="82"/>
      <c r="U50" s="67"/>
      <c r="V50" s="96"/>
      <c r="W50" s="96"/>
      <c r="X50" s="69"/>
      <c r="Y50" s="67"/>
      <c r="Z50" s="96"/>
      <c r="AA50" s="96"/>
      <c r="AB50" s="69"/>
      <c r="AC50" s="82"/>
      <c r="AD50" s="67"/>
      <c r="AE50" s="96"/>
      <c r="AF50" s="96"/>
      <c r="AG50" s="69"/>
      <c r="AH50" s="67"/>
      <c r="AI50" s="96"/>
      <c r="AJ50" s="96"/>
      <c r="AK50" s="84"/>
      <c r="AL50" s="66"/>
      <c r="AM50" s="87"/>
      <c r="AN50" s="96"/>
      <c r="AO50" s="96"/>
      <c r="AP50" s="69"/>
      <c r="AQ50" s="131"/>
    </row>
    <row r="51" spans="1:43" s="51" customFormat="1" ht="22" thickBot="1">
      <c r="A51" s="61"/>
      <c r="B51" s="62"/>
      <c r="C51" s="62"/>
      <c r="D51" s="63"/>
      <c r="E51" s="74">
        <f>SUM(E12:E49)</f>
        <v>139</v>
      </c>
      <c r="F51" s="85">
        <f t="shared" ref="F51:AP51" si="5">SUM(F12:F49)</f>
        <v>125</v>
      </c>
      <c r="G51" s="77">
        <f t="shared" si="5"/>
        <v>93</v>
      </c>
      <c r="H51" s="75">
        <f t="shared" si="5"/>
        <v>79</v>
      </c>
      <c r="I51" s="75">
        <f t="shared" si="5"/>
        <v>68</v>
      </c>
      <c r="J51" s="76">
        <f t="shared" si="5"/>
        <v>46</v>
      </c>
      <c r="K51" s="89">
        <f t="shared" si="5"/>
        <v>95</v>
      </c>
      <c r="L51" s="75">
        <f t="shared" si="5"/>
        <v>79</v>
      </c>
      <c r="M51" s="75">
        <f t="shared" si="5"/>
        <v>67</v>
      </c>
      <c r="N51" s="76">
        <f t="shared" si="5"/>
        <v>47</v>
      </c>
      <c r="O51" s="98">
        <f t="shared" ref="O51:S51" si="6">SUM(O12:O49)</f>
        <v>123</v>
      </c>
      <c r="P51" s="77">
        <f t="shared" si="6"/>
        <v>109</v>
      </c>
      <c r="Q51" s="75">
        <f t="shared" si="6"/>
        <v>89</v>
      </c>
      <c r="R51" s="75">
        <f t="shared" si="6"/>
        <v>74</v>
      </c>
      <c r="S51" s="76">
        <f t="shared" si="6"/>
        <v>50</v>
      </c>
      <c r="T51" s="98">
        <f t="shared" si="5"/>
        <v>123</v>
      </c>
      <c r="U51" s="77">
        <f t="shared" si="5"/>
        <v>109</v>
      </c>
      <c r="V51" s="75">
        <f t="shared" si="5"/>
        <v>89</v>
      </c>
      <c r="W51" s="75">
        <f t="shared" si="5"/>
        <v>74</v>
      </c>
      <c r="X51" s="76">
        <f t="shared" si="5"/>
        <v>50</v>
      </c>
      <c r="Y51" s="77">
        <f t="shared" si="5"/>
        <v>106</v>
      </c>
      <c r="Z51" s="75">
        <f t="shared" si="5"/>
        <v>87</v>
      </c>
      <c r="AA51" s="75">
        <f t="shared" si="5"/>
        <v>73</v>
      </c>
      <c r="AB51" s="76">
        <f t="shared" si="5"/>
        <v>49</v>
      </c>
      <c r="AC51" s="98">
        <f t="shared" si="5"/>
        <v>115</v>
      </c>
      <c r="AD51" s="77">
        <f t="shared" ref="AD51:AG51" si="7">SUM(AD12:AD49)</f>
        <v>92</v>
      </c>
      <c r="AE51" s="75">
        <f t="shared" si="7"/>
        <v>75</v>
      </c>
      <c r="AF51" s="75">
        <f t="shared" si="7"/>
        <v>63</v>
      </c>
      <c r="AG51" s="76">
        <f t="shared" si="7"/>
        <v>43</v>
      </c>
      <c r="AH51" s="77">
        <f t="shared" si="5"/>
        <v>92</v>
      </c>
      <c r="AI51" s="75">
        <f t="shared" si="5"/>
        <v>75</v>
      </c>
      <c r="AJ51" s="75">
        <f t="shared" si="5"/>
        <v>63</v>
      </c>
      <c r="AK51" s="85">
        <f t="shared" si="5"/>
        <v>43</v>
      </c>
      <c r="AL51" s="74">
        <f t="shared" si="5"/>
        <v>126</v>
      </c>
      <c r="AM51" s="89">
        <f t="shared" si="5"/>
        <v>113</v>
      </c>
      <c r="AN51" s="75">
        <f t="shared" si="5"/>
        <v>97</v>
      </c>
      <c r="AO51" s="75">
        <f t="shared" si="5"/>
        <v>83</v>
      </c>
      <c r="AP51" s="76">
        <f t="shared" si="5"/>
        <v>55</v>
      </c>
      <c r="AQ51" s="132"/>
    </row>
    <row r="52" spans="1:43" ht="7" customHeight="1" thickBot="1">
      <c r="A52" s="160"/>
      <c r="B52" s="64"/>
      <c r="C52" s="64"/>
      <c r="D52" s="64"/>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row>
    <row r="53" spans="1:43" s="140" customFormat="1" ht="24" thickBot="1">
      <c r="A53" s="163"/>
      <c r="B53" s="141" t="s">
        <v>202</v>
      </c>
      <c r="C53" s="142">
        <f>SUM(E53:AP53)</f>
        <v>18</v>
      </c>
      <c r="D53" s="145"/>
      <c r="E53" s="147">
        <v>1</v>
      </c>
      <c r="F53" s="147">
        <v>2</v>
      </c>
      <c r="G53" s="148"/>
      <c r="H53" s="143"/>
      <c r="I53" s="143"/>
      <c r="J53" s="144">
        <v>1</v>
      </c>
      <c r="K53" s="148">
        <v>1</v>
      </c>
      <c r="L53" s="143"/>
      <c r="M53" s="143"/>
      <c r="N53" s="144">
        <v>1</v>
      </c>
      <c r="O53" s="147">
        <v>1</v>
      </c>
      <c r="P53" s="148"/>
      <c r="Q53" s="143">
        <v>1</v>
      </c>
      <c r="R53" s="143"/>
      <c r="S53" s="144"/>
      <c r="T53" s="147"/>
      <c r="U53" s="148"/>
      <c r="V53" s="143">
        <v>3</v>
      </c>
      <c r="W53" s="143"/>
      <c r="X53" s="144"/>
      <c r="Y53" s="148"/>
      <c r="Z53" s="143"/>
      <c r="AA53" s="143">
        <v>1</v>
      </c>
      <c r="AB53" s="144"/>
      <c r="AC53" s="147"/>
      <c r="AD53" s="148">
        <v>1</v>
      </c>
      <c r="AE53" s="143"/>
      <c r="AF53" s="143">
        <v>1</v>
      </c>
      <c r="AG53" s="144">
        <v>1</v>
      </c>
      <c r="AH53" s="148"/>
      <c r="AI53" s="143"/>
      <c r="AJ53" s="143"/>
      <c r="AK53" s="144">
        <v>1</v>
      </c>
      <c r="AL53" s="147">
        <v>1</v>
      </c>
      <c r="AM53" s="146"/>
      <c r="AN53" s="143"/>
      <c r="AO53" s="143"/>
      <c r="AP53" s="144">
        <v>1</v>
      </c>
      <c r="AQ53" s="132"/>
    </row>
    <row r="54" spans="1:43" s="140" customFormat="1" ht="24" thickBot="1">
      <c r="A54" s="163"/>
      <c r="B54" s="141" t="s">
        <v>201</v>
      </c>
      <c r="C54" s="142">
        <f>SUM(E54:AP54)</f>
        <v>4</v>
      </c>
      <c r="D54" s="145"/>
      <c r="E54" s="147"/>
      <c r="F54" s="147"/>
      <c r="G54" s="148"/>
      <c r="H54" s="143"/>
      <c r="I54" s="143"/>
      <c r="J54" s="144"/>
      <c r="K54" s="148"/>
      <c r="L54" s="143"/>
      <c r="M54" s="143"/>
      <c r="N54" s="144"/>
      <c r="O54" s="147"/>
      <c r="P54" s="148"/>
      <c r="Q54" s="143"/>
      <c r="R54" s="143"/>
      <c r="S54" s="144"/>
      <c r="T54" s="147"/>
      <c r="U54" s="148"/>
      <c r="V54" s="143">
        <v>3</v>
      </c>
      <c r="W54" s="143"/>
      <c r="X54" s="144"/>
      <c r="Y54" s="148"/>
      <c r="Z54" s="143"/>
      <c r="AA54" s="143"/>
      <c r="AB54" s="144"/>
      <c r="AC54" s="147"/>
      <c r="AD54" s="148"/>
      <c r="AE54" s="143">
        <v>1</v>
      </c>
      <c r="AF54" s="143"/>
      <c r="AG54" s="144"/>
      <c r="AH54" s="148"/>
      <c r="AI54" s="143"/>
      <c r="AJ54" s="143"/>
      <c r="AK54" s="144"/>
      <c r="AL54" s="147"/>
      <c r="AM54" s="146"/>
      <c r="AN54" s="143"/>
      <c r="AO54" s="143"/>
      <c r="AP54" s="144"/>
      <c r="AQ54" s="132"/>
    </row>
    <row r="55" spans="1:43" ht="16" thickBot="1">
      <c r="A55" s="161"/>
      <c r="B55" s="162"/>
      <c r="C55" s="162"/>
      <c r="D55" s="162"/>
      <c r="E55" s="162"/>
      <c r="F55" s="162"/>
      <c r="G55" s="162"/>
      <c r="H55" s="162"/>
      <c r="I55" s="162"/>
      <c r="J55" s="162"/>
      <c r="K55" s="162"/>
      <c r="L55" s="162"/>
      <c r="M55" s="162"/>
      <c r="N55" s="162"/>
      <c r="O55" s="162"/>
      <c r="P55" s="162"/>
      <c r="Q55" s="162"/>
      <c r="R55" s="162"/>
      <c r="S55" s="162"/>
      <c r="T55" s="162"/>
      <c r="U55" s="162"/>
      <c r="V55" s="162"/>
      <c r="W55" s="162"/>
      <c r="X55" s="162"/>
      <c r="Y55" s="162"/>
      <c r="Z55" s="162"/>
      <c r="AA55" s="162"/>
      <c r="AB55" s="162"/>
      <c r="AC55" s="162"/>
      <c r="AD55" s="162"/>
      <c r="AE55" s="162"/>
      <c r="AF55" s="162"/>
      <c r="AG55" s="162"/>
      <c r="AH55" s="162"/>
      <c r="AI55" s="162"/>
      <c r="AJ55" s="162"/>
      <c r="AK55" s="162"/>
      <c r="AL55" s="162"/>
      <c r="AM55" s="162"/>
      <c r="AN55" s="162"/>
      <c r="AO55" s="162"/>
      <c r="AP55" s="162"/>
      <c r="AQ55" s="162"/>
    </row>
    <row r="56" spans="1:43" s="140" customFormat="1" ht="24" thickBot="1">
      <c r="A56" s="164"/>
      <c r="B56" s="141" t="s">
        <v>205</v>
      </c>
      <c r="C56" s="142">
        <f>SUM(E56:AP56)</f>
        <v>6</v>
      </c>
      <c r="D56" s="145"/>
      <c r="E56" s="147"/>
      <c r="F56" s="147"/>
      <c r="G56" s="148"/>
      <c r="H56" s="143"/>
      <c r="I56" s="143"/>
      <c r="J56" s="144"/>
      <c r="K56" s="148"/>
      <c r="L56" s="143"/>
      <c r="M56" s="143"/>
      <c r="N56" s="144"/>
      <c r="O56" s="147">
        <v>1</v>
      </c>
      <c r="P56" s="148"/>
      <c r="Q56" s="166">
        <v>1</v>
      </c>
      <c r="R56" s="143"/>
      <c r="S56" s="144"/>
      <c r="T56" s="165">
        <v>1</v>
      </c>
      <c r="U56" s="148"/>
      <c r="V56" s="143"/>
      <c r="W56" s="143">
        <v>1</v>
      </c>
      <c r="X56" s="144"/>
      <c r="Y56" s="148"/>
      <c r="Z56" s="143"/>
      <c r="AA56" s="143"/>
      <c r="AB56" s="144">
        <v>1</v>
      </c>
      <c r="AC56" s="147"/>
      <c r="AD56" s="148"/>
      <c r="AE56" s="143"/>
      <c r="AF56" s="143"/>
      <c r="AG56" s="144"/>
      <c r="AH56" s="148"/>
      <c r="AI56" s="143"/>
      <c r="AJ56" s="143"/>
      <c r="AK56" s="144"/>
      <c r="AL56" s="147"/>
      <c r="AM56" s="146">
        <v>1</v>
      </c>
      <c r="AN56" s="143"/>
      <c r="AO56" s="143"/>
      <c r="AP56" s="144"/>
      <c r="AQ56" s="132"/>
    </row>
    <row r="57" spans="1:43" s="140" customFormat="1" ht="24" thickBot="1">
      <c r="A57" s="164"/>
      <c r="B57" s="141" t="s">
        <v>206</v>
      </c>
      <c r="C57" s="142">
        <f>SUM(E57:AP57)</f>
        <v>3</v>
      </c>
      <c r="D57" s="145"/>
      <c r="E57" s="147"/>
      <c r="F57" s="147"/>
      <c r="G57" s="148"/>
      <c r="H57" s="143"/>
      <c r="I57" s="143"/>
      <c r="J57" s="144">
        <v>1</v>
      </c>
      <c r="K57" s="148"/>
      <c r="L57" s="143"/>
      <c r="M57" s="143"/>
      <c r="N57" s="144"/>
      <c r="O57" s="147"/>
      <c r="P57" s="148"/>
      <c r="Q57" s="143"/>
      <c r="R57" s="143"/>
      <c r="S57" s="144"/>
      <c r="T57" s="147"/>
      <c r="U57" s="148"/>
      <c r="V57" s="143"/>
      <c r="W57" s="143">
        <v>1</v>
      </c>
      <c r="X57" s="144"/>
      <c r="Y57" s="148"/>
      <c r="Z57" s="143"/>
      <c r="AA57" s="143"/>
      <c r="AB57" s="144"/>
      <c r="AC57" s="147"/>
      <c r="AD57" s="148"/>
      <c r="AE57" s="143"/>
      <c r="AF57" s="143"/>
      <c r="AG57" s="144">
        <v>1</v>
      </c>
      <c r="AH57" s="148"/>
      <c r="AI57" s="143"/>
      <c r="AJ57" s="143"/>
      <c r="AK57" s="144"/>
      <c r="AL57" s="147"/>
      <c r="AM57" s="146"/>
      <c r="AN57" s="143"/>
      <c r="AO57" s="143"/>
      <c r="AP57" s="144"/>
      <c r="AQ57" s="132"/>
    </row>
  </sheetData>
  <mergeCells count="13">
    <mergeCell ref="C3:D3"/>
    <mergeCell ref="C4:D4"/>
    <mergeCell ref="B27:D27"/>
    <mergeCell ref="B22:D22"/>
    <mergeCell ref="B32:D32"/>
    <mergeCell ref="A7:A10"/>
    <mergeCell ref="B39:D39"/>
    <mergeCell ref="B11:D11"/>
    <mergeCell ref="E7:AQ7"/>
    <mergeCell ref="E8:AQ8"/>
    <mergeCell ref="D7:D10"/>
    <mergeCell ref="C7:C10"/>
    <mergeCell ref="B7:B10"/>
  </mergeCells>
  <pageMargins left="0.7" right="0.7" top="0.75" bottom="0.75" header="0.3" footer="0.3"/>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BF975-C216-484C-933B-C4A2852E2552}">
  <dimension ref="A1"/>
  <sheetViews>
    <sheetView zoomScale="75" workbookViewId="0"/>
  </sheetViews>
  <sheetFormatPr baseColWidth="10"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Scoring Criteria</vt:lpstr>
      <vt:lpstr>8 Jun</vt:lpstr>
      <vt:lpstr>dr Pak Irvan 14 Jun</vt:lpstr>
      <vt:lpstr>References</vt:lpstr>
      <vt:lpstr>Referencess - 2</vt:lpstr>
      <vt:lpstr>Competency</vt:lpstr>
      <vt:lpstr>KOMPETENSI</vt:lpstr>
      <vt:lpstr>COBIT 19</vt:lpstr>
      <vt:lpstr>'8 Jun'!Print_Area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goLdz</dc:creator>
  <cp:lastModifiedBy>Endiaz Ludia Arsanto</cp:lastModifiedBy>
  <cp:lastPrinted>2015-08-27T04:16:53Z</cp:lastPrinted>
  <dcterms:created xsi:type="dcterms:W3CDTF">2011-10-24T04:51:44Z</dcterms:created>
  <dcterms:modified xsi:type="dcterms:W3CDTF">2025-03-05T02:25:40Z</dcterms:modified>
</cp:coreProperties>
</file>