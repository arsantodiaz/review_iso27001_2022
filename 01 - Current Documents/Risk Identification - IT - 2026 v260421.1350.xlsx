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quitylife-my.sharepoint.com/personal/endiaz_arsanto_equity_id/Documents/ELI_InformationTechnology_/✅ IT_SOP.And.Procedure ✅/ISO - (xx-xxx-999) - [✅] - RiskRegister/"/>
    </mc:Choice>
  </mc:AlternateContent>
  <xr:revisionPtr revIDLastSave="5160" documentId="13_ncr:1_{6E3A4D13-35D1-E342-B550-A7ABCBC1D269}" xr6:coauthVersionLast="47" xr6:coauthVersionMax="47" xr10:uidLastSave="{9AD87F41-83D0-434E-BF8F-CF627E40CA3C}"/>
  <bookViews>
    <workbookView xWindow="-108" yWindow="-108" windowWidth="23256" windowHeight="12456" xr2:uid="{00000000-000D-0000-FFFF-FFFF00000000}"/>
  </bookViews>
  <sheets>
    <sheet name="IT" sheetId="1" r:id="rId1"/>
    <sheet name="REF" sheetId="5" r:id="rId2"/>
    <sheet name="Asset Owner" sheetId="4" r:id="rId3"/>
    <sheet name="Parameter" sheetId="2" r:id="rId4"/>
    <sheet name="Panduan" sheetId="3" r:id="rId5"/>
  </sheets>
  <definedNames>
    <definedName name="_xlnm._FilterDatabase" localSheetId="0" hidden="1">IT!$A$14:$AQ$128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 i="1" l="1"/>
  <c r="T100" i="1" s="1"/>
  <c r="S120" i="1"/>
  <c r="T120" i="1" s="1"/>
  <c r="AM57" i="1"/>
  <c r="AL57" i="1"/>
  <c r="S57" i="1"/>
  <c r="T57" i="1" s="1"/>
  <c r="B124" i="1"/>
  <c r="AM96" i="1"/>
  <c r="AL96" i="1"/>
  <c r="S96" i="1"/>
  <c r="T96" i="1" s="1"/>
  <c r="B123" i="1"/>
  <c r="B121" i="1"/>
  <c r="B120" i="1"/>
  <c r="B119" i="1"/>
  <c r="B118" i="1"/>
  <c r="AM125" i="1"/>
  <c r="AL125" i="1"/>
  <c r="S125" i="1"/>
  <c r="T125" i="1" s="1"/>
  <c r="B125" i="1"/>
  <c r="B122" i="1"/>
  <c r="B111" i="1"/>
  <c r="B110" i="1"/>
  <c r="AM93" i="1"/>
  <c r="AL93" i="1"/>
  <c r="S93" i="1"/>
  <c r="T93" i="1" s="1"/>
  <c r="B109" i="1"/>
  <c r="AM60" i="1"/>
  <c r="AL60" i="1"/>
  <c r="S60" i="1"/>
  <c r="T60" i="1" s="1"/>
  <c r="B108" i="1"/>
  <c r="B107" i="1"/>
  <c r="AM109" i="1"/>
  <c r="AL109" i="1"/>
  <c r="S109" i="1"/>
  <c r="T109" i="1" s="1"/>
  <c r="B115" i="1"/>
  <c r="AM53" i="1"/>
  <c r="AL53" i="1"/>
  <c r="S53" i="1"/>
  <c r="T53" i="1" s="1"/>
  <c r="B114" i="1"/>
  <c r="AM55" i="1"/>
  <c r="AL55" i="1"/>
  <c r="S55" i="1"/>
  <c r="T55" i="1" s="1"/>
  <c r="B113" i="1"/>
  <c r="AM78" i="1"/>
  <c r="AL78" i="1"/>
  <c r="S78" i="1"/>
  <c r="T78" i="1" s="1"/>
  <c r="B112" i="1"/>
  <c r="AM34" i="1"/>
  <c r="AL34" i="1"/>
  <c r="S34" i="1"/>
  <c r="T34" i="1" s="1"/>
  <c r="B106" i="1"/>
  <c r="S29" i="1"/>
  <c r="T29" i="1" s="1"/>
  <c r="S117" i="1"/>
  <c r="T117" i="1" s="1"/>
  <c r="AM126" i="1"/>
  <c r="AL126" i="1"/>
  <c r="S126" i="1"/>
  <c r="T126" i="1" s="1"/>
  <c r="B126" i="1"/>
  <c r="AM127" i="1"/>
  <c r="AL127" i="1"/>
  <c r="S127" i="1"/>
  <c r="T127" i="1" s="1"/>
  <c r="B127" i="1"/>
  <c r="B117" i="1"/>
  <c r="AM22" i="1"/>
  <c r="AL22" i="1"/>
  <c r="S22" i="1"/>
  <c r="T22" i="1" s="1"/>
  <c r="B116" i="1"/>
  <c r="B105" i="1"/>
  <c r="AM97" i="1"/>
  <c r="AL97" i="1"/>
  <c r="S97" i="1"/>
  <c r="T97" i="1" s="1"/>
  <c r="B104" i="1"/>
  <c r="B103" i="1"/>
  <c r="B102" i="1"/>
  <c r="B101" i="1"/>
  <c r="B100" i="1"/>
  <c r="B99" i="1"/>
  <c r="B98" i="1"/>
  <c r="AM58" i="1"/>
  <c r="AL58" i="1"/>
  <c r="S58" i="1"/>
  <c r="T58" i="1" s="1"/>
  <c r="AM49" i="1"/>
  <c r="AL49" i="1"/>
  <c r="S49" i="1"/>
  <c r="T49" i="1" s="1"/>
  <c r="B97" i="1"/>
  <c r="AM62" i="1"/>
  <c r="AL62" i="1"/>
  <c r="S62" i="1"/>
  <c r="T62" i="1" s="1"/>
  <c r="AM59" i="1"/>
  <c r="AL59" i="1"/>
  <c r="S59" i="1"/>
  <c r="T59" i="1" s="1"/>
  <c r="B96" i="1"/>
  <c r="B95" i="1"/>
  <c r="B94" i="1"/>
  <c r="AM81" i="1"/>
  <c r="AL81" i="1"/>
  <c r="S81" i="1"/>
  <c r="T81" i="1" s="1"/>
  <c r="B93" i="1"/>
  <c r="B92" i="1"/>
  <c r="B91" i="1"/>
  <c r="AM77" i="1"/>
  <c r="AL77" i="1"/>
  <c r="S77" i="1"/>
  <c r="T77" i="1" s="1"/>
  <c r="B90" i="1"/>
  <c r="B89" i="1"/>
  <c r="B88" i="1"/>
  <c r="AM80" i="1"/>
  <c r="AL80" i="1"/>
  <c r="S80" i="1"/>
  <c r="T80" i="1" s="1"/>
  <c r="B87" i="1"/>
  <c r="B86" i="1"/>
  <c r="B85" i="1"/>
  <c r="B84" i="1"/>
  <c r="B83" i="1"/>
  <c r="B82" i="1"/>
  <c r="B81" i="1"/>
  <c r="S46" i="1"/>
  <c r="T46" i="1" s="1"/>
  <c r="AM74" i="1"/>
  <c r="AL74" i="1"/>
  <c r="AM16" i="1"/>
  <c r="AL16" i="1"/>
  <c r="AM112" i="1"/>
  <c r="AL112" i="1"/>
  <c r="AM107" i="1"/>
  <c r="AL107" i="1"/>
  <c r="AM104" i="1"/>
  <c r="AL104" i="1"/>
  <c r="AM21" i="1"/>
  <c r="AL21" i="1"/>
  <c r="AM25" i="1"/>
  <c r="AL25" i="1"/>
  <c r="AM29" i="1"/>
  <c r="AL29" i="1"/>
  <c r="AM82" i="1"/>
  <c r="AL82" i="1"/>
  <c r="AM95" i="1"/>
  <c r="AL95" i="1"/>
  <c r="AM85" i="1"/>
  <c r="AL85" i="1"/>
  <c r="AM86" i="1"/>
  <c r="AL86" i="1"/>
  <c r="AL79" i="1"/>
  <c r="AL123" i="1"/>
  <c r="AM36" i="1"/>
  <c r="AL36" i="1"/>
  <c r="AM63" i="1"/>
  <c r="AL63" i="1"/>
  <c r="AM71" i="1"/>
  <c r="AL71" i="1"/>
  <c r="S82" i="1"/>
  <c r="T82" i="1" s="1"/>
  <c r="B23" i="1"/>
  <c r="S95" i="1"/>
  <c r="T95" i="1" s="1"/>
  <c r="S85" i="1"/>
  <c r="T85" i="1" s="1"/>
  <c r="S86" i="1"/>
  <c r="T86" i="1" s="1"/>
  <c r="B22" i="1"/>
  <c r="S79" i="1"/>
  <c r="T79" i="1" s="1"/>
  <c r="S123" i="1"/>
  <c r="T123" i="1" s="1"/>
  <c r="B21" i="1"/>
  <c r="S36" i="1"/>
  <c r="T36" i="1" s="1"/>
  <c r="B20" i="1"/>
  <c r="S63" i="1"/>
  <c r="T63" i="1" s="1"/>
  <c r="B19" i="1"/>
  <c r="S71" i="1"/>
  <c r="T71" i="1" s="1"/>
  <c r="AN88" i="1"/>
  <c r="AO88" i="1" s="1"/>
  <c r="S88" i="1"/>
  <c r="T88" i="1" s="1"/>
  <c r="AN110" i="1"/>
  <c r="AO110" i="1" s="1"/>
  <c r="S110" i="1"/>
  <c r="T110" i="1" s="1"/>
  <c r="AN75" i="1"/>
  <c r="AO75" i="1" s="1"/>
  <c r="S75" i="1"/>
  <c r="T75" i="1" s="1"/>
  <c r="B80" i="1"/>
  <c r="AM24" i="1"/>
  <c r="AL24" i="1"/>
  <c r="S24" i="1"/>
  <c r="T24" i="1" s="1"/>
  <c r="AM91" i="1"/>
  <c r="AL91" i="1"/>
  <c r="S91" i="1"/>
  <c r="T91" i="1" s="1"/>
  <c r="AM23" i="1"/>
  <c r="AL23" i="1"/>
  <c r="S23" i="1"/>
  <c r="T23" i="1" s="1"/>
  <c r="B78" i="1"/>
  <c r="AM94" i="1"/>
  <c r="AL94" i="1"/>
  <c r="S94" i="1"/>
  <c r="T94" i="1" s="1"/>
  <c r="B77" i="1"/>
  <c r="B76" i="1"/>
  <c r="B75" i="1"/>
  <c r="AM38" i="1"/>
  <c r="AL38" i="1"/>
  <c r="S38" i="1"/>
  <c r="T38" i="1" s="1"/>
  <c r="AM66" i="1"/>
  <c r="AL66" i="1"/>
  <c r="S66" i="1"/>
  <c r="T66" i="1" s="1"/>
  <c r="B79" i="1"/>
  <c r="AM67" i="1"/>
  <c r="AL67" i="1"/>
  <c r="S67" i="1"/>
  <c r="T67" i="1" s="1"/>
  <c r="AM64" i="1"/>
  <c r="AL64" i="1"/>
  <c r="S64" i="1"/>
  <c r="T64" i="1" s="1"/>
  <c r="AM65" i="1"/>
  <c r="AL65" i="1"/>
  <c r="S65" i="1"/>
  <c r="T65" i="1" s="1"/>
  <c r="B24" i="1"/>
  <c r="AM39" i="1"/>
  <c r="AL39" i="1"/>
  <c r="S39" i="1"/>
  <c r="T39" i="1" s="1"/>
  <c r="AM50" i="1"/>
  <c r="AL50" i="1"/>
  <c r="S50" i="1"/>
  <c r="T50" i="1" s="1"/>
  <c r="B72" i="1"/>
  <c r="B71" i="1"/>
  <c r="B70" i="1"/>
  <c r="B69" i="1"/>
  <c r="AM20" i="1"/>
  <c r="AL20" i="1"/>
  <c r="S20" i="1"/>
  <c r="T20" i="1" s="1"/>
  <c r="B68" i="1"/>
  <c r="B67" i="1"/>
  <c r="B66" i="1"/>
  <c r="AM37" i="1"/>
  <c r="AL37" i="1"/>
  <c r="S37" i="1"/>
  <c r="T37" i="1" s="1"/>
  <c r="B65" i="1"/>
  <c r="B64" i="1"/>
  <c r="AM42" i="1"/>
  <c r="AL42" i="1"/>
  <c r="S42" i="1"/>
  <c r="T42" i="1" s="1"/>
  <c r="AM30" i="1"/>
  <c r="AL30" i="1"/>
  <c r="S30" i="1"/>
  <c r="T30" i="1" s="1"/>
  <c r="AM28" i="1"/>
  <c r="AL28" i="1"/>
  <c r="S28" i="1"/>
  <c r="T28" i="1" s="1"/>
  <c r="B61" i="1"/>
  <c r="AM33" i="1"/>
  <c r="AL33" i="1"/>
  <c r="S33" i="1"/>
  <c r="T33" i="1" s="1"/>
  <c r="AM102" i="1"/>
  <c r="AL102" i="1"/>
  <c r="S102" i="1"/>
  <c r="T102" i="1" s="1"/>
  <c r="B60" i="1"/>
  <c r="B59" i="1"/>
  <c r="AM69" i="1"/>
  <c r="AL69" i="1"/>
  <c r="S69" i="1"/>
  <c r="T69" i="1" s="1"/>
  <c r="AM114" i="1"/>
  <c r="AL114" i="1"/>
  <c r="S114" i="1"/>
  <c r="T114" i="1" s="1"/>
  <c r="AM100" i="1"/>
  <c r="AL100" i="1"/>
  <c r="AM54" i="1"/>
  <c r="AL54" i="1"/>
  <c r="S54" i="1"/>
  <c r="T54" i="1" s="1"/>
  <c r="AM52" i="1"/>
  <c r="AL52" i="1"/>
  <c r="S52" i="1"/>
  <c r="T52" i="1" s="1"/>
  <c r="AM111" i="1"/>
  <c r="AL111" i="1"/>
  <c r="S111" i="1"/>
  <c r="T111" i="1" s="1"/>
  <c r="AM92" i="1"/>
  <c r="AL92" i="1"/>
  <c r="S92" i="1"/>
  <c r="T92" i="1" s="1"/>
  <c r="B57" i="1"/>
  <c r="B56" i="1"/>
  <c r="AM18" i="1"/>
  <c r="AL18" i="1"/>
  <c r="S18" i="1"/>
  <c r="T18" i="1" s="1"/>
  <c r="B55" i="1"/>
  <c r="B54" i="1"/>
  <c r="B53" i="1"/>
  <c r="AM51" i="1"/>
  <c r="AL51" i="1"/>
  <c r="S51" i="1"/>
  <c r="T51" i="1" s="1"/>
  <c r="B52" i="1"/>
  <c r="B51" i="1"/>
  <c r="AM89" i="1"/>
  <c r="AL89" i="1"/>
  <c r="S89" i="1"/>
  <c r="T89" i="1" s="1"/>
  <c r="B50" i="1"/>
  <c r="AM84" i="1"/>
  <c r="AL84" i="1"/>
  <c r="S84" i="1"/>
  <c r="T84" i="1" s="1"/>
  <c r="AM19" i="1"/>
  <c r="AL19" i="1"/>
  <c r="S19" i="1"/>
  <c r="T19" i="1" s="1"/>
  <c r="B49" i="1"/>
  <c r="AM15" i="1"/>
  <c r="AL15" i="1"/>
  <c r="S15" i="1"/>
  <c r="T15" i="1" s="1"/>
  <c r="AM87" i="1"/>
  <c r="AL87" i="1"/>
  <c r="S87" i="1"/>
  <c r="T87" i="1" s="1"/>
  <c r="B48" i="1"/>
  <c r="B47" i="1"/>
  <c r="B46" i="1"/>
  <c r="B45" i="1"/>
  <c r="AM26" i="1"/>
  <c r="AL26" i="1"/>
  <c r="S26" i="1"/>
  <c r="T26" i="1" s="1"/>
  <c r="B63" i="1"/>
  <c r="AM31" i="1"/>
  <c r="AL31" i="1"/>
  <c r="S31" i="1"/>
  <c r="T31" i="1" s="1"/>
  <c r="AM120" i="1"/>
  <c r="AL120" i="1"/>
  <c r="AM27" i="1"/>
  <c r="AL27" i="1"/>
  <c r="S27" i="1"/>
  <c r="T27" i="1" s="1"/>
  <c r="B62" i="1"/>
  <c r="AM17" i="1"/>
  <c r="AL17" i="1"/>
  <c r="S17" i="1"/>
  <c r="T17" i="1" s="1"/>
  <c r="AM32" i="1"/>
  <c r="AL32" i="1"/>
  <c r="S32" i="1"/>
  <c r="T32" i="1" s="1"/>
  <c r="AM41" i="1"/>
  <c r="AL41" i="1"/>
  <c r="S41" i="1"/>
  <c r="T41" i="1" s="1"/>
  <c r="AM73" i="1"/>
  <c r="AL73" i="1"/>
  <c r="S73" i="1"/>
  <c r="T73" i="1" s="1"/>
  <c r="B58" i="1"/>
  <c r="AM113" i="1"/>
  <c r="AL113" i="1"/>
  <c r="S113" i="1"/>
  <c r="T113" i="1" s="1"/>
  <c r="AM72" i="1"/>
  <c r="AL72" i="1"/>
  <c r="S72" i="1"/>
  <c r="T72" i="1" s="1"/>
  <c r="B73" i="1"/>
  <c r="AM98" i="1"/>
  <c r="AL98" i="1"/>
  <c r="S98" i="1"/>
  <c r="T98" i="1" s="1"/>
  <c r="B39" i="1"/>
  <c r="AM45" i="1"/>
  <c r="AL45" i="1"/>
  <c r="S45" i="1"/>
  <c r="T45" i="1" s="1"/>
  <c r="AM99" i="1"/>
  <c r="AL99" i="1"/>
  <c r="S99" i="1"/>
  <c r="T99" i="1" s="1"/>
  <c r="B38" i="1"/>
  <c r="AM43" i="1"/>
  <c r="AL43" i="1"/>
  <c r="S43" i="1"/>
  <c r="T43" i="1" s="1"/>
  <c r="AM48" i="1"/>
  <c r="AL48" i="1"/>
  <c r="S48" i="1"/>
  <c r="T48" i="1" s="1"/>
  <c r="B74" i="1"/>
  <c r="AM119" i="1"/>
  <c r="AL119" i="1"/>
  <c r="S119" i="1"/>
  <c r="T119" i="1" s="1"/>
  <c r="B37" i="1"/>
  <c r="AM117" i="1"/>
  <c r="AL117" i="1"/>
  <c r="B34" i="1"/>
  <c r="AM44" i="1"/>
  <c r="AL44" i="1"/>
  <c r="S44" i="1"/>
  <c r="T44" i="1" s="1"/>
  <c r="AM101" i="1"/>
  <c r="AL101" i="1"/>
  <c r="S101" i="1"/>
  <c r="T101" i="1" s="1"/>
  <c r="B33" i="1"/>
  <c r="B32" i="1"/>
  <c r="AM116" i="1"/>
  <c r="AL116" i="1"/>
  <c r="S116" i="1"/>
  <c r="T116" i="1" s="1"/>
  <c r="B31" i="1"/>
  <c r="B30" i="1"/>
  <c r="AM121" i="1"/>
  <c r="AL121" i="1"/>
  <c r="S121" i="1"/>
  <c r="T121" i="1" s="1"/>
  <c r="B29" i="1"/>
  <c r="AM46" i="1"/>
  <c r="AL46" i="1"/>
  <c r="B28" i="1"/>
  <c r="B27" i="1"/>
  <c r="AM47" i="1"/>
  <c r="AL47" i="1"/>
  <c r="S47" i="1"/>
  <c r="T47" i="1" s="1"/>
  <c r="B26" i="1"/>
  <c r="AM76" i="1"/>
  <c r="AL76" i="1"/>
  <c r="S76" i="1"/>
  <c r="T76" i="1" s="1"/>
  <c r="AM83" i="1"/>
  <c r="AL83" i="1"/>
  <c r="S83" i="1"/>
  <c r="T83" i="1" s="1"/>
  <c r="AM90" i="1"/>
  <c r="AL90" i="1"/>
  <c r="S90" i="1"/>
  <c r="T90" i="1" s="1"/>
  <c r="AM35" i="1"/>
  <c r="AL35" i="1"/>
  <c r="S35" i="1"/>
  <c r="T35" i="1" s="1"/>
  <c r="B44" i="1"/>
  <c r="S74" i="1"/>
  <c r="T74" i="1" s="1"/>
  <c r="B25" i="1"/>
  <c r="B36" i="1"/>
  <c r="AM122" i="1"/>
  <c r="AL122" i="1"/>
  <c r="S122" i="1"/>
  <c r="T122" i="1" s="1"/>
  <c r="B35" i="1"/>
  <c r="AM118" i="1"/>
  <c r="AL118" i="1"/>
  <c r="S118" i="1"/>
  <c r="T118" i="1" s="1"/>
  <c r="B43" i="1"/>
  <c r="S16" i="1"/>
  <c r="T16" i="1" s="1"/>
  <c r="S112" i="1"/>
  <c r="T112" i="1" s="1"/>
  <c r="S107" i="1"/>
  <c r="T107" i="1" s="1"/>
  <c r="B42" i="1"/>
  <c r="S104" i="1"/>
  <c r="T104" i="1" s="1"/>
  <c r="S21" i="1"/>
  <c r="T21" i="1" s="1"/>
  <c r="S25" i="1"/>
  <c r="T25" i="1" s="1"/>
  <c r="B41" i="1"/>
  <c r="B40" i="1"/>
  <c r="AM106" i="1"/>
  <c r="AL106" i="1"/>
  <c r="S106" i="1"/>
  <c r="T106" i="1" s="1"/>
  <c r="AL40" i="1"/>
  <c r="S40" i="1"/>
  <c r="T40" i="1" s="1"/>
  <c r="AM105" i="1"/>
  <c r="S105" i="1"/>
  <c r="T105" i="1" s="1"/>
  <c r="AM103" i="1"/>
  <c r="AL103" i="1"/>
  <c r="S103" i="1"/>
  <c r="T103" i="1" s="1"/>
  <c r="B18" i="1"/>
  <c r="AL124" i="1"/>
  <c r="S124" i="1"/>
  <c r="T124" i="1" s="1"/>
  <c r="B17" i="1"/>
  <c r="B16" i="1"/>
  <c r="B15" i="1"/>
  <c r="AM108" i="1"/>
  <c r="AL108" i="1"/>
  <c r="AM68" i="1"/>
  <c r="AL68" i="1"/>
  <c r="AM56" i="1"/>
  <c r="AL56" i="1"/>
  <c r="AM70" i="1"/>
  <c r="AL70" i="1"/>
  <c r="AN115" i="1"/>
  <c r="AO115" i="1" s="1"/>
  <c r="AN61" i="1"/>
  <c r="AO61" i="1" s="1"/>
  <c r="S108" i="1"/>
  <c r="T108" i="1" s="1"/>
  <c r="S68" i="1"/>
  <c r="T68" i="1" s="1"/>
  <c r="S56" i="1"/>
  <c r="T56" i="1" s="1"/>
  <c r="S70" i="1"/>
  <c r="T70" i="1" s="1"/>
  <c r="S115" i="1"/>
  <c r="T115" i="1" s="1"/>
  <c r="S61" i="1"/>
  <c r="T61" i="1" s="1"/>
  <c r="AA10" i="3"/>
  <c r="AA5" i="3"/>
  <c r="H40" i="2"/>
  <c r="G40" i="2"/>
  <c r="F40" i="2"/>
  <c r="E40" i="2"/>
  <c r="D40" i="2"/>
  <c r="H39" i="2"/>
  <c r="G39" i="2"/>
  <c r="F39" i="2"/>
  <c r="E39" i="2"/>
  <c r="D39" i="2"/>
  <c r="H38" i="2"/>
  <c r="G38" i="2"/>
  <c r="F38" i="2"/>
  <c r="E38" i="2"/>
  <c r="D38" i="2"/>
  <c r="H37" i="2"/>
  <c r="G37" i="2"/>
  <c r="F37" i="2"/>
  <c r="E37" i="2"/>
  <c r="D37" i="2"/>
  <c r="H36" i="2"/>
  <c r="G36" i="2"/>
  <c r="F36" i="2"/>
  <c r="E36" i="2"/>
  <c r="D36" i="2"/>
  <c r="B14" i="1"/>
  <c r="B129" i="1" l="1"/>
  <c r="AN96" i="1"/>
  <c r="AO96" i="1" s="1"/>
  <c r="AN125" i="1"/>
  <c r="AO125" i="1" s="1"/>
  <c r="AN57" i="1"/>
  <c r="AO57" i="1" s="1"/>
  <c r="AN93" i="1"/>
  <c r="AO93" i="1" s="1"/>
  <c r="AN53" i="1"/>
  <c r="AO53" i="1" s="1"/>
  <c r="AN60" i="1"/>
  <c r="AO60" i="1" s="1"/>
  <c r="AN34" i="1"/>
  <c r="AO34" i="1" s="1"/>
  <c r="AN109" i="1"/>
  <c r="AO109" i="1" s="1"/>
  <c r="AN55" i="1"/>
  <c r="AO55" i="1" s="1"/>
  <c r="AN78" i="1"/>
  <c r="AO78" i="1" s="1"/>
  <c r="AN126" i="1"/>
  <c r="AO126" i="1" s="1"/>
  <c r="AN127" i="1"/>
  <c r="AO127" i="1" s="1"/>
  <c r="AN22" i="1"/>
  <c r="AO22" i="1" s="1"/>
  <c r="AN77" i="1"/>
  <c r="AO77" i="1" s="1"/>
  <c r="AN62" i="1"/>
  <c r="AO62" i="1" s="1"/>
  <c r="AN80" i="1"/>
  <c r="AO80" i="1" s="1"/>
  <c r="AN59" i="1"/>
  <c r="AO59" i="1" s="1"/>
  <c r="AN49" i="1"/>
  <c r="AO49" i="1" s="1"/>
  <c r="AN81" i="1"/>
  <c r="AO81" i="1" s="1"/>
  <c r="AN58" i="1"/>
  <c r="AO58" i="1" s="1"/>
  <c r="AN97" i="1"/>
  <c r="AO97" i="1" s="1"/>
  <c r="AN71" i="1"/>
  <c r="AO71" i="1" s="1"/>
  <c r="AN85" i="1"/>
  <c r="AO85" i="1" s="1"/>
  <c r="AN82" i="1"/>
  <c r="AO82" i="1" s="1"/>
  <c r="AN63" i="1"/>
  <c r="AO63" i="1" s="1"/>
  <c r="AN86" i="1"/>
  <c r="AO86" i="1" s="1"/>
  <c r="AN36" i="1"/>
  <c r="AO36" i="1" s="1"/>
  <c r="AN123" i="1"/>
  <c r="AO123" i="1" s="1"/>
  <c r="AN95" i="1"/>
  <c r="AO95" i="1" s="1"/>
  <c r="AN79" i="1"/>
  <c r="AO79" i="1" s="1"/>
  <c r="AN92" i="1"/>
  <c r="AO92" i="1" s="1"/>
  <c r="AN38" i="1"/>
  <c r="AO38" i="1" s="1"/>
  <c r="AN64" i="1"/>
  <c r="AO64" i="1" s="1"/>
  <c r="AN94" i="1"/>
  <c r="AO94" i="1" s="1"/>
  <c r="AN23" i="1"/>
  <c r="AO23" i="1" s="1"/>
  <c r="AN66" i="1"/>
  <c r="AO66" i="1" s="1"/>
  <c r="AN67" i="1"/>
  <c r="AO67" i="1" s="1"/>
  <c r="AN24" i="1"/>
  <c r="AO24" i="1" s="1"/>
  <c r="AN30" i="1"/>
  <c r="AO30" i="1" s="1"/>
  <c r="AN50" i="1"/>
  <c r="AO50" i="1" s="1"/>
  <c r="AN52" i="1"/>
  <c r="AO52" i="1" s="1"/>
  <c r="AN37" i="1"/>
  <c r="AO37" i="1" s="1"/>
  <c r="AN39" i="1"/>
  <c r="AO39" i="1" s="1"/>
  <c r="AN42" i="1"/>
  <c r="AO42" i="1" s="1"/>
  <c r="AN91" i="1"/>
  <c r="AO91" i="1" s="1"/>
  <c r="AN101" i="1"/>
  <c r="AO101" i="1" s="1"/>
  <c r="AN117" i="1"/>
  <c r="AO117" i="1" s="1"/>
  <c r="AN43" i="1"/>
  <c r="AO43" i="1" s="1"/>
  <c r="AN72" i="1"/>
  <c r="AO72" i="1" s="1"/>
  <c r="AN41" i="1"/>
  <c r="AO41" i="1" s="1"/>
  <c r="AN31" i="1"/>
  <c r="AO31" i="1" s="1"/>
  <c r="AN65" i="1"/>
  <c r="AO65" i="1" s="1"/>
  <c r="AN20" i="1"/>
  <c r="AO20" i="1" s="1"/>
  <c r="AN25" i="1"/>
  <c r="AO25" i="1" s="1"/>
  <c r="AN76" i="1"/>
  <c r="AO76" i="1" s="1"/>
  <c r="AN17" i="1"/>
  <c r="AO17" i="1" s="1"/>
  <c r="AN114" i="1"/>
  <c r="AO114" i="1" s="1"/>
  <c r="AN28" i="1"/>
  <c r="AO28" i="1" s="1"/>
  <c r="AN15" i="1"/>
  <c r="AO15" i="1" s="1"/>
  <c r="AN100" i="1"/>
  <c r="AO100" i="1" s="1"/>
  <c r="AN69" i="1"/>
  <c r="AO69" i="1" s="1"/>
  <c r="AN18" i="1"/>
  <c r="AO18" i="1" s="1"/>
  <c r="AN111" i="1"/>
  <c r="AO111" i="1" s="1"/>
  <c r="AN87" i="1"/>
  <c r="AO87" i="1" s="1"/>
  <c r="AN102" i="1"/>
  <c r="AO102" i="1" s="1"/>
  <c r="AN19" i="1"/>
  <c r="AO19" i="1" s="1"/>
  <c r="AN54" i="1"/>
  <c r="AO54" i="1" s="1"/>
  <c r="AN33" i="1"/>
  <c r="AO33" i="1" s="1"/>
  <c r="AN84" i="1"/>
  <c r="AO84" i="1" s="1"/>
  <c r="AN51" i="1"/>
  <c r="AO51" i="1" s="1"/>
  <c r="AN98" i="1"/>
  <c r="AO98" i="1" s="1"/>
  <c r="AN89" i="1"/>
  <c r="AO89" i="1" s="1"/>
  <c r="AN32" i="1"/>
  <c r="AO32" i="1" s="1"/>
  <c r="AN26" i="1"/>
  <c r="AO26" i="1" s="1"/>
  <c r="AN120" i="1"/>
  <c r="AO120" i="1" s="1"/>
  <c r="AN45" i="1"/>
  <c r="AO45" i="1" s="1"/>
  <c r="AN113" i="1"/>
  <c r="AO113" i="1" s="1"/>
  <c r="AN73" i="1"/>
  <c r="AO73" i="1" s="1"/>
  <c r="AN27" i="1"/>
  <c r="AO27" i="1" s="1"/>
  <c r="AN48" i="1"/>
  <c r="AO48" i="1" s="1"/>
  <c r="AN99" i="1"/>
  <c r="AO99" i="1" s="1"/>
  <c r="AN74" i="1"/>
  <c r="AO74" i="1" s="1"/>
  <c r="AN90" i="1"/>
  <c r="AO90" i="1" s="1"/>
  <c r="AN47" i="1"/>
  <c r="AO47" i="1" s="1"/>
  <c r="AN44" i="1"/>
  <c r="AO44" i="1" s="1"/>
  <c r="AN119" i="1"/>
  <c r="AO119" i="1" s="1"/>
  <c r="AN116" i="1"/>
  <c r="AO116" i="1" s="1"/>
  <c r="AN118" i="1"/>
  <c r="AO118" i="1" s="1"/>
  <c r="AN46" i="1"/>
  <c r="AO46" i="1" s="1"/>
  <c r="AN121" i="1"/>
  <c r="AO121" i="1" s="1"/>
  <c r="AN122" i="1"/>
  <c r="AO122" i="1" s="1"/>
  <c r="AN104" i="1"/>
  <c r="AO104" i="1" s="1"/>
  <c r="AN112" i="1"/>
  <c r="AO112" i="1" s="1"/>
  <c r="AN35" i="1"/>
  <c r="AO35" i="1" s="1"/>
  <c r="AN83" i="1"/>
  <c r="AO83" i="1" s="1"/>
  <c r="AN16" i="1"/>
  <c r="AO16" i="1" s="1"/>
  <c r="AN21" i="1"/>
  <c r="AO21" i="1" s="1"/>
  <c r="AN107" i="1"/>
  <c r="AO107" i="1" s="1"/>
  <c r="AN29" i="1"/>
  <c r="AO29" i="1" s="1"/>
  <c r="AN103" i="1"/>
  <c r="AO103" i="1" s="1"/>
  <c r="AN106" i="1"/>
  <c r="AO106" i="1" s="1"/>
  <c r="AN40" i="1"/>
  <c r="AO40" i="1" s="1"/>
  <c r="AN105" i="1"/>
  <c r="AO105" i="1" s="1"/>
  <c r="AN124" i="1"/>
  <c r="AO124" i="1" s="1"/>
  <c r="AN108" i="1"/>
  <c r="AO108" i="1" s="1"/>
  <c r="AN68" i="1"/>
  <c r="AO68" i="1" s="1"/>
  <c r="AN56" i="1"/>
  <c r="AO56" i="1" s="1"/>
  <c r="AN70" i="1"/>
  <c r="AO70" i="1" s="1"/>
  <c r="C14" i="1"/>
  <c r="D14" i="1" l="1"/>
  <c r="E14" i="1" s="1"/>
  <c r="F14" i="1" s="1"/>
  <c r="G14" i="1" s="1"/>
  <c r="H14" i="1" s="1"/>
  <c r="I14" i="1" l="1"/>
  <c r="J14" i="1" s="1"/>
  <c r="K14" i="1" s="1"/>
  <c r="L14" i="1" s="1"/>
  <c r="M14" i="1" s="1"/>
  <c r="N14" i="1" s="1"/>
  <c r="O14" i="1" s="1"/>
  <c r="P14" i="1" s="1"/>
  <c r="Q14" i="1" s="1"/>
  <c r="R14" i="1" s="1"/>
  <c r="S14" i="1" s="1"/>
  <c r="T14" i="1" s="1"/>
  <c r="U14" i="1" s="1"/>
  <c r="V14" i="1" s="1"/>
  <c r="W14" i="1" s="1"/>
  <c r="X14" i="1" l="1"/>
  <c r="Z14" i="1" s="1"/>
  <c r="AA14" i="1" s="1"/>
  <c r="AB14" i="1" s="1"/>
  <c r="AC14" i="1" s="1"/>
  <c r="AD14" i="1" s="1"/>
  <c r="AE14" i="1" s="1"/>
  <c r="AF14" i="1" s="1"/>
  <c r="AG14" i="1" s="1"/>
  <c r="AH14" i="1" s="1"/>
  <c r="AI14" i="1" s="1"/>
  <c r="AJ14" i="1" s="1"/>
  <c r="AK14" i="1" s="1"/>
  <c r="AL14" i="1" s="1"/>
  <c r="AM14" i="1" s="1"/>
  <c r="AN14" i="1" s="1"/>
  <c r="AO14" i="1" s="1"/>
  <c r="AP14" i="1" s="1"/>
  <c r="AQ14" i="1" s="1"/>
  <c r="Y14" i="1"/>
</calcChain>
</file>

<file path=xl/sharedStrings.xml><?xml version="1.0" encoding="utf-8"?>
<sst xmlns="http://schemas.openxmlformats.org/spreadsheetml/2006/main" count="3629" uniqueCount="2006">
  <si>
    <t>DIVISI/DEPARTEMEN</t>
  </si>
  <si>
    <t>: Divisi Information Technology</t>
  </si>
  <si>
    <t>TUGAS UTAMA</t>
  </si>
  <si>
    <t>:</t>
  </si>
  <si>
    <t xml:space="preserve"> - Menyediakan solusi aplikasi untuk mendukung efisiensi kegiatan operasional dan bisnis guna mencapai profitabilitas yang tinggi.</t>
  </si>
  <si>
    <t xml:space="preserve"> - Memastikan tersedianya infrastruktur teknologi informasi guna mendukung kegiatan dan bisnis di perusahaan.</t>
  </si>
  <si>
    <t xml:space="preserve"> - Memastikan tersedianya data yang terverifikasi agar dapat digunakan dalam pengambilan keputusan management.</t>
  </si>
  <si>
    <t>NAMA PENANGGUNG JAWAB RISIKO</t>
  </si>
  <si>
    <t>PERIODE</t>
  </si>
  <si>
    <t>Identifikasi</t>
  </si>
  <si>
    <t xml:space="preserve">Analisis </t>
  </si>
  <si>
    <t>Rencana Tindak Lanjut</t>
  </si>
  <si>
    <t>Kode/No</t>
  </si>
  <si>
    <t>Penjabaran Risiko</t>
  </si>
  <si>
    <t>Kategori Risiko</t>
  </si>
  <si>
    <t>Internal/
Eksternal</t>
  </si>
  <si>
    <t>Nama 
Aset</t>
  </si>
  <si>
    <t>Kategori 
Aset</t>
  </si>
  <si>
    <t>Akar Masalah</t>
  </si>
  <si>
    <t>Ancaman</t>
  </si>
  <si>
    <t>Kerentanan</t>
  </si>
  <si>
    <t>Pengendalian Saat Ini</t>
  </si>
  <si>
    <t>Kerahasiaan/
Keutuhan/
Ketersediaan</t>
  </si>
  <si>
    <t>Referensi 
Pengendalian</t>
  </si>
  <si>
    <t>Kode 
(R/P)</t>
  </si>
  <si>
    <t>Tingkat Dampak</t>
  </si>
  <si>
    <t>Tingkat Probabilitas</t>
  </si>
  <si>
    <t>Nilai Risiko</t>
  </si>
  <si>
    <t>Tingkat Risiko</t>
  </si>
  <si>
    <t xml:space="preserve">Risk Appetite </t>
  </si>
  <si>
    <t>Risk Tolerance</t>
  </si>
  <si>
    <t>Rencana Penanganan Risiko</t>
  </si>
  <si>
    <t>Analisis Risiko</t>
  </si>
  <si>
    <t>Status</t>
  </si>
  <si>
    <t>Sign off</t>
  </si>
  <si>
    <t>DONE</t>
  </si>
  <si>
    <t>Penyebab</t>
  </si>
  <si>
    <t>Akibat</t>
  </si>
  <si>
    <t>Clause</t>
  </si>
  <si>
    <t>Annex</t>
  </si>
  <si>
    <t>Aktivitas</t>
  </si>
  <si>
    <t>PIC</t>
  </si>
  <si>
    <t>Target Waktu</t>
  </si>
  <si>
    <t>Rencana Reviu</t>
  </si>
  <si>
    <t>Hasil</t>
  </si>
  <si>
    <t>Dampak</t>
  </si>
  <si>
    <t>Probabilitas</t>
  </si>
  <si>
    <t>Nilai Risiko Baru</t>
  </si>
  <si>
    <t>IT</t>
  </si>
  <si>
    <t>Internal</t>
  </si>
  <si>
    <t>Risiko</t>
  </si>
  <si>
    <t>SEDANG-RENDAH</t>
  </si>
  <si>
    <t>Software</t>
  </si>
  <si>
    <t>SEDANG</t>
  </si>
  <si>
    <t>TINGGI</t>
  </si>
  <si>
    <t>RENDAH</t>
  </si>
  <si>
    <t>SEDANG-TINGGI</t>
  </si>
  <si>
    <t>Hardware</t>
  </si>
  <si>
    <t>TINGKAT PROBABILITAS</t>
  </si>
  <si>
    <t>Nilai</t>
  </si>
  <si>
    <t>Level</t>
  </si>
  <si>
    <t>Risiko IT 1</t>
  </si>
  <si>
    <t>Risiko IT 2</t>
  </si>
  <si>
    <t>Risiko IT 3</t>
  </si>
  <si>
    <t>Risiko IT 4</t>
  </si>
  <si>
    <t>Risiko IT 5</t>
  </si>
  <si>
    <t>Rendah</t>
  </si>
  <si>
    <t>Hampir Tidak Pernah Terjadi/Sangat Jarang</t>
  </si>
  <si>
    <t>Sedang-Rendah</t>
  </si>
  <si>
    <t>Kemungkinan Terjadi Ada Tetapi Kecil/Jarang</t>
  </si>
  <si>
    <t>Sedang</t>
  </si>
  <si>
    <t>Mungkin Saja Terjadi/Mungkin</t>
  </si>
  <si>
    <t>Sedang-Tinggi</t>
  </si>
  <si>
    <t>Kemungkinan Besar Jarang Terjadi/Sering</t>
  </si>
  <si>
    <t>Tinggi</t>
  </si>
  <si>
    <t>Hampir Selalu Terjadi/Sangat Sering</t>
  </si>
  <si>
    <t>TINGKAT DAMPAK</t>
  </si>
  <si>
    <t>PELUANG</t>
  </si>
  <si>
    <t xml:space="preserve">Dampak </t>
  </si>
  <si>
    <t>Pengembangan Produk/Layanan Baru</t>
  </si>
  <si>
    <t>Penambahan 
Pelanggan</t>
  </si>
  <si>
    <t>Peningkatan Produktivitas</t>
  </si>
  <si>
    <t>Pengembangan Teknologi Baru</t>
  </si>
  <si>
    <t>Penghematan Biaya</t>
  </si>
  <si>
    <t>Deskripsi</t>
  </si>
  <si>
    <t>Bisnis</t>
  </si>
  <si>
    <t>Finansial</t>
  </si>
  <si>
    <t>Operasional
(Produk atau Pelayanan)</t>
  </si>
  <si>
    <t>Merusak Reputasi</t>
  </si>
  <si>
    <t>Perundangan, Peraturan dan Kepatuhan</t>
  </si>
  <si>
    <t>Dampaknya Sangat Kecil</t>
  </si>
  <si>
    <t>Sangat kecil, tidak ada</t>
  </si>
  <si>
    <t>Sangat kecil, tidak ada citra negatif yang mengakibatkan penurunan kepercayaan</t>
  </si>
  <si>
    <t>Sangat kecil, tidak ada sanksi yang dikenakan ke perusahaan</t>
  </si>
  <si>
    <t>Dampaknya Kecil/Minor</t>
  </si>
  <si>
    <t>Tidak mengganggu proses bisnis namun terdapat sedikit keluhan</t>
  </si>
  <si>
    <t>Sedikit kerugian atau biaya yang harus dikeluarkan berkisar &lt; Rp 50.000.000,00</t>
  </si>
  <si>
    <t>Masih bisa ditoleransi, mengakibatkan penundaan aktivitas (operasional tidak dapat dijalankan) maksimum 2 Jam</t>
  </si>
  <si>
    <t>Terdapat citra negatif, namun masih bisa ditoleransi oleh perusahaan</t>
  </si>
  <si>
    <t>Risiko kecil ketika tidak terpenuhi, seperti sanksi berupa teguran tertulis karena sebagian kecil regulasi sudah terdokumentasi, tetapi belum diterapkan secara konsisten</t>
  </si>
  <si>
    <t>Cukup sulit pengembangan produk atau jasa baru</t>
  </si>
  <si>
    <t>Cukup sulit penambahan baru</t>
  </si>
  <si>
    <t>Sedikit menambah produktifitas, 0-5%</t>
  </si>
  <si>
    <t>Sedikit dapat mengembangkan teknologi, 0-5%</t>
  </si>
  <si>
    <t>Sedikit menguntungkan, potensi keuntungan 0-5%</t>
  </si>
  <si>
    <t>Dampaknya Sedang/Moderate</t>
  </si>
  <si>
    <t>Hanya beberapa proses bisnis tidak berjalan, namun terdapat keluhan secara formal</t>
  </si>
  <si>
    <t>Menghabiskan cukup biaya atau kerugian yang harus dikeluarkan berkisar Rp 50.000.000,00 - Rp 100.000.000,00</t>
  </si>
  <si>
    <t>Cukup berpengaruh terhadap mutu produk atau layanan, mengakibatkan penundaan aktivitas (operasional tidak dapat dijalankan) maksimum 12 Jam</t>
  </si>
  <si>
    <t>Terdapat citra negatif yang cukup berpengaruh terhadap reputasi perusahaan sehingga mempengaruhi kinerja atau kebijakan</t>
  </si>
  <si>
    <t>Cukup berbahaya, potensi Ilegal operasional, terdapat sanksi berupa teguran tertulis karena masih banyak regulasi yang belum diterapkan</t>
  </si>
  <si>
    <t>Cukup mudah untuk pengembangan produk atau jasa baru</t>
  </si>
  <si>
    <t>Cukup mudah untuk penambahan pelanggan baru</t>
  </si>
  <si>
    <t>Cukup menambah produktivitas, 5-15%</t>
  </si>
  <si>
    <t>Cukup untk dapat dengan mudah mengembangkan , 5-15%</t>
  </si>
  <si>
    <t>Cukup menguntungkan, potensi keuntungan 5-15%</t>
  </si>
  <si>
    <t>Dampaknya Besar/Major</t>
  </si>
  <si>
    <t>Sebagian proses bisnis tidak berjalan dengan adanya keluhan yang perlu dieskalasi dan berpotensi menyebar</t>
  </si>
  <si>
    <t>Banyak menghabiskan biaya atau kerugian yang berkisar Rp 100.000.000,00 - Rp 500.000.000,00</t>
  </si>
  <si>
    <t>Potensi bahaya terhadap mutu produk/layanan, mengakibatkan penundaan aktivitas (operasional tidak dapat dijalankan) maksimum 24 Jam</t>
  </si>
  <si>
    <t>Potensi bahaya berupa pemberitaan negatif yang berpengaruh terhadap reputasi perusahaan</t>
  </si>
  <si>
    <t>Ilegal operasional pada berbagai area, terdapat sanksi berupa pemanggilan dari pihak yang berwenang terkait pelanggaran regulasi yang berlaku</t>
  </si>
  <si>
    <t>Sangat mudah pengembangan produk atau jasa baru</t>
  </si>
  <si>
    <t xml:space="preserve">Sangat mudah </t>
  </si>
  <si>
    <t>Peningkatan produktivitas baik,
sekitar 15-30%</t>
  </si>
  <si>
    <t>Pengembangan teknologi realtif baik, sekitar  15-30%</t>
  </si>
  <si>
    <t>Sangat menguntungkan, potensi keuntungan 15-30%</t>
  </si>
  <si>
    <t>Dampaknya Sangat Besar/Catasthropic</t>
  </si>
  <si>
    <t>Proses bisnis tidak berjalan total dengan adanya potensi pemutusan hubungan kerja sama atau bisnis</t>
  </si>
  <si>
    <t>Membutuhkan biaya sangat besar atau kerugian yang berkisar &gt; Rp 500.000.000,00</t>
  </si>
  <si>
    <t>Merusak mutu produk atau layanan, mengakibatkan penundaan aktivitas (operasional tidak dapat dijalankan) lebih dari 1 hari</t>
  </si>
  <si>
    <t>Merusak reputasi dengan diikutinya kehilangan kepercayaan dari pihak berkepentingan</t>
  </si>
  <si>
    <t>Ilegal operasional potensi dihukum berat, terdapat sanksi penutupan perusahaan akibat melanggar regulasi yang berlaku</t>
  </si>
  <si>
    <t>Mampu mengembangkan beberapa produk atau jasa baru</t>
  </si>
  <si>
    <t>Pasti Mampu menambah pelanggan baru</t>
  </si>
  <si>
    <t>Mampu menambah produktivitas denga sangat baik, diatas 30%</t>
  </si>
  <si>
    <t>Mampu dalam pengembangan teknologi dengan  sangat baik, diatas 30%</t>
  </si>
  <si>
    <t>Sangat menguntungkan, diatas 30%</t>
  </si>
  <si>
    <t>Tabel Matriks Risiko</t>
  </si>
  <si>
    <t>PROBABILITAS</t>
  </si>
  <si>
    <t>Tabel Matrik Risiko</t>
  </si>
  <si>
    <t>DAMPAK</t>
  </si>
  <si>
    <t xml:space="preserve">Tinggi </t>
  </si>
  <si>
    <t xml:space="preserve">Sedang </t>
  </si>
  <si>
    <t>Tabel Matriks Resiko</t>
  </si>
  <si>
    <t>Sedang Rendah</t>
  </si>
  <si>
    <t>Sedang Tinggi</t>
  </si>
  <si>
    <t>Sangat Tinggi</t>
  </si>
  <si>
    <t xml:space="preserve">NILAI RISIKO POJK </t>
  </si>
  <si>
    <t>Indikator Risiko</t>
  </si>
  <si>
    <t>Nilai POJK 10</t>
  </si>
  <si>
    <t xml:space="preserve">RENDAH : </t>
  </si>
  <si>
    <t>0 &lt; NR ≤ 1</t>
  </si>
  <si>
    <t xml:space="preserve">SEDANG-RENDAH : </t>
  </si>
  <si>
    <t>1 &lt; NR ≤ 2</t>
  </si>
  <si>
    <t>SEDANG :</t>
  </si>
  <si>
    <t>2 &lt; NR ≤ 3</t>
  </si>
  <si>
    <t>SEDANG-TINGGI :</t>
  </si>
  <si>
    <t>3 &lt; NR ≤ 4</t>
  </si>
  <si>
    <t>TINGGI :</t>
  </si>
  <si>
    <t>4 &lt; NR ≤ 5</t>
  </si>
  <si>
    <t>Nilai Risiko Inheren</t>
  </si>
  <si>
    <t>NILAI RISIKO</t>
  </si>
  <si>
    <t>TINGKAT RISIKO</t>
  </si>
  <si>
    <t>1x1</t>
  </si>
  <si>
    <t>1x2</t>
  </si>
  <si>
    <t>1x3</t>
  </si>
  <si>
    <t>2x1</t>
  </si>
  <si>
    <t>2x2</t>
  </si>
  <si>
    <t>3x1</t>
  </si>
  <si>
    <t>1x4</t>
  </si>
  <si>
    <t>1x5</t>
  </si>
  <si>
    <t>2x3</t>
  </si>
  <si>
    <t>2x4</t>
  </si>
  <si>
    <t>3x2</t>
  </si>
  <si>
    <t>3x3</t>
  </si>
  <si>
    <t>4x1</t>
  </si>
  <si>
    <t>4x2</t>
  </si>
  <si>
    <t>5x1</t>
  </si>
  <si>
    <t>2x5</t>
  </si>
  <si>
    <t>3x4</t>
  </si>
  <si>
    <t>4x3</t>
  </si>
  <si>
    <t>5x2</t>
  </si>
  <si>
    <t>3x5</t>
  </si>
  <si>
    <t>4x4</t>
  </si>
  <si>
    <t>5x3</t>
  </si>
  <si>
    <t>4x5</t>
  </si>
  <si>
    <t>5x5</t>
  </si>
  <si>
    <t>5x4</t>
  </si>
  <si>
    <t>Intangible</t>
  </si>
  <si>
    <t>Peluang</t>
  </si>
  <si>
    <t>PANDUAN PENGISIAN</t>
  </si>
  <si>
    <t>Penjabaran Risiko/Peluang</t>
  </si>
  <si>
    <t>Nama Aset</t>
  </si>
  <si>
    <t>Kategori Aset</t>
  </si>
  <si>
    <t>Penyebab dan Akibat</t>
  </si>
  <si>
    <t>Kode (R/P)</t>
  </si>
  <si>
    <t>√</t>
  </si>
  <si>
    <t/>
  </si>
  <si>
    <t>RISK REGISTER</t>
  </si>
  <si>
    <t>Revisi</t>
  </si>
  <si>
    <t>Halaman</t>
  </si>
  <si>
    <t>1 / 1</t>
  </si>
  <si>
    <t>X</t>
  </si>
  <si>
    <t>No</t>
  </si>
  <si>
    <t>Bagian</t>
  </si>
  <si>
    <t>Kolom</t>
  </si>
  <si>
    <t>Keterangan</t>
  </si>
  <si>
    <t>Kode</t>
  </si>
  <si>
    <t>Diisi dengan 3 huruf awal nama Divisi/Departemen atau
Diisi dengan 3 huruf awal setiap kata Divisi/Departemen yang lebih dari satu kata</t>
  </si>
  <si>
    <t>Diisi dengan nomor urut risiko Divisi/Departemen</t>
  </si>
  <si>
    <r>
      <rPr>
        <b/>
        <sz val="11"/>
        <color theme="1"/>
        <rFont val="Calibri"/>
        <family val="2"/>
      </rPr>
      <t xml:space="preserve">Risiko : </t>
    </r>
    <r>
      <rPr>
        <sz val="11"/>
        <color theme="1"/>
        <rFont val="Calibri"/>
        <family val="2"/>
      </rPr>
      <t xml:space="preserve">
Diisi dengan risiko yang mungkin terjadi atau sudah pernah terjadi di dalam Divisi/Departemen sebagai akibat dari suatu proses kerja.
</t>
    </r>
    <r>
      <rPr>
        <b/>
        <sz val="11"/>
        <color theme="1"/>
        <rFont val="Calibri"/>
        <family val="2"/>
      </rPr>
      <t>Peluang :</t>
    </r>
    <r>
      <rPr>
        <sz val="11"/>
        <color theme="1"/>
        <rFont val="Calibri"/>
        <family val="2"/>
      </rPr>
      <t xml:space="preserve">
Diisi dengan peluang yang mungkin terjadi sebagai akibat dari  penggunaan aset dalam suatu proses kerja.</t>
    </r>
  </si>
  <si>
    <t>Diisi dengan memilih 1 (satu) dari 9 (sembilan) kategori risiko di bawah ini:
- Strategis
- Operasional
- Asuransi
- Kredit
- Pasar
- Likuiditas
- Hukum
- Kepatuhan
- Reputasi</t>
  </si>
  <si>
    <t>Sebutkan nama aset yang digunakan dalam suatu proses untuk mendukung bisnis/operasional perusahaan. Aset yang dicatat yang mengandung informasi/pendukung penyimpanan atau pengelolaan suatu informasi.</t>
  </si>
  <si>
    <t>Diisi dengan memilih 1 (satu) dari 5 (lima) kategori aset di bawah ini:
- Hardware
- Software
- Intangible
- Dokumen/Informasi
- People</t>
  </si>
  <si>
    <t>Analisis</t>
  </si>
  <si>
    <t>Diisi dengan penyebab yang mungkin atau sudah pernah timbul dari risiko yang ada.</t>
  </si>
  <si>
    <t>Diisi dengan akibat yang mungkin atau sudah pernah timbul dari risiko yang ada.</t>
  </si>
  <si>
    <t>Diisi dengan tindakan yang dapat dilakukan oleh Divisi/Departemen terkait pada saat itu dalam mengatasi risiko yang timbul.</t>
  </si>
  <si>
    <t>Dipilih antara R (Risiko) atau P (Peluang) sesuai kolom penjabaran Risiko/Peluang yang diisi sebelumnya.</t>
  </si>
  <si>
    <t>Tingkat Dampak
(D)</t>
  </si>
  <si>
    <r>
      <rPr>
        <sz val="11"/>
        <color theme="1"/>
        <rFont val="Calibri"/>
        <family val="2"/>
      </rPr>
      <t xml:space="preserve">Diisi dengan dampak yang mungkin atau sudah pernah timbul dari risiko yang ada berdasarkan parameter.
*salah satu kondisi yang sesuai parameter dampak akan diperhitungkan menjadi nilai/tingkat dampak
</t>
    </r>
    <r>
      <rPr>
        <b/>
        <sz val="11"/>
        <color theme="1"/>
        <rFont val="Calibri"/>
        <family val="2"/>
      </rPr>
      <t>(Dapat dilihat pada Parameter)</t>
    </r>
  </si>
  <si>
    <t>Tingkat Probabilitas
(P)</t>
  </si>
  <si>
    <r>
      <rPr>
        <sz val="11"/>
        <color theme="1"/>
        <rFont val="Calibri"/>
        <family val="2"/>
      </rPr>
      <t xml:space="preserve">Diisi dengan tingkat frekuensi terjadi atau kemungkinan terjadinya risiko.
</t>
    </r>
    <r>
      <rPr>
        <b/>
        <sz val="11"/>
        <color theme="1"/>
        <rFont val="Calibri"/>
        <family val="2"/>
      </rPr>
      <t>(Dapat dilihat pada Parameter)</t>
    </r>
  </si>
  <si>
    <t>Nilai risiko inheren (bawaan) yang muncul dan dirasakan oleh Divisi/Departemen.
Dihitung dengan rumus:
= D x P</t>
  </si>
  <si>
    <r>
      <rPr>
        <sz val="11"/>
        <color theme="1"/>
        <rFont val="Calibri"/>
        <family val="2"/>
      </rPr>
      <t xml:space="preserve">Diisi dengan kriteria hasil risiko yang terjadi dari perhitungan DxP.
</t>
    </r>
    <r>
      <rPr>
        <b/>
        <sz val="11"/>
        <color theme="1"/>
        <rFont val="Calibri"/>
        <family val="2"/>
      </rPr>
      <t>(Dapat dilihat pada Parameter)</t>
    </r>
  </si>
  <si>
    <t>Rencana Tindak Lanjut
(Khusus Nilai Risiko Yang Melewati Risk Appetite)</t>
  </si>
  <si>
    <t>Rencana Penanganan Risiko - Aktivitas</t>
  </si>
  <si>
    <t>Diisi dengan tindak lanjut yang direkomendasikan oleh fungsi Risk Management guna mengatasi risiko yang teridentifikasi.
*Sesuai dengan Kebijakan dan Strategi Manajemen Risiko Perusahaan, untuk setiap Risiko memiliki Risk Appetite Tingkat 2 (Dua)</t>
  </si>
  <si>
    <t>Rencana Penanganan Risiko - PIC</t>
  </si>
  <si>
    <t>Diisi dengan penanggung jawab dari Divisi/Departemen terkait dalam melaksanakan tindak lanjut yang sudah ditentukan.</t>
  </si>
  <si>
    <t>Rencana Penanganan Risiko - Target Waktu</t>
  </si>
  <si>
    <t>Diisi dengan tanggal penyelesaian tindak lanjut dalam mengatasi risiko.</t>
  </si>
  <si>
    <t>Rencana Penanganan Risiko - Rencana Reviu</t>
  </si>
  <si>
    <t>Diisi dengan tanggal penilaian efektifitas tindak lanjut dalam mengatasi risiko.</t>
  </si>
  <si>
    <t>Rencana Penanganan Risiko - Hasil</t>
  </si>
  <si>
    <t>Bukti dari implementasi tindak lanjut yang dilaksanakan.</t>
  </si>
  <si>
    <t>Analisis Risiko - Dampak</t>
  </si>
  <si>
    <t>Tingkat keparahan yang dirasakan perusahaan/organisasi jika risiko terkait timbul.</t>
  </si>
  <si>
    <t>Analisis Risiko - Probabilitas</t>
  </si>
  <si>
    <t>Tingkat frekuensi terjadi atau kemungkinan terjadinya risiko.</t>
  </si>
  <si>
    <t>Analisis Risiko - Nilai Risiko Baru</t>
  </si>
  <si>
    <t>Nilai baru mengenai tingkat risiko yang muncul dan dirasakan oleh perusahaan/organisasi setelah ditindak lanjuti.
Dihitung dengan rumus:
= D x P</t>
  </si>
  <si>
    <t>Status (CLOSE/OPEN)</t>
  </si>
  <si>
    <t>Diisi dengan status pemantauan risiko yang ditindak lanjuti, apakah sudah teratasi atau belum.</t>
  </si>
  <si>
    <t>Sign off by</t>
  </si>
  <si>
    <t>Jika sudah teratasi dan status CLOSE, maka di tanda tangani oleh evaluator/reviewer</t>
  </si>
  <si>
    <t>Sign off date</t>
  </si>
  <si>
    <t>Diisi dengan tanggal sign off dilakukan.</t>
  </si>
  <si>
    <t>DONE
Maret 2026</t>
  </si>
  <si>
    <t xml:space="preserve"> - In Progress -
1 Maret 2026</t>
  </si>
  <si>
    <t>: Triwulan 1 2026</t>
  </si>
  <si>
    <t>Nama Bagian</t>
  </si>
  <si>
    <t>Aset</t>
  </si>
  <si>
    <t>Digital Application Development</t>
  </si>
  <si>
    <t>Source Code Application</t>
  </si>
  <si>
    <t>Information</t>
  </si>
  <si>
    <t>Development Tools</t>
  </si>
  <si>
    <t>Hak Cipta / Kekayaan Intelektual (IP) Aplikasi</t>
  </si>
  <si>
    <t>Tim Programmer / Developer (In-house)</t>
  </si>
  <si>
    <t>People</t>
  </si>
  <si>
    <t>API Spec Documentation</t>
  </si>
  <si>
    <t>Business Analyst</t>
  </si>
  <si>
    <t>Dokumen BRD, FSD, &amp; User Story</t>
  </si>
  <si>
    <t>Pemetaan Proses Bisnis (Business Process Mapping)</t>
  </si>
  <si>
    <t>Personel Business Analyst</t>
  </si>
  <si>
    <t>Matriks Persyaratan Fungsional &amp; Non-Fungsional</t>
  </si>
  <si>
    <t>Quality Assurance</t>
  </si>
  <si>
    <t>Test Case / Skenario Uji</t>
  </si>
  <si>
    <t>Data Dummy</t>
  </si>
  <si>
    <t>Automation Testing</t>
  </si>
  <si>
    <t>Personel Quality Assurance</t>
  </si>
  <si>
    <t>Test Environment (Lingkungan Uji)</t>
  </si>
  <si>
    <t>Digital Strategy</t>
  </si>
  <si>
    <t>Roadmap Digital</t>
  </si>
  <si>
    <t>Hasil Riset Inovasi Teknologi</t>
  </si>
  <si>
    <t>Personel Data Strategy</t>
  </si>
  <si>
    <t>Enterprise Architecture Model (Blue Print IT)</t>
  </si>
  <si>
    <t>IT Balanced Scorecard (Metrik Kinerja IT)</t>
  </si>
  <si>
    <t>Data Management</t>
  </si>
  <si>
    <t>Database Core System</t>
  </si>
  <si>
    <t>Database Non Core System</t>
  </si>
  <si>
    <t>Database Management Tools</t>
  </si>
  <si>
    <t>Dokumen Arsitektur Data</t>
  </si>
  <si>
    <t>Personel Data Engineer</t>
  </si>
  <si>
    <t>Personel DBA</t>
  </si>
  <si>
    <t>Master Data Management</t>
  </si>
  <si>
    <t>Data Retention &amp; Disposal Rules</t>
  </si>
  <si>
    <t>Dokumen ROPA</t>
  </si>
  <si>
    <t>Dokumen DPIA</t>
  </si>
  <si>
    <t>DevSecOps</t>
  </si>
  <si>
    <t>Script CI/CD Pipeline</t>
  </si>
  <si>
    <t>Vulnerability Scanner</t>
  </si>
  <si>
    <t>Data list environment (Container Images)</t>
  </si>
  <si>
    <t>Personel DevSecOps</t>
  </si>
  <si>
    <t>Personel Security Analyst</t>
  </si>
  <si>
    <t>Monitoring Tools</t>
  </si>
  <si>
    <t>IT Infra - Sysadmin</t>
  </si>
  <si>
    <t>Perangkat Server</t>
  </si>
  <si>
    <t>Sistem Operasi</t>
  </si>
  <si>
    <t>Konfigurasi Server</t>
  </si>
  <si>
    <t>Server &amp; OS Credential</t>
  </si>
  <si>
    <t>Data Center</t>
  </si>
  <si>
    <t>Personel IT Infra - Sysadmin</t>
  </si>
  <si>
    <t>Lisensi Server</t>
  </si>
  <si>
    <t>Dokumen Baseline Hardening</t>
  </si>
  <si>
    <t>Data Backup &amp; Restore Point</t>
  </si>
  <si>
    <t>Mail Server</t>
  </si>
  <si>
    <t>Core System</t>
  </si>
  <si>
    <t>SSL Sertificate</t>
  </si>
  <si>
    <t>IT Infra - Network</t>
  </si>
  <si>
    <t>Perangkat Jaringan</t>
  </si>
  <si>
    <t>Topologi Jaringan &amp; Konfigurasi Routing</t>
  </si>
  <si>
    <t>Personel IT Infra - Network</t>
  </si>
  <si>
    <t>Lisensi perangkat Network</t>
  </si>
  <si>
    <t>Matriks Firewall Rules &amp; Access Control List (ACL)</t>
  </si>
  <si>
    <t>Matriks VLAN</t>
  </si>
  <si>
    <t>IT Infrastructure Technical Support</t>
  </si>
  <si>
    <t>Endpoint / PC &amp; Laptop</t>
  </si>
  <si>
    <t>Aplikasi Ticketing</t>
  </si>
  <si>
    <t>Katalog Layanan IT (IT Service Catalog)</t>
  </si>
  <si>
    <t>IT Core Development</t>
  </si>
  <si>
    <t>Source Code Core System Applications</t>
  </si>
  <si>
    <t>Dokumen Teknis Aplikasi Core</t>
  </si>
  <si>
    <t>Personel IT Core Development</t>
  </si>
  <si>
    <t>IT Application Production Support</t>
  </si>
  <si>
    <t>Personel IT Prod-Support</t>
  </si>
  <si>
    <t>Chief Technology &amp; Information Officer</t>
  </si>
  <si>
    <t>Dokumen IT Budget</t>
  </si>
  <si>
    <t>Dokumen Kebijakan &amp; Strategi Keamanan (ISMS)</t>
  </si>
  <si>
    <t>Job Desc Tim IT</t>
  </si>
  <si>
    <t>Dokumen project update</t>
  </si>
  <si>
    <t>Personel CTIO</t>
  </si>
  <si>
    <t>Data Analytics</t>
  </si>
  <si>
    <t>Dashboard Monitoring Tool</t>
  </si>
  <si>
    <t>Kumpulan Dataset Analitik</t>
  </si>
  <si>
    <t>Personel Data Analytics</t>
  </si>
  <si>
    <t>IT Governance</t>
  </si>
  <si>
    <t>SOP IT Department</t>
  </si>
  <si>
    <t>Form form pengajuan ke IT Department</t>
  </si>
  <si>
    <t>Dokumen Risk Appetite &amp; Risk Tolerance</t>
  </si>
  <si>
    <t>Personel IT Governance</t>
  </si>
  <si>
    <t>Matrix Hak Akses Istimewa</t>
  </si>
  <si>
    <t>RASCI MATRIX</t>
  </si>
  <si>
    <t>BCDRP Plan &amp; Scenario</t>
  </si>
  <si>
    <t>IT Vendor/Supplier Management</t>
  </si>
  <si>
    <t>Dokumen Kontrak Kerja Sama (PKS) &amp; NDA Vendor</t>
  </si>
  <si>
    <t>Laporan Service Level Agreement (SLA) Vendor</t>
  </si>
  <si>
    <t>Lisensi Layanan 3rd Party</t>
  </si>
  <si>
    <t>Personel IT Supplier Management</t>
  </si>
  <si>
    <t>Tenaga Alih Daya (Outsource IT dari Vendor)</t>
  </si>
  <si>
    <t>IT Security</t>
  </si>
  <si>
    <t>Laporan Cyber Threat Intelligence (CTI) &amp; Feeds</t>
  </si>
  <si>
    <t>Dokumen Incident Response Plan (IRP) &amp; Forensic Playbooks</t>
  </si>
  <si>
    <t>Sistem Security Information and Event Management (SIEM)</t>
  </si>
  <si>
    <t>Aplikasi/Sistem Identity and Access Management (IAM) &amp; PAM</t>
  </si>
  <si>
    <t>Matriks Hak Akses (Access Control Matrix) &amp; Log Review Akses</t>
  </si>
  <si>
    <t>Laporan Vulnerability Assessment &amp; Penetration Testing</t>
  </si>
  <si>
    <t>Modul Security Awareness &amp; Hasil Incident Simulation</t>
  </si>
  <si>
    <t>Jenis Aset</t>
  </si>
  <si>
    <t>CIA</t>
  </si>
  <si>
    <t>Kerahasiaan [C]</t>
  </si>
  <si>
    <t>Keutuhan [I]</t>
  </si>
  <si>
    <t>Ketersediaan [A]</t>
  </si>
  <si>
    <t>: Endiaz Ludia Arsanto (Head of IT DevSecOps)</t>
  </si>
  <si>
    <t>Aplikasi Identity and Access Management (IAM) &amp; PAM</t>
  </si>
  <si>
    <t>Jenis Risiko</t>
  </si>
  <si>
    <t>Strategis</t>
  </si>
  <si>
    <t>Operasional</t>
  </si>
  <si>
    <t>Kredit</t>
  </si>
  <si>
    <t>Pasar</t>
  </si>
  <si>
    <t>Likuiditas</t>
  </si>
  <si>
    <t>Hukum</t>
  </si>
  <si>
    <t>Kepatuhan</t>
  </si>
  <si>
    <t>Reputasi</t>
  </si>
  <si>
    <t>Asuransi</t>
  </si>
  <si>
    <t>Risiko/Peluang</t>
  </si>
  <si>
    <t>External</t>
  </si>
  <si>
    <t>Internal / Eksternal</t>
  </si>
  <si>
    <t>New - Open</t>
  </si>
  <si>
    <t>In Progress</t>
  </si>
  <si>
    <t>Closed</t>
  </si>
  <si>
    <t>Kerahasiaan [C] + Keutuhan [I]</t>
  </si>
  <si>
    <t>Kerahasiaan [C] + Ketersediaan [A]</t>
  </si>
  <si>
    <t>Keutuhan [I] + Ketersediaan [A]</t>
  </si>
  <si>
    <t>Semua (C - I - A)</t>
  </si>
  <si>
    <t xml:space="preserve"> -</t>
  </si>
  <si>
    <t>Respon Paska Kejadian</t>
  </si>
  <si>
    <t>Pencegahan</t>
  </si>
  <si>
    <t>Risk Owner</t>
  </si>
  <si>
    <t>INT/EX</t>
  </si>
  <si>
    <t>R / P</t>
  </si>
  <si>
    <t>Tingkat</t>
  </si>
  <si>
    <t>Appetite</t>
  </si>
  <si>
    <t>Tolerance</t>
  </si>
  <si>
    <t>Respon Kejadian</t>
  </si>
  <si>
    <t>Target</t>
  </si>
  <si>
    <t xml:space="preserve"> CTIO</t>
  </si>
  <si>
    <t>CTIO</t>
  </si>
  <si>
    <t>Log Aplikasi / Log Server</t>
  </si>
  <si>
    <t>Tidak adanya proses pemantauan CVE secara otomatis dan patch management pada library/package open-source yang digunakan dalam pengembangan aplikasi</t>
  </si>
  <si>
    <t>Eksploitasi celah keamanan oleh pihak tidak berwenang, potensi kebocoran data, gangguan layanan, hingga Remote Code Execution (RCE)</t>
  </si>
  <si>
    <t>Eksploitasi known vulnerability (CVE publik), serangan supply chain</t>
  </si>
  <si>
    <t>Tidak adanya Software Composition Analysis (SCA); proses patch management belum terdefinisi; dependensi tidak dipantau secara berkala</t>
  </si>
  <si>
    <t>Review manual saat code review; firewall dan antivirus pada infrastruktur</t>
  </si>
  <si>
    <t>8.1 – Perencanaan dan pengendalian operasional</t>
  </si>
  <si>
    <t>A.8.8
Manajemen kerentanan teknis</t>
  </si>
  <si>
    <r>
      <rPr>
        <b/>
        <sz val="10"/>
        <color theme="1"/>
        <rFont val="Montserrat"/>
      </rPr>
      <t>Rendah</t>
    </r>
    <r>
      <rPr>
        <sz val="10"/>
        <color theme="1"/>
        <rFont val="Montserrat"/>
      </rPr>
      <t xml:space="preserve"> — organisasi tidak bersedia membiarkan sistem berjalan dengan CVE yang sudah diketahui publik, karena menyangkut keamanan data dan kepatuhan regulasi</t>
    </r>
  </si>
  <si>
    <r>
      <rPr>
        <b/>
        <sz val="10"/>
        <color theme="1"/>
        <rFont val="Montserrat"/>
      </rPr>
      <t>Sedang</t>
    </r>
    <r>
      <rPr>
        <sz val="10"/>
        <color theme="1"/>
        <rFont val="Montserrat"/>
      </rPr>
      <t xml:space="preserve"> — organisasi masih dapat beroperasi selama nilai risiko residual ≤ 12 (setelah mitigasi diterapkan); jika residual masih &gt;12, wajib eskalasi</t>
    </r>
  </si>
  <si>
    <t>Isolasi komponen terdampak, patch darurat, investigasi forensik, notifikasi jika terjadi data breach</t>
  </si>
  <si>
    <t>Implementasi SCA tools (Snyk, Dependabot, OWASP Dependency-Check); kebijakan patch management; integrasi scanning ke CI/CD pipeline; monitoring CVE database rutin</t>
  </si>
  <si>
    <t xml:space="preserve"> - Vulnerability Management – Dependency Scanning via CI/CD Pipeline
 - Automate penarikan  informasi CVE terhadap open source yang digunakan.</t>
  </si>
  <si>
    <t xml:space="preserve"> - CI/CD sudah terintegrasi dengan vulnerability checking.
 - Untuk automate penarikan CVE dan alert monitoring belum ada, jadi masih ada risiko.</t>
  </si>
  <si>
    <t>Hardcoded Secrets: Credentials, API keys, atau token secara tidak sengaja tertulis di dalam source code dan di-push ke repositori.</t>
  </si>
  <si>
    <t>Kurangnya awareness developer terhadap praktik keamanan; tidak adanya mekanisme otomatis untuk mendeteksi secrets sebelum code di-push ke repositori</t>
  </si>
  <si>
    <t>Akses tidak sah ke sistem, database, atau layanan eksternal; kebocoran data; penyalahgunaan API; potensi kerugian finansial dan reputasi</t>
  </si>
  <si>
    <t>Pencurian kredensial, unauthorized access, lateral movement oleh attacker yang menemukan secrets di repositori</t>
  </si>
  <si>
    <t>Tidak adanya secret scanning pada pipeline; tidak ada kebijakan larangan hardcoded credentials; repositori mungkin bersifat publik atau dapat diakses pihak yang tidak berwenang</t>
  </si>
  <si>
    <t>Code review manual; access control pada repositori. Sudah terimplementasi GitLeaks untuk cek ada tidaknya credential pada source code.</t>
  </si>
  <si>
    <t>A.8.10 – Penghapusan informasi; 
A.8.13 – Backup informasi; 
A.5.17 – Informasi autentikasi</t>
  </si>
  <si>
    <r>
      <rPr>
        <b/>
        <sz val="10"/>
        <color theme="1"/>
        <rFont val="Montserrat"/>
      </rPr>
      <t>Rendah</t>
    </r>
    <r>
      <rPr>
        <sz val="10"/>
        <color theme="1"/>
        <rFont val="Montserrat"/>
      </rPr>
      <t xml:space="preserve"> — organisasi tidak bersedia membiarkan credentials/secrets terekspos di repositori dalam kondisi apapun, karena dapat membuka akses langsung ke sistem produksi</t>
    </r>
  </si>
  <si>
    <r>
      <rPr>
        <b/>
        <sz val="10"/>
        <color theme="1"/>
        <rFont val="Montserrat"/>
      </rPr>
      <t>Sedang</t>
    </r>
    <r>
      <rPr>
        <sz val="10"/>
        <color theme="1"/>
        <rFont val="Montserrat"/>
      </rPr>
      <t xml:space="preserve"> — organisasi masih dapat beroperasi selama nilai risiko residual ≤ 12; jika residual masih &gt;12, wajib eskalasi segera</t>
    </r>
  </si>
  <si>
    <t>Rotasi/revoke segera semua credentials/API keys yang terekspos; audit log akses; investigasi forensik; notifikasi pihak terdampak jika ada data breach; hapus commit history yang mengandung secrets</t>
  </si>
  <si>
    <t>Implementasi secret scanning tools (GitGuardian, TruffleHog, GitHub Secret Scanning); integrasi pre-commit hooks untuk blokir push yang mengandung secrets; penggunaan secret manager (HashiCorp Vault, AWS Secrets Manager); pelatihan security awareness untuk developer</t>
  </si>
  <si>
    <t xml:space="preserve"> - Sudah dilakukan Instalasi Gitleaks pada CI/CD Pipeline
 - Belum terimplementasinya gerbang validasi secara otomatis (saat ini masih manual, pada pipeline ke production saja).</t>
  </si>
  <si>
    <t xml:space="preserve"> - Instalasi Gitleaks pada CI/CD Pipeline
 - Automate pencegahan untuk lanjut pipeline jika ditemukan adanya leak pada source code yang mengandung password ataupun informasi sensitif lainnya.
 - Pasang pre-commit hooks di sisi developer (bukan hanya di CI/CD) agar secrets terblokir bahkan sebelum di-push</t>
  </si>
  <si>
    <t>Akses Berlebih pada Tools CI/CD: Service account atau user memiliki hak akses admin yang tidak perlu pada Jenkins/GitLab/GitHub Actions.</t>
  </si>
  <si>
    <t>Penerapan hak akses tidak mengikuti prinsip Least Privilege; user CI/CD dijadikan sudoers tanpa pembatasan; tidak adanya review berkala terhadap hak akses service account</t>
  </si>
  <si>
    <t>Penyalahgunaan akses admin untuk modifikasi pipeline berbahaya, pencurian credentials yang tersimpan di Jenkins, eskalasi privilege, hingga kompromi seluruh environment CI/CD</t>
  </si>
  <si>
    <t>Insider threat, privilege escalation, unauthorized modification pipeline, pencurian credentials dari Jenkins credential store</t>
  </si>
  <si>
    <t>User CI/CD berstatus sudoers (akses root penuh); semua credentials GIT tersimpan terpusat di Jenkins tanpa pembatasan akses granular; tidak ada pemisahan privilege yang jelas antar role</t>
  </si>
  <si>
    <t>User CI/CD dan user GIT sudah dipisahkan akunnya; credentials disimpan di Jenkins credential store</t>
  </si>
  <si>
    <t>A.8.2 – Hak akses istimewa; 
A.5.15 – Manajemen akses; 
A.8.18 – Penggunaan program utilitas dengan hak istimewa</t>
  </si>
  <si>
    <r>
      <rPr>
        <b/>
        <sz val="10"/>
        <color theme="1"/>
        <rFont val="Montserrat"/>
      </rPr>
      <t>Rendah</t>
    </r>
    <r>
      <rPr>
        <sz val="10"/>
        <color theme="1"/>
        <rFont val="Montserrat"/>
      </rPr>
      <t xml:space="preserve"> — organisasi tidak bersedia memberikan akses admin/sudoers yang tidak perlu pada service account CI/CD, karena dapat menjadi entry point kompromi seluruh pipeline dan sistem produksi</t>
    </r>
  </si>
  <si>
    <r>
      <t xml:space="preserve"> </t>
    </r>
    <r>
      <rPr>
        <b/>
        <sz val="10"/>
        <color theme="1"/>
        <rFont val="Montserrat"/>
      </rPr>
      <t>Sedang</t>
    </r>
    <r>
      <rPr>
        <sz val="10"/>
        <color theme="1"/>
        <rFont val="Montserrat"/>
      </rPr>
      <t xml:space="preserve"> — organisasi masih dapat beroperasi selama nilai risiko residual ≤ 12; jika residual masih &gt;12, wajib eskalasi segera</t>
    </r>
  </si>
  <si>
    <t xml:space="preserve"> Revoke akses sudoers segera; audit log aktivitas akun terdampak; rotasi semua credentials yang tersimpan di Jenkins; investigasi apakah sudah ada penyalahgunaan akses</t>
  </si>
  <si>
    <t xml:space="preserve"> Terapkan prinsip Least Privilege pada semua service account; hapus status sudoers pada user CI/CD; batasi akses credentials Jenkins per pipeline/job; implementasi PAM (Privileged Access Management)</t>
  </si>
  <si>
    <t>Sudah dilakukan review terhadap user user di server jenkins. Dan untuk user yang tidak seharusnya ada sudah dihapus.</t>
  </si>
  <si>
    <t>Access Control Review – Penerapan Least Privilege pada service account CI/CD dan manajemen credentials Jenkins
 - Migrasi credentials ke secret manager (HashiCorp Vault atau yang setara) agar tidak semua tersimpan flat di Jenkins
 - Terapkan prinsip separation of duties — user yang bisa approve deployment tidak boleh sama dengan yang bisa modifikasi pipeline script</t>
  </si>
  <si>
    <t xml:space="preserve">Tidak adanya kebijakan wajib penggunaan base image yang terverifikasi dan up-to-date; </t>
  </si>
  <si>
    <t>Deployment malware ke environment production, eksploitasi kerentanan pada container, lateral movement antar container, gangguan layanan, hingga kebocoran data</t>
  </si>
  <si>
    <t>Supply chain attack melalui base image berbahaya, eksploitasi CVE pada image usang, malware yang sudah tertanam sebelum image digunakan</t>
  </si>
  <si>
    <t>Tidak ada kebijakan minimum standard base image; image usang masih bisa di-deploy tanpa hambatan otomatis</t>
  </si>
  <si>
    <t>Trivy sudah terinstalasi dan terintegrasi di CI/CD pipeline, namun hasil scanning tidak memblokir pipeline secara otomatis</t>
  </si>
  <si>
    <t>A.8.8 – Manajemen kerentanan teknis; 
A.8.25 – Siklus hidup pengembangan yang aman</t>
  </si>
  <si>
    <r>
      <rPr>
        <b/>
        <sz val="10"/>
        <color theme="1"/>
        <rFont val="Montserrat"/>
      </rPr>
      <t>Rendah</t>
    </r>
    <r>
      <rPr>
        <sz val="10"/>
        <color theme="1"/>
        <rFont val="Montserrat"/>
      </rPr>
      <t xml:space="preserve"> — organisasi tidak bersedia men-deploy container image yang mengandung kerentanan atau malware ke environment manapun, karena dapat mengkompromi seluruh infrastruktur production</t>
    </r>
  </si>
  <si>
    <t>Isolasi container terdampak segera; rollback ke image versi bersih; forensik untuk identifikasi apakah malware sudah aktif; audit seluruh container yang menggunakan image yang sama; notifikasi jika ada data terdampak</t>
  </si>
  <si>
    <t xml:space="preserve"> Jadikan Trivy sebagai gatekeeper wajib (pipeline gagal otomatis jika ditemukan CVE Critical/High); kebijakan penggunaan base image resmi dan terverifikasi; image registry internal dengan whitelist base image yang diizinkan; update base image secara berkala</t>
  </si>
  <si>
    <t xml:space="preserve"> - Jadikan Trivy sebagai gatekeeper — pipeline otomatis gagal dan tidak bisa naik production jika ditemukan CVE severity Critical atau High
 - Buat internal image registry — simpan dan kelola base image yang sudah diverifikasi secara terpusat, developer wajib menarik dari sini
 - Implementasi image signing (Cosign/Notary) — hanya image yang sudah ditandatangani dan terverifikasi yang boleh di-deploy</t>
  </si>
  <si>
    <r>
      <rPr>
        <b/>
        <sz val="10"/>
        <color theme="1"/>
        <rFont val="Montserrat"/>
      </rPr>
      <t>Belum turun</t>
    </r>
    <r>
      <rPr>
        <sz val="10"/>
        <color theme="1"/>
        <rFont val="Montserrat"/>
      </rPr>
      <t xml:space="preserve"> — Trivy yang sudah ada hanya memberi visibilitas (tahu ada kerentanan), tapi tidak mencegah image rentan naik production. Tanpa gatekeeper, temuan Trivy bisa diabaikan</t>
    </r>
  </si>
  <si>
    <t>Bypass Security Gates – Deployment tidak secara otomatis melewati tahap SAST/DAST di dalam pipeline agar proses build berjalan lebih cepat</t>
  </si>
  <si>
    <t>Tidak adanya kontrol wajib yang mencegah pipeline berjalan tanpa melewati tahap SAST/DAST; tekanan waktu delivery membuat developer mencari jalan pintas; belum ada kebijakan yang melarang bypass security gates secara eksplisit</t>
  </si>
  <si>
    <t>Code dengan kerentanan keamanan lolos ke production tanpa terdeteksi; potensi eksploitasi celah keamanan aplikasi; pelanggaran kebijakan keamanan internal</t>
  </si>
  <si>
    <t>Insider threat (disengaja), human error (tidak disengaja), deployment aplikasi rentan ke production</t>
  </si>
  <si>
    <t>SAST/DAST belum dijadikan gatekeeper wajib sehingga tahapannya bisa dilewati; tidak ada mekanisme alert jika security gate di-skip; tidak ada audit trail yang memonitor bypass</t>
  </si>
  <si>
    <t>SAST dan DAST sudah terintegrasi di pipeline namun belum sebagai gatekeeper; hasil scanning bersifat informatif, tidak memblokir pipeline</t>
  </si>
  <si>
    <t>A.8.25 – Siklus hidup pengembangan yang aman; 
A.8.8 – Manajemen kerentanan teknis; 
A.5.15 – Manajemen akses</t>
  </si>
  <si>
    <r>
      <rPr>
        <b/>
        <sz val="10"/>
        <color theme="1"/>
        <rFont val="Montserrat"/>
      </rPr>
      <t>Rendah</t>
    </r>
    <r>
      <rPr>
        <sz val="10"/>
        <color theme="1"/>
        <rFont val="Montserrat"/>
      </rPr>
      <t xml:space="preserve"> — organisasi tidak bersedia membiarkan code yang belum melalui pemeriksaan keamanan masuk ke production, karena berpotensi membuka celah eksploitasi langsung pada aplikasi</t>
    </r>
  </si>
  <si>
    <t xml:space="preserve"> Rollback deployment yang melewati security gate; audit pipeline log untuk identifikasi siapa dan kapan bypass terjadi; review kode yang lolos tanpa scanning; lakukan SAST/DAST manual terhadap kode terdampak</t>
  </si>
  <si>
    <t xml:space="preserve"> Jadikan SAST/DAST sebagai gatekeeper wajib (pipeline otomatis gagal jika di-skip atau ditemukan Critical/High); proteksi konfigurasi pipeline agar tidak bisa dimodifikasi sembarangan; implementasi approval workflow untuk exception bypass</t>
  </si>
  <si>
    <t xml:space="preserve"> - Jadikan SAST &amp; DAST sebagai gatekeeper wajib — pipeline otomatis gagal jika tahap SAST di-skip atau ditemukan temuan Critical/High
 - Proteksi konfigurasi pipeline — batasi siapa yang bisa mengubah atau menonaktifkan stage SAST/DAST di Jenkinsfile/GitLab CI; hanya DevSecOps yang boleh memodifikasi.
 - Buat exception process — jika ada kondisi darurat yang membutuhkan bypass, wajib ada approval dari DevSecOps Lead/CTIO dengan dokumentasi tertulis</t>
  </si>
  <si>
    <r>
      <rPr>
        <b/>
        <sz val="10"/>
        <color theme="1"/>
        <rFont val="Montserrat"/>
      </rPr>
      <t>Belum bisa Closed</t>
    </r>
    <r>
      <rPr>
        <sz val="10"/>
        <color theme="1"/>
        <rFont val="Montserrat"/>
      </rPr>
      <t xml:space="preserve"> -  karena aktivitas utama yaitu SAST/DAST sebagai gatekeeper belum diimplementasi</t>
    </r>
  </si>
  <si>
    <t>Kontrak kerja standar tidak memuat klausul pengalihan hak ekonomi dan HKI secara spesifik; tidak adanya kebijakan internal yang mengatur kepemilikan karya inovasi yang dihasilkan selama hubungan kerja</t>
  </si>
  <si>
    <t>Kehilangan kepemilikan aset intelektual strategis; sengketa hukum berkepanjangan; potensi larangan penggunaan algoritma/sistem yang sudah berjalan di production; kerugian kompetitif jika karya digunakan oleh pihak ketiga atau kompetitor</t>
  </si>
  <si>
    <t>Karyawan mendaftarkan HKI atas nama pribadi; karyawan resign dan mengkomersialkan karya melalui entitas lain; litigasi hukum dari mantan karyawan</t>
  </si>
  <si>
    <t>Tidak adanya klausul pelepasan hak ekonomi dalam kontrak kerja; tidak ada kebijakan inventarisasi dan pencatatan karya inovasi karyawan; tidak ada proses review legal terhadap kontrak kerja secara berkala</t>
  </si>
  <si>
    <t>Kontrak kerja standar dengan NDA umum; belum ada klausul spesifik terkait pengalihan HKI</t>
  </si>
  <si>
    <t>5.1 – Kepemimpinan dan komitmen; 
7.5 – Informasi terdokumentasi</t>
  </si>
  <si>
    <t>A.5.1 – Kebijakan keamanan informasi; 
A.5.19 – Keamanan informasi dalam hubungan pemasok; 
A.6.1 – Penyaringan</t>
  </si>
  <si>
    <r>
      <rPr>
        <b/>
        <sz val="10"/>
        <color theme="1"/>
        <rFont val="Montserrat"/>
      </rPr>
      <t>Rendah</t>
    </r>
    <r>
      <rPr>
        <sz val="10"/>
        <color theme="1"/>
        <rFont val="Montserrat"/>
      </rPr>
      <t xml:space="preserve"> — perusahaan tidak bersedia kehilangan kepemilikan atas aset intelektual strategis yang dihasilkan menggunakan sumber daya perusahaan, mengingat dampak hukum dan kompetitif yang signifikan</t>
    </r>
  </si>
  <si>
    <t xml:space="preserve"> Sedang — perusahaan masih dapat beroperasi selama nilai risiko residual ≤ 12; jika residual masih &gt;12, wajib eskalasi ke level manajemen dan legal counsel</t>
  </si>
  <si>
    <t>Upayakan penyelesaian sengketa melalui mediasi sebelum litigasi; dokumentasikan seluruh bukti penggunaan fasilitas dan waktu kantor; lakukan audit terhadap kontrak kerja seluruh karyawan IT aktif</t>
  </si>
  <si>
    <t xml:space="preserve"> Revisi kontrak kerja dengan menambahkan klausul pengalihan hak ekonomi dan HKI secara eksplisit; implementasi kebijakan kepemilikan karya inovasi; pencatatan dan inventarisasi karya inovasi karyawan secara berkala</t>
  </si>
  <si>
    <t>Personel IT Governance berkoordinasi dengan Legal/HR</t>
  </si>
  <si>
    <t>Legal &amp; IP Management – Revisi kontrak kerja dan implementasi kebijakan kepemilikan HKI karyawan.
Daftarkan HKI strategis atas nama perusahaan — algoritma atau sistem kritis yang sudah ada segera didaftarkan ke DJKI atas nama perusahaan</t>
  </si>
  <si>
    <t>(Belum ada yang dijalankan)</t>
  </si>
  <si>
    <t>Tidak Adanya Review Log Perangkat Jaringan – Log aktivitas pada perangkat network tidak pernah direview secara berkala, sehingga anomali dan indikasi insiden keamanan tidak terdeteksi secara dini</t>
  </si>
  <si>
    <t>Tidak adanya prosedur dan jadwal review log yang terdefinisi; tidak ada tools monitoring terpusat yang mengagregasi log perangkat jaringan; keterbatasan sumber daya untuk melakukan review log secara rutin</t>
  </si>
  <si>
    <t>Insiden keamanan tidak terdeteksi dalam waktu lama (high MTTD); aktivitas mencurigakan seperti port scanning, brute force, atau lateral movement tidak tertangani; potensi pelanggaran kepatuhan regulasi terkait log management</t>
  </si>
  <si>
    <t>Akses tidak sah yang tidak terdeteksi; serangan yang sedang berlangsung tanpa diketahui; insider threat yang aktivitasnya tidak terpantau</t>
  </si>
  <si>
    <t>Tidak ada proses review log yang terjadwal dan terdokumentasi; tidak ada SIEM atau log aggregator terpusat; tidak ada alert otomatis untuk aktivitas anomali pada perangkat jaringan</t>
  </si>
  <si>
    <t>Log tersimpan di masing-masing perangkat namun tidak pernah direview secara aktif</t>
  </si>
  <si>
    <t>8.1 – Perencanaan dan pengendalian operasional; 
9.1 – Pemantauan, pengukuran, analisis dan evaluasi</t>
  </si>
  <si>
    <t>A.8.15 – Logging; 
A.8.16 – Aktivitas pemantauan; 
A.8.17 – Sinkronisasi jam</t>
  </si>
  <si>
    <r>
      <rPr>
        <b/>
        <sz val="10"/>
        <color theme="1"/>
        <rFont val="Montserrat"/>
      </rPr>
      <t>Rendah</t>
    </r>
    <r>
      <rPr>
        <sz val="10"/>
        <color theme="1"/>
        <rFont val="Montserrat"/>
      </rPr>
      <t xml:space="preserve"> — perusahaan tidak bersedia membiarkan aktivitas jaringan berjalan tanpa pemantauan log yang memadai, mengingat log merupakan sumber bukti utama dalam investigasi insiden dan pemenuhan kewajiban kepatuhan regulasi</t>
    </r>
  </si>
  <si>
    <r>
      <rPr>
        <b/>
        <sz val="10"/>
        <color theme="1"/>
        <rFont val="Montserrat"/>
      </rPr>
      <t>Sedang</t>
    </r>
    <r>
      <rPr>
        <sz val="10"/>
        <color theme="1"/>
        <rFont val="Montserrat"/>
      </rPr>
      <t xml:space="preserve"> — perusahaan masih dapat beroperasi selama nilai risiko residual ≤ 12; jika residual masih &gt;12, wajib eskalasi segera kepada manajemen dan tim keamanan</t>
    </r>
  </si>
  <si>
    <t>Lakukan review forensik log secara retroaktif untuk mengidentifikasi potensi insiden yang belum tertangani; aktivasi prosedur incident response jika ditemukan indikasi kompromi; dokumentasikan temuan dan laporkan ke manajemen</t>
  </si>
  <si>
    <t xml:space="preserve"> - Susun dan tetapkan SOP Review Log — dokumen prosedur yang mengatur frekuensi review (harian/mingguan), format pelaporan, dan PIC yang bertanggung jawab
- Inventarisasi seluruh perangkat jaringan — pastikan semua perangkat (router, switch, firewall, load balancer) sudah dikonfigurasi untuk menghasilkan dan menyimpan log dengan format standar
 - Implementasi log aggregator terpusat — deploy SIEM (seperti Wazuh, Graylog, atau Splunk) untuk mengagregasi log dari seluruh perangkat jaringan dalam satu platform
 - Lakukan review log retroaktif — telusuri log historis yang tersedia untuk mengidentifikasi potensi insiden yang sudah terjadi namun belum terdeteksi
 - Tetapkan jadwal pelaporan rutin — laporan ringkasan hasil review log disampaikan kepada IT Security / manajemen secara berkala (mingguan/bulanan)</t>
  </si>
  <si>
    <t xml:space="preserve"> - Wazuh sudah terimplentasi, tapi yang diukur masih sebatas SCA di server berdasarkan CIS Control.</t>
  </si>
  <si>
    <t>Head of IT Operation - Infrastructure</t>
  </si>
  <si>
    <t>Wazuh telah terimplementasi namun baru mencakup SCA server berbasis CIS Control, log perangkat jaringan belum teragregasi sehingga risiko belum mengalami penurunan signifikan, status In Progress dan menjadi prioritas untuk segera dilakukan onboarding log perangkat jaringan ke Wazuh.</t>
  </si>
  <si>
    <t>7.5 – Informasi terdokumentasi; 
8.1 – Perencanaan dan pengendalian operasional</t>
  </si>
  <si>
    <t>Tidak adanya prosedur wajib review legal HKI sebelum pengembangan fitur baru; tidak ada koordinasi terstruktur antara Tim IT, Tim Bisnis, dan Tim Legal dalam proses inisiasi pengembangan; kurangnya awareness Tim IT terhadap risiko pelanggaran paten dalam pengembangan fitur digital</t>
  </si>
  <si>
    <t>Tuntutan hukum pelanggaran paten dari pemegang hak; sanksi finansial berupa ganti rugi atau royalti; kewajiban penghentian dan penarikan fitur dari production; kerusakan reputasi perusahaan di mata regulator, mitra, dan nasabah</t>
  </si>
  <si>
    <t>Gugatan hukum dari pemegang paten; cease and desist order; klaim ganti rugi finansial; larangan penggunaan fitur oleh putusan pengadilan</t>
  </si>
  <si>
    <t>Tidak ada proses patent clearance sebelum pengembangan fitur; tidak ada mekanisme koordinasi wajib dengan Tim Legal dalam SDLC; tidak ada inventarisasi paten kompetitor yang dipantau secara berkala</t>
  </si>
  <si>
    <t>Belum ada proses review atau penelusuran HKI terkait fitur atau solusi yang berasal dari referensi eksternal</t>
  </si>
  <si>
    <t>5.1 – Kepemimpinan dan komitmen; 
8.1 – Perencanaan dan pengendalian operasional</t>
  </si>
  <si>
    <t>A.5.1 – Kebijakan keamanan informasi; 
A.5.32 – Hak kekayaan intelektual</t>
  </si>
  <si>
    <r>
      <rPr>
        <b/>
        <sz val="10"/>
        <color theme="1"/>
        <rFont val="Montserrat"/>
      </rPr>
      <t>Rendah</t>
    </r>
    <r>
      <rPr>
        <sz val="10"/>
        <color theme="1"/>
        <rFont val="Montserrat"/>
      </rPr>
      <t xml:space="preserve"> — perusahaan tidak bersedia menanggung risiko tuntutan hukum pelanggaran paten yang dapat mengakibatkan sanksi finansial signifikan dan kewajiban penghentian fitur yang sudah berjalan, mengingat dampaknya langsung menyentuh aspek hukum dan reputasi perusahaan</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</si>
  <si>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Legal Counsel dan manajemen senior untuk penanganan segera</t>
    </r>
  </si>
  <si>
    <t xml:space="preserve"> Hentikan sementara fitur yang berpotensi melanggar paten; engajemen Legal Counsel segera untuk asesmen risiko hukum; dokumentasikan seluruh proses pengembangan sebagai bahan pembelaan; evaluasi opsi redesign fitur untuk menghindari elemen yang dipatenkan</t>
  </si>
  <si>
    <t xml:space="preserve"> - Susun kebijakan IP Review — dokumen resmi yang mewajibkan patent clearance sebelum pengembangan fitur baru yang terinspirasi dari solusi atau produk eksternal
 - Integrasikan patent clearance ke dalam SDLC — tambahkan gate wajib di tahap inisiasi/requirements yang mengharuskan sign-off dari Tim Legal sebelum development dimulai
 - Lakukan patent landscape monitoring — pantau pendaftaran paten kompetitor secara berkala melalui database paten (DJKI, USPTO, EPO) untuk mengidentifikasi risiko sedini mungkin
 - Sosialisasi awareness HKI — edukasi Tim IT dan Tim Bisnis mengenai risiko pelanggaran paten dan pentingnya patent clearance sebelum pengembangan fitur
 - Dokumentasikan proses inovasi internal — catat seluruh proses pengembangan fitur sebagai bukti orisinalitas dan untuk keperluan pembelaan hukum jika diperlukan</t>
  </si>
  <si>
    <t>Tidak adanya kebijakan penggunaan Generative AI dalam proses pengembangan; tidak ada mekanisme verifikasi orisinalitas output AI sebelum digunakan dalam produksi; ketiadaan AI Governance dan awareness HKI di kalangan Developer dan Tim UI/UX</t>
  </si>
  <si>
    <t>Tuntutan hukum pelanggaran hak cipta dari pemilik karya asli; sanksi finansial berupa ganti rugi dan royalti; kewajiban penarikan fitur atau aset yang melanggar dari aplikasi nasabah; kerusakan reputasi perusahaan di mata regulator, mitra bisnis, dan nasabah</t>
  </si>
  <si>
    <t>Gugatan hak cipta dari pemegang lisensi; cease and desist order; klaim ganti rugi finansial; tuntutan penarikan produk dari pasar</t>
  </si>
  <si>
    <t>Tidak ada kebijakan AI Governance untuk penggunaan Generative AI; tidak ada proses review orisinalitas output AI; tidak ada awareness HKI di kalangan tim pengembangan; tidak ada inventarisasi tools AI yang digunakan secara resmi oleh perusahaan</t>
  </si>
  <si>
    <r>
      <rPr>
        <b/>
        <sz val="10"/>
        <color theme="1"/>
        <rFont val="Montserrat"/>
      </rPr>
      <t>Belum ada</t>
    </r>
    <r>
      <rPr>
        <sz val="10"/>
        <color theme="1"/>
        <rFont val="Montserrat"/>
      </rPr>
      <t xml:space="preserve"> kebijakan, awareness, maupun mekanisme review terkait penggunaan Generative AI dan implikasi HKI-nya</t>
    </r>
  </si>
  <si>
    <t>A.5.32 – Hak kekayaan intelektual;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</si>
  <si>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tuntutan pelanggaran hak cipta yang bersumber dari penggunaan output Generative AI tanpa verifikasi, mengingat dampaknya langsung menyentuh aspek hukum, reputasi, dan kepercayaan nasabah</t>
    </r>
  </si>
  <si>
    <t xml:space="preserve"> Identifikasi dan tarik segera aset atau kode yang terindikasi melanggar hak cipta dari environment production; engajemen Legal Counsel untuk asesmen risiko hukum; audit seluruh output AI yang sudah digunakan dalam produk aktif; dokumentasikan proses pengembangan sebagai bahan pembelaan</t>
  </si>
  <si>
    <t xml:space="preserve"> - Susun kebijakan AI Governance — dokumen resmi yang mengatur tools AI apa yang boleh digunakan, batasan penggunaannya, dan kewajiban verifikasi output sebelum masuk ke production
 - Inventarisasi penggunaan tools AI saat ini — identifikasi tools Generative AI yang sudah digunakan oleh Developer dan Tim UI/UX secara resmi maupun mandiri
 - Sosialisasi awareness HKI dan AI Governance — edukasi seluruh Developer dan Tim UI/UX mengenai risiko hukum penggunaan output Generative AI dan kewajiban verifikasi
 - Tetapkan whitelist tools AI yang diizinkan — hanya tools yang memiliki klausul indemnifikasi HKI yang jelas (seperti GitHub Copilot Enterprise) yang boleh digunakan secara resmi</t>
  </si>
  <si>
    <r>
      <t xml:space="preserve"> </t>
    </r>
    <r>
      <rPr>
        <b/>
        <sz val="10"/>
        <color theme="1"/>
        <rFont val="Montserrat"/>
      </rPr>
      <t xml:space="preserve">Belum ada </t>
    </r>
    <r>
      <rPr>
        <sz val="10"/>
        <color theme="1"/>
        <rFont val="Montserrat"/>
      </rPr>
      <t>pengendalian yang berjalan terkait AI Governance dan review HKI output AI, risiko masih terbuka penuh, status New - Open dan menjadi prioritas untuk segera disusun kebijakan sebelum output AI berikutnya masuk ke production</t>
    </r>
  </si>
  <si>
    <r>
      <t xml:space="preserve"> </t>
    </r>
    <r>
      <rPr>
        <b/>
        <sz val="10"/>
        <color theme="1"/>
        <rFont val="Montserrat"/>
      </rPr>
      <t>Belum ada</t>
    </r>
    <r>
      <rPr>
        <sz val="10"/>
        <color theme="1"/>
        <rFont val="Montserrat"/>
      </rPr>
      <t xml:space="preserve"> pengendalian yang berjalan terkait review HKI sehingga risiko masih terbuka penuh, status New - Open dan menjadi prioritas untuk segera dibentuk prosedur patent clearance sebelum ada fitur baru yang dirilis</t>
    </r>
  </si>
  <si>
    <t>Tidak adanya klausul IP Assignment yang eksplisit dan komprehensif dalam PKS; proses review legal kontrak tidak mencakup aspek HKI secara menyeluruh; tidak adanya standar template kontrak vendor yang memuat klausul pengalihan hak cipta secara wajib</t>
  </si>
  <si>
    <t>Kehilangan kendali atas source code aplikasi strategis; vendor menolak penyerahan atau mengajukan klaim pembayaran tambahan; terhambatnya proses pemeliharaan, pengembangan lanjutan, atau perpindahan vendor; potensi litigasi hukum yang berkepanjangan dan merugikan operasional bisnis</t>
  </si>
  <si>
    <t>Penolakan penyerahan source code oleh vendor; klaim finansial tambahan sebagai syarat pengalihan; vendor menggunakan source code untuk kepentingan pihak lain; ketergantungan permanen pada vendor (vendor lock-in)</t>
  </si>
  <si>
    <t>PKS hanya memuat pernyataan kepemilikan umum tanpa klausul IP Assignment yang mengikat secara spesifik; tidak ada mekanisme escrow source code; tidak ada standar review legal kontrak yang mencakup aspek HKI; beberapa vendor sudah menunjukkan resistensi terhadap klausul kepemilikan yang ada</t>
  </si>
  <si>
    <t>PKS memuat pernyataan bahwa source code adalah milik perusahaan, namun tanpa klausul IP Assignment eksplisit; beberapa vendor menolak dan meminta pembayaran tambahan untuk penyerahan source code</t>
  </si>
  <si>
    <t>A.5.19 – Keamanan informasi dalam hubungan pemasok; 
A.5.20 – Persyaratan keamanan informasi dalam perjanjian pemasok; 
A.5.32 – Hak kekayaan intelektual</t>
  </si>
  <si>
    <r>
      <rPr>
        <b/>
        <sz val="10"/>
        <color theme="1"/>
        <rFont val="Montserrat"/>
      </rPr>
      <t>Rendah</t>
    </r>
    <r>
      <rPr>
        <sz val="10"/>
        <color theme="1"/>
        <rFont val="Montserrat"/>
      </rPr>
      <t xml:space="preserve"> — perusahaan tidak bersedia kehilangan kendali atas source code aplikasi strategis yang dibangun menggunakan anggaran perusahaan, mengingat ketergantungan operasional dan risiko hukum yang ditimbulkan sangat signifikan</t>
    </r>
  </si>
  <si>
    <t xml:space="preserve"> Engajemen Legal Counsel segera untuk asesmen posisi hukum perusahaan; identifikasi seluruh vendor yang berpotensi sengketa; upayakan negosiasi penyelesaian sebelum litigasi; amankan salinan source code yang tersedia; dokumentasikan seluruh bukti pembayaran dan korespondensi sebagai bahan pembelaan</t>
  </si>
  <si>
    <t xml:space="preserve"> - Audit seluruh kontrak vendor aktif — identifikasi PKS yang belum memuat klausul IP Assignment eksplisit dan kategorikan berdasarkan tingkat risiko dan nilai strategis aplikasinya
 - Revisi template PKS standar — tambahkan klausul IP Assignment yang eksplisit, komprehensif, dan mengikat secara hukum sebagai bagian wajib dari setiap kontrak pengembangan aplikasi dengan vendor
 - Lakukan addendum kontrak — untuk vendor aktif yang kontraknya belum memuat klausul IP Assignment, negosiasikan dan tandatangani addendum sebelum engagement berlanjut
 - Implementasi source code escrow — seluruh source code yang dikembangkan vendor wajib dideposit ke escrow yang dikelola pihak netral sebagai jaminan akses perusahaan
 - Sosialisasi ke Tim IT dan Procurement — edukasi bahwa setiap engagement vendor pengembangan aplikasi wajib melalui review legal HKI sebelum kontrak ditandatangani
 - Dokumentasikan seluruh bukti pembayaran dan deliverable — pastikan setiap pembayaran ke vendor terdokumentasi lengkap sebagai bukti kepemilikan dalam skenario sengketa hukum</t>
  </si>
  <si>
    <t>Personel IT Vendor/Supplier Management</t>
  </si>
  <si>
    <r>
      <t xml:space="preserve">PKS yang ada </t>
    </r>
    <r>
      <rPr>
        <b/>
        <sz val="10"/>
        <color theme="1"/>
        <rFont val="Montserrat"/>
      </rPr>
      <t>belum</t>
    </r>
    <r>
      <rPr>
        <sz val="10"/>
        <color theme="1"/>
        <rFont val="Montserrat"/>
      </rPr>
      <t xml:space="preserve"> memuat klausul IP Assignment yang eksplisit dan beberapa vendor sudah menunjukkan resistensi, risiko masih terbuka penuh pada level Tinggi, status New - Open dan menjadi prioritas utama untuk segera dilakukan revisi kontrak dan pengamanan source code</t>
    </r>
  </si>
  <si>
    <t>Capacity Planning Failure – Tidak adanya proses capacity planning yang terstruktur dan proaktif mengakibatkan over/under provisioning server resources yang berdampak pada degradasi performa layanan, pelanggaran SLA, dan inefisiensi biaya infrastruktur</t>
  </si>
  <si>
    <t>Capacity planning hanya dilakukan secara reaktif saat resource sudah kritis; tidak adanya proses capacity planning yang terjadwal dan terintegrasi dalam perencanaan strategis IT; tidak ada baseline metrik kapasitas yang dijadikan acuan perencanaan</t>
  </si>
  <si>
    <t>Degradasi performa layanan akibat under-provisioning; pelanggaran SLA yang berdampak pada penalti dan kepercayaan nasabah; pemborosan anggaran akibat over-provisioning; potensi downtime yang mempengaruhi operasional bisnis dan profitabilitas</t>
  </si>
  <si>
    <t>Lonjakan traffic yang tidak terantisipasi; resource exhaustion pada saat peak load; pemborosan anggaran infrastruktur yang tidak terdeteksi; pelanggaran SLA berulang</t>
  </si>
  <si>
    <t>Tidak ada proses capacity planning proaktif yang terjadwal; tidak ada threshold dan early warning system untuk resource utilization; capacity planning belum masuk dalam agenda perencanaan strategis IT; tidak ada baseline dan forecasting model penggunaan resource</t>
  </si>
  <si>
    <t>Capacity planning dilakukan secara reaktif hanya saat resource sudah dalam kondisi kritis; belum terintegrasi dalam perencanaan strategis IT</t>
  </si>
  <si>
    <t>A.8.6 – Manajemen kapasitas; 
A.8.16 – Aktivitas pemantauan</t>
  </si>
  <si>
    <r>
      <rPr>
        <b/>
        <sz val="10"/>
        <color theme="1"/>
        <rFont val="Montserrat"/>
      </rPr>
      <t>Rendah</t>
    </r>
    <r>
      <rPr>
        <sz val="10"/>
        <color theme="1"/>
        <rFont val="Montserrat"/>
      </rPr>
      <t xml:space="preserve"> — perusahaan tidak bersedia membiarkan pengelolaan kapasitas infrastruktur berjalan secara reaktif mengingat dampaknya langsung pada pemenuhan SLA, kepuasan nasabah, dan efisiensi anggaran operasional</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</si>
  <si>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dan infrastruktur berikutnya</t>
    </r>
  </si>
  <si>
    <t>Lakukan penambahan kapasitas darurat jika terjadi resource exhaustion; aktivasi prosedur eskalasi SLA; analisis root cause degradasi performa; dokumentasikan insiden dan dampak bisnis untuk justifikasi investasi capacity planning</t>
  </si>
  <si>
    <t xml:space="preserve"> - Dokumentasikan baseline metrik kapasitas — catat kondisi utilisasi CPU, RAM, storage, dan network saat ini untuk seluruh server sebagai titik acuan capacity planning
 - Integrasikan capacity planning ke dalam perencanaan strategis IT — jadikan capacity review sebagai agenda wajib dalam IT planning tahunan dan dikaitkan dengan roadmap bisnis dan proyeksi pertumbuhan
 - Implementasi monitoring threshold dan early warning — konfigurasi alert otomatis pada tools monitoring (Zabbix, Grafana, atau sejenisnya) untuk notifikasi dini saat utilisasi mendekati batas kritis
 - Tetapkan review kapasitas berkala — lakukan evaluasi kapasitas minimal triwulanan untuk memastikan provisi infrastruktur selaras dengan kebutuhan aktual dan proyeksi bisnis
 - Kaitkan capacity planning dengan IT Budget — pastikan hasil capacity review menjadi input langsung dalam penyusunan anggaran infrastruktur IT tahun berikutnya</t>
  </si>
  <si>
    <r>
      <t xml:space="preserve">PRTG dan review budgeting tahunan sudah memberikan penurunan probabilitas, namun risiko </t>
    </r>
    <r>
      <rPr>
        <b/>
        <sz val="10"/>
        <color theme="1"/>
        <rFont val="Montserrat"/>
      </rPr>
      <t>belum dapat ditutup</t>
    </r>
    <r>
      <rPr>
        <sz val="10"/>
        <color theme="1"/>
        <rFont val="Montserrat"/>
      </rPr>
      <t xml:space="preserve"> karena forecasting jangka panjang dan integrasi capacity planning dalam perencanaan strategis IT belum terealisasi, sehingga status tetap In Progress dan menjadi prioritas untuk segera dilengkapi.</t>
    </r>
  </si>
  <si>
    <t>Uncontrolled Change Management – Perubahan konfigurasi server dilakukan tanpa dokumentasi dan approval workflow meskipun SOP sudah tersedia, mengakibatkan instabilitas sistem, kegagalan audit, dan potensi pelanggaran kepatuhan</t>
  </si>
  <si>
    <t>SOP Change Management tersedia namun tidak dijalankan secara konsisten; tidak ada mekanisme teknis yang memaksa perubahan melalui approval workflow; tidak ada monitoring aktivitas perubahan konfigurasi secara real-time; budaya kepatuhan prosedur yang belum terbangun di tim infrastruktur</t>
  </si>
  <si>
    <t>Instabilitas sistem akibat perubahan yang tidak terdokumentasi dan tidak dapat di-rollback; kegagalan audit internal dan eksternal karena tidak adanya audit trail; pelanggaran kepatuhan regulasi; kesulitan troubleshooting insiden karena tidak ada catatan perubahan yang dapat ditelusuri</t>
  </si>
  <si>
    <t>Perubahan konfigurasi yang tidak terotorisasi; sistem tidak stabil akibat perubahan tanpa testing; kegagalan audit regulasi; insider threat melalui perubahan konfigurasi tersembunyi</t>
  </si>
  <si>
    <t>SOP Change Management tidak dijalankan; tidak ada enforcement teknis yang memaksa approval sebelum perubahan; tidak ada monitoring dan logging aktivitas perubahan konfigurasi; tidak ada mekanisme rollback yang terdokumentasi</t>
  </si>
  <si>
    <t>Akses server sudah direview dan hak akses istimewa sudah teridentifikasi; SOP Change Management sudah tersedia namun belum dijalankan; perubahan masih langsung dilakukan ke server tanpa monitoring aktivitas</t>
  </si>
  <si>
    <t>A.8.9 – Manajemen konfigurasi;
 A.8.15 – Logging; 
A.8.32 – Manajemen perubahan</t>
  </si>
  <si>
    <r>
      <rPr>
        <b/>
        <sz val="10"/>
        <color theme="1"/>
        <rFont val="Montserrat"/>
      </rPr>
      <t>Rendah</t>
    </r>
    <r>
      <rPr>
        <sz val="10"/>
        <color theme="1"/>
        <rFont val="Montserrat"/>
      </rPr>
      <t xml:space="preserve"> — perusahaan tidak bersedia membiarkan perubahan konfigurasi berjalan tanpa dokumentasi dan approval mengingat dampaknya langsung pada stabilitas sistem, kemampuan audit,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</si>
  <si>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t>
    </r>
  </si>
  <si>
    <t>Identifikasi dan dokumentasikan seluruh perubahan yang sudah dilakukan tanpa melalui prosedur; lakukan audit konfigurasi untuk memastikan tidak ada perubahan berbahaya yang sudah masuk; aktivasi prosedur rollback jika ditemukan perubahan yang menyebabkan instabilitas</t>
  </si>
  <si>
    <t xml:space="preserve"> - Jalankan SOP Change Management secara konsisten — lakukan sosialisasi ulang dan tetapkan tanggal efektif pemberlakuan wajib SOP kepada seluruh tim infrastruktur
 - Implementasi enforcement teknis approval workflow — gunakan tools seperti Ansible, Terraform, atau ticketing system (JIRA/ServiceNow) sebagai gerbang wajib sebelum perubahan konfigurasi dapat dilakukan
 - Aktifkan monitoring dan logging aktivitas perubahan — integrasikan log aktivitas server ke SIEM (Wazuh) untuk mendeteksi perubahan konfigurasi yang dilakukan di luar prosedur secara real-time
 - Implementasi Configuration Management Database (CMDB) — catat baseline seluruh konfigurasi server sebagai referensi perbandingan untuk mendeteksi perubahan yang tidak terotorisasi
 - Tetapkan mekanisme rollback terdokumentasi — setiap perubahan wajib disertai rollback plan yang terdokumentasi sebelum dieksekusi
 - Implementasi prinsip separation of duties — personel yang mengajukan perubahan tidak boleh sama dengan yang menyetujui dan mengeksekusi perubahan
 - Tetapkan KPI kepatuhan Change Management — pantau persentase perubahan yang melalui prosedur vs yang bypass sebagai metrik kinerja tim infrastruktur</t>
  </si>
  <si>
    <r>
      <rPr>
        <b/>
        <sz val="10"/>
        <color theme="1"/>
        <rFont val="Montserrat"/>
      </rPr>
      <t>Belum bisa Closed</t>
    </r>
    <r>
      <rPr>
        <sz val="10"/>
        <color theme="1"/>
        <rFont val="Montserrat"/>
      </rPr>
      <t xml:space="preserve"> -  karena aktivitas terkait approval perubahan belum dijalankan dan belum dilengkapi evidence implementasinya</t>
    </r>
  </si>
  <si>
    <t>Patch Management pada endpoint Tidak Menyeluruh dan Weak Credentials – Proses patch management belum mencakup seluruh perangkat (khususnya macOS) dan password admin lokal diketahui oleh pengguna yang tidak seharusnya, membuka celah eksploitasi berupa breach, ransomware, dan compliance violation</t>
  </si>
  <si>
    <t>Keterbatasan kapasitas storage WSUS sehingga tidak semua patch dapat ditarik; tidak adanya solusi patch management untuk perangkat non-Windows; fitur RTR CrowdStrike untuk reset password belum dijalankan; tidak adanya kebijakan rotasi dan pengelolaan password admin lokal yang ketat</t>
  </si>
  <si>
    <t>Eksploitasi kerentanan pada perangkat yang belum ter-patch; penyebaran ransomware melalui endpoint yang rentan; akses tidak sah menggunakan kredensial admin lokal yang diketahui pengguna; pelanggaran kepatuhan regulasi akibat tidak terpenuhinya standar patch management dan manajemen kredensial</t>
  </si>
  <si>
    <t>Eksploitasi CVE pada endpoint yang belum ter-patch; serangan ransomware; privilege escalation menggunakan password admin lokal; insider threat melalui akses kredensial yang tidak terkontrol</t>
  </si>
  <si>
    <t>WSUS tidak mencakup perangkat macOS; storage WSUS terbatas sehingga patch tidak lengkap; password admin lokal diketahui oleh pengguna; fitur RTR CrowdStrike untuk reset password belum diaktifkan; tidak ada monitoring kepatuhan patch secara menyeluruh</t>
  </si>
  <si>
    <t>WSUS aktif untuk patch Windows namun terkendala kapasitas storage; CrowdStrike terpasang dengan fitur RTR tersedia namun belum digunakan untuk reset password admin lokal; perangkat macOS belum tercakup dalam patch management</t>
  </si>
  <si>
    <t>A.8.8 – Manajemen kerentanan teknis; 
A.5.17 – Informasi autentikasi; 
A.8.7 – Perlindungan terhadap malware</t>
  </si>
  <si>
    <r>
      <rPr>
        <b/>
        <sz val="10"/>
        <color theme="1"/>
        <rFont val="Montserrat"/>
      </rPr>
      <t>Rendah</t>
    </r>
    <r>
      <rPr>
        <sz val="10"/>
        <color theme="1"/>
        <rFont val="Montserrat"/>
      </rPr>
      <t xml:space="preserve"> — perusahaan tidak bersedia membiarkan endpoint beroperasi dalam kondisi belum ter-patch dan dengan kredensial admin yang tidak terkontrol, mengingat risiko langsung terhadap keamanan data nasabah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</si>
  <si>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segera kepada manajemen dan tim keamanan</t>
    </r>
  </si>
  <si>
    <t>Isolasi endpoint yang terindikasi terkompromi; aktivasi prosedur incident response; reset segera seluruh password admin lokal melalui RTR CrowdStrike; audit menyeluruh terhadap endpoint yang belum ter-patch; notifikasi kepada regulator jika data nasabah terdampak</t>
  </si>
  <si>
    <t xml:space="preserve"> - Jalankan fitur RTR CrowdStrike untuk reset password admin lokal — lakukan reset dan randomisasi password admin lokal pada seluruh endpoint secara terpusat sesegera mungkin
 - Tetapkan kebijakan rotasi password admin lokal — password admin lokal wajib di-rotate secara berkala (minimal 90 hari) dan tidak boleh diketahui oleh pengguna endpoint
 - Ekspansi kapasitas storage WSUS — tambah kapasitas storage atau terapkan seleksi patch berbasis prioritas (Critical dan High wajib ditarik penuh) untuk memastikan patch keamanan kritis tidak terlewat
 - Implementasi solusi patch management untuk macOS — deploy tools seperti Jamf Pro atau Kandji untuk mengelola patch seluruh perangkat macOS secara terpusat
 - Inventarisasi seluruh endpoint aktif — pastikan seluruh perangkat Windows dan macOS terdaftar dan tercakup dalam solusi patch management yang ada
 - Terapkan kebijakan patch management berbasis SLA — tetapkan batas waktu wajib patch: Critical ≤ 7 hari, High ≤ 14 hari, Medium ≤ 30 hari untuk seluruh platform
 - Pertimbangkan implementasi LAPS (Local Administrator Password Solution) — untuk otomatisasi randomisasi dan pengelolaan password admin lokal pada seluruh endpoint Windows</t>
  </si>
  <si>
    <r>
      <t xml:space="preserve">WSUS dan CrowdStrike sudah tersedia namun cakupan patch </t>
    </r>
    <r>
      <rPr>
        <b/>
        <sz val="10"/>
        <color theme="1"/>
        <rFont val="Montserrat"/>
      </rPr>
      <t>belum menyeluruh</t>
    </r>
    <r>
      <rPr>
        <sz val="10"/>
        <color theme="1"/>
        <rFont val="Montserrat"/>
      </rPr>
      <t xml:space="preserve"> dan password admin lokal belum dirotasi, risiko belum mengalami penurunan signifikan, status In Progress dan menjadi prioritas untuk segera diselesaikan terutama reset kredensial admin lokal dan perluasan patch macOS</t>
    </r>
  </si>
  <si>
    <t>Keterbatasan kapasitas storage dan performa server backup; cakupan backup ke DR belum mencakup seluruh proses bisnis kritis; pengujian restore end-to-end belum dilaksanakan akibat keterbatasan sumber daya; tidak adanya validasi berkala terhadap integritas dan kelengkapan backup</t>
  </si>
  <si>
    <t>Kegagalan hardware server yang tidak dapat dipulihkan tepat waktu; ransomware yang mengenkripsi data produksi dan backup; bencana alam atau insiden yang memaksa aktivasi DR; corruption data yang tidak terdeteksi pada backup</t>
  </si>
  <si>
    <t>Storage backup terbatas sehingga tidak semua data kritis ter-backup penuh; performa server backup lambat berpotensi menyebabkan backup tidak selesai dalam window yang ditentukan; cakupan DR belum 100% mencakup proses bisnis kritis; restore end-to-end belum pernah diuji secara menyeluruh</t>
  </si>
  <si>
    <t>Veeam aktif dengan metode backup 3-2-1; backup rutin sudah berjalan; replikasi otomatis ke DR sudah aktif; SOP restore sudah tersedia dan restore parsial sudah pernah dijalankan</t>
  </si>
  <si>
    <t>A.8.13 – Backup informasi; 
A.5.29 – Keamanan informasi selama gangguan; 
A.5.30 – Kesiapan ICT untuk keberlangsungan bisnis</t>
  </si>
  <si>
    <r>
      <rPr>
        <b/>
        <sz val="10"/>
        <color theme="1"/>
        <rFont val="Montserrat"/>
      </rPr>
      <t>Rendah</t>
    </r>
    <r>
      <rPr>
        <sz val="10"/>
        <color theme="1"/>
        <rFont val="Montserrat"/>
      </rPr>
      <t xml:space="preserve"> — perusahaan tidak bersedia menanggung risiko kegagalan pemulihan data pada saat bencana nyata mengingat dampaknya langsung pada keberlangsungan operasional bisnis asuransi,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</si>
  <si>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infrastruktur</t>
    </r>
  </si>
  <si>
    <t>Aktivasi prosedur DR dan eskalasi ke manajemen; jalankan restore dari backup terakhir yang valid; koordinasi dengan vendor Veeam untuk dukungan teknis darurat; dokumentasikan timeline insiden dan dampak bisnis untuk keperluan pelaporan regulasi</t>
  </si>
  <si>
    <t xml:space="preserve"> - Inventarisasi proses bisnis kritis — identifikasi dan dokumentasikan seluruh proses bisnis kritis yang belum tercakup dalam replikasi DR, prioritaskan berdasarkan dampak bisnis
 - Perluas cakupan backup DR hingga 100% proses kritis — pastikan seluruh sistem dan data yang mendukung proses bisnis kritis masuk dalam scope replikasi otomatis ke DR
 - Ekspansi kapasitas storage backup — tambah kapasitas storage atau implementasi tiered storage untuk mengatasi keterbatasan yang menyebabkan backup tidak optimal
 - Tetapkan dan dokumentasikan RTO &amp; RPO — definisikan target Recovery Time Objective dan Recovery Point Objective untuk setiap sistem kritis sebagai acuan pengujian dan perencanaan DR
 - Jadwalkan DR drill berkala — laksanakan pengujian restore end-to-end minimal setahun sekali atau setiap ada perubahan infrastruktur signifikan, dengan hasil terdokumentasi
 - Update BCDRP sesuai hasil DR drill — setiap temuan dari hasil DR drill wajib ditindaklanjuti dan didokumentasikan sebagai penyempurnaan dokumen BCDRP</t>
  </si>
  <si>
    <t>Ekspansi kapasitas storage backup; optimasi konfigurasi Veeam untuk peningkatan performa; perluas cakupan DR untuk mencakup seluruh proses bisnis kritis; jadwalkan dan laksanakan DR drill dan restore end-to-end secara berkala</t>
  </si>
  <si>
    <t>(Belum seluruhnya dijalankan)</t>
  </si>
  <si>
    <t>Ekspansi kapasitas storage WSUS atau migrasi ke solusi patch management yang lebih scalable; implementasi solusi patch management untuk perangkat macOS; jalankan fitur RTR CrowdStrike untuk reset dan randomisasi password admin lokal; tetapkan kebijakan rotasi kredensial admin lokal secara berkala</t>
  </si>
  <si>
    <t>Enforcement wajib SOP Change Management melalui mekanisme teknis; implementasi tools Configuration Management dan audit trail; implementasi monitoring aktivitas perubahan konfigurasi secara real-time</t>
  </si>
  <si>
    <t>Implementasi proses capacity planning proaktif yang terjadwal; integrasikan capacity planning ke dalam perencanaan strategis IT tahunan; implementasi monitoring dan alerting berbasis threshold untuk early warning resource utilization</t>
  </si>
  <si>
    <t>Topologi jaringan belum pernah direview relevansinya terhadap kondisi bisnis terkini; tidak ada tools monitoring performa jaringan (APM/NPM) untuk mendeteksi bottleneck secara real-time; personil yang memahami topologi dan konfigurasi jaringan sangat terbatas sehingga review dan optimasi sulit dilakukan</t>
  </si>
  <si>
    <t>Latensi tinggi yang memperlambat proses operasional dan transaksi nasabah; degradasi kualitas layanan digital yang berdampak pada kepuasan dan kepercayaan nasabah; kesulitan troubleshooting karena tidak ada visibility jaringan yang memadai; potensi pelanggaran SLA layanan</t>
  </si>
  <si>
    <t>Bottleneck jaringan yang tidak terdeteksi; kegagalan routing akibat konfigurasi yang tidak relevan; single point of failure akibat keterbatasan pengetahuan personil; gangguan layanan yang berkepanjangan</t>
  </si>
  <si>
    <t>Topologi jaringan tidak pernah direview dan berpotensi tidak relevan dengan kebutuhan bisnis saat ini; tidak ada APM/NPM untuk monitoring performa jaringan; pengetahuan konfigurasi jaringan terpusat pada personil terbatas (single point of knowledge); tidak ada baseline performa jaringan sebagai acuan deteksi anomali</t>
  </si>
  <si>
    <t>Pembatasan bandwidth per level karyawan sudah diterapkan sebagai kontrol dasar, topologi jaringan sudah teridentifikasi dokumentasinya</t>
  </si>
  <si>
    <t>A.8.6 – Manajemen kapasitas; 
A.8.16 – Aktivitas pemantauan; 
A.8.9 – Manajemen konfigurasi</t>
  </si>
  <si>
    <r>
      <rPr>
        <b/>
        <sz val="10"/>
        <color theme="1"/>
        <rFont val="Montserrat"/>
      </rPr>
      <t>Sedang</t>
    </r>
    <r>
      <rPr>
        <sz val="10"/>
        <color theme="1"/>
        <rFont val="Montserrat"/>
      </rPr>
      <t xml:space="preserve"> — perusahaan dapat mentolerir degradasi performa jaringan minor dalam jangka pendek, namun tidak bersedia membiarkan kondisi bottleneck yang tidak terpantau berlanjut mengingat dampaknya pada kualitas layanan nasabah dan pemenuhan SLA</t>
    </r>
  </si>
  <si>
    <r>
      <rPr>
        <b/>
        <sz val="10"/>
        <color theme="1"/>
        <rFont val="Montserrat"/>
      </rPr>
      <t>Sedang</t>
    </r>
    <r>
      <rPr>
        <sz val="10"/>
        <color theme="1"/>
        <rFont val="Montserrat"/>
      </rPr>
      <t xml:space="preserve"> — perusahaan masih dapat beroperasi selama nilai risiko residual ≤ 12; jika residual masih &gt;12, wajib eskalasi ke manajemen untuk penanganan segera</t>
    </r>
  </si>
  <si>
    <t>Identifikasi segmen jaringan yang mengalami bottleneck melalui analisis manual; lakukan rerouting atau penambahan bandwidth darurat; eskalasi ke vendor jaringan untuk dukungan teknis; dokumentasikan insiden dan dampak layanan untuk keperluan SLA review</t>
  </si>
  <si>
    <t>Lakukan review menyeluruh topologi jaringan dan relevansinya terhadap kebutuhan bisnis terkini; implementasi tools monitoring performa jaringan (NPM/APM); lakukan knowledge transfer konfigurasi jaringan untuk mengurangi ketergantungan pada personil terbatas</t>
  </si>
  <si>
    <t>Pembatasan bandwidth sudah berjalan namun tanpa monitoring performa dan review topologi, bottleneck tidak dapat terdeteksi secara proaktif, risiko belum mengalami penurunan signifikan, status In Progress dan menjadi prioritas untuk segera dilakukan review topologi dan implementasi monitoring jaringan</t>
  </si>
  <si>
    <t xml:space="preserve"> - Lakukan review menyeluruh topologi jaringan — evaluasi relevansi topologi dan konfigurasi routing yang ada terhadap kondisi dan kebutuhan bisnis terkini, identifikasi segmen yang tidak efisien
 - Dokumentasikan topologi dan konfigurasi jaringan terkini — buat dokumentasi lengkap dan up-to-date sebagai referensi operasional dan dasar perencanaan optimasi
 - Tetapkan baseline performa jaringan — ukur dan dokumentasikan kondisi normal latensi dan bandwidth sebagai acuan deteksi anomali dan bottleneck
 - Lakukan knowledge transfer konfigurasi jaringan — transfer pengetahuan dari personil yang memahami topologi ke minimal 2 personil lain untuk menghilangkan single point of knowledge
 - Implementasi QoS (Quality of Service) — prioritaskan traffic untuk aplikasi dan layanan kritis nasabah agar tidak terdampak oleh traffic non-kritis
 - Jadwalkan review topologi jaringan berkala — lakukan evaluasi topologi minimal tahunan atau setiap ada perubahan signifikan pada infrastruktur atau kebutuhan bisnis
 - Implementasi Network Performance Monitoring (NPM) — deploy tools seperti PRTG, SolarWinds, atau Grafana+Prometheus untuk monitoring latensi, throughput, dan utilisasi bandwidth secara real-time</t>
  </si>
  <si>
    <t>Network Security &amp; DDoS Vulnerability – Konfigurasi firewall yang tidak terdokumentasi, ketiadaan WAF dan DDoS mitigation plan, serta log yang tidak direview membuka celah eksploitasi berupa service unavailability dan data exfiltration yang mengancam keberlangsungan layanan dan revenue perusahaan</t>
  </si>
  <si>
    <t>Konfigurasi firewall tidak terdokumentasi dan hanya dipahami personil terbatas; tidak adanya WAF untuk perlindungan aplikasi web; tidak tersedianya DDoS mitigation plan; log firewall tidak direview akibat volume yang terlalu besar dan tidak adanya tools agregasi log yang memadai</t>
  </si>
  <si>
    <t>Service unavailability akibat serangan DDoS yang tidak termitogasi; data exfiltration melalui celah konfigurasi firewall yang tidak optimal; kesulitan forensik dan investigasi insiden akibat log tidak direview; kegagalan audit keamanan; potensi kerugian revenue dan reputasi perusahaan</t>
  </si>
  <si>
    <t>Serangan DDoS yang melumpuhkan layanan; eksploitasi celah konfigurasi firewall; data exfiltration melalui jaringan; serangan aplikasi web yang tidak tertangkal tanpa WAF; insider threat akibat pengetahuan konfigurasi yang terpusat</t>
  </si>
  <si>
    <t>Konfigurasi firewall tidak terdokumentasi dan menjadi single point of knowledge; tidak ada WAF untuk perlindungan layer aplikasi; tidak ada DDoS mitigation plan; log firewall tidak dianalisis secara berkala; keterbatasan fitur firewall yang ada untuk menghadapi ancaman modern</t>
  </si>
  <si>
    <t>Fitur IPS/IDS sudah diaktifkan pada firewall; akses ke server menerapkan dua layer kontrol termasuk pengaturan di firewall; segregasi VLAN sudah diterapkan</t>
  </si>
  <si>
    <t>A.8.20 – Keamanan jaringan; 
A.8.21 – Keamanan layanan jaringan; 
A.8.22 – Segregasi jaringan; 
A.8.15 – Logging; 
A.8.16 – Aktivitas pemantauan</t>
  </si>
  <si>
    <r>
      <rPr>
        <b/>
        <sz val="10"/>
        <color theme="1"/>
        <rFont val="Montserrat"/>
      </rPr>
      <t>Rendah</t>
    </r>
    <r>
      <rPr>
        <sz val="10"/>
        <color theme="1"/>
        <rFont val="Montserrat"/>
      </rPr>
      <t xml:space="preserve"> — perusahaan tidak bersedia menanggung risiko service unavailability dan data exfiltration akibat celah keamanan jaringan yang tidak tertangani, mengingat dampak langsung terhadap keberlangsungan layanan nasabah, kerahasiaan data, dan revenue perusahaan</t>
    </r>
  </si>
  <si>
    <t>Sedang — perusahaan masih dapat beroperasi selama nilai risiko residual ≤ 12; jika residual masih &gt;12, wajib eskalasi segera ke manajemen senior dan tim keamanan</t>
  </si>
  <si>
    <t>Aktivasi prosedur incident response segera; lakukan traffic filtering darurat untuk mitigasi DDoS; isolasi segmen jaringan yang terdampak; engajemen vendor firewall untuk dukungan teknis darurat; dokumentasikan timeline insiden untuk keperluan forensik dan pelaporan regulasi</t>
  </si>
  <si>
    <t>Dokumentasikan seluruh konfigurasi firewall dan firewall rules secara komprehensif; implementasi WAF untuk perlindungan layer aplikasi; susun DDoS mitigation plan; implementasi log aggregator untuk memudahkan analisis log firewall</t>
  </si>
  <si>
    <t xml:space="preserve"> - Dokumentasikan seluruh konfigurasi firewall dan firewall rules — buat dokumentasi komprehensif termasuk ACL, policy rules, zona keamanan, dan justifikasi setiap rule yang ada
- Lakukan review dan hardening firewall rules — identifikasi rules yang tidak relevan, terlalu permisif, atau sudah tidak digunakan dan lakukan pembersihan secara terkontrol
 - Lakukan knowledge transfer konfigurasi firewall — transfer pengetahuan dari personil yang memahami konfigurasi ke minimal 2 personil lain untuk menghilangkan single point of knowledge
 - Implementasi log aggregator terpusat — integrasikan log firewall ke SIEM (Wazuh atau sejenisnya) untuk memudahkan analisis tanpa harus menarik log secara manual
 - Implementasi WAF (Web Application Firewall) — deploy WAF untuk perlindungan layer aplikasi web dari serangan seperti SQL Injection, XSS, dan OWASP Top 10
 - Evaluasi upgrade atau penggantian firewall — kaji apakah firewall yang ada masih memadai untuk menghadapi ancaman modern atau perlu upgrade fitur/kapasitas
 - Tetapkan jadwal review log firewall berkala — setelah log aggregator aktif, tetapkan SOP review log minimal mingguan dengan format pelaporan yang terstandardisasi
 - Jadwalkan simulasi serangan DDoS — lakukan tabletop exercise atau simulasi terbatas untuk memvalidasi efektivitas DDoS mitigation plan yang telah disusun</t>
  </si>
  <si>
    <t>IPS/IDS, dual-layer access control, dan segregasi VLAN sudah berjalan namun konfigurasi firewall tidak terdokumentasi, log tidak direview, dan WAF serta DDoS mitigation plan belum tersedia, risiko mengalami penurunan parsial, status In Progress dan menjadi prioritas untuk segera dilakukan dokumentasi konfigurasi dan penyusunan DDoS mitigation plan</t>
  </si>
  <si>
    <t>Tidak adanya prosedur change management yang diterapkan untuk perubahan konfigurasi jaringan; diagram jaringan tidak pernah diperbarui sesuai kondisi aktual; keterbatasan knowledge tim infrastruktur jaringan terhadap kondisi eksisting; tidak ada mekanisme review akses dan log jaringan secara berkala</t>
  </si>
  <si>
    <t>Troubleshooting lambat akibat tidak adanya dokumentasi perubahan yang dapat ditelusuri; kegagalan audit konfigurasi internal maupun eksternal; ketidakmampuan mendeteksi perubahan tidak terotorisasi; potensi misconfiguration yang tidak teridentifikasi membuka celah keamanan; ketergantungan ekstrem pada personil tertentu</t>
  </si>
  <si>
    <t>Perubahan konfigurasi tidak terotorisasi yang tidak terdeteksi; misconfiguration yang menyebabkan gangguan layanan; kegagalan audit regulasi; eksploitasi celah konfigurasi yang tidak terdokumentasi; knowledge loss akibat turnover personil jaringan</t>
  </si>
  <si>
    <t>Tidak ada change log untuk perubahan konfigurasi jaringan; diagram jaringan outdated dan tidak mencerminkan kondisi aktual; tidak ada review berkala terhadap akses dan log jaringan; knowledge konfigurasi jaringan terpusat pada personil terbatas; tidak ada baseline konfigurasi yang terdokumentasi</t>
  </si>
  <si>
    <t>Implementasi DMZ sudah dilakukan; akses ke perangkat jaringan sudah dibatasi pada personil tertentu</t>
  </si>
  <si>
    <t>A.8.9 – Manajemen konfigurasi; 
A.8.20 – Keamanan jaringan; 
A.8.22 – Segregasi jaringan; 
A.8.15 – Logging</t>
  </si>
  <si>
    <r>
      <rPr>
        <b/>
        <sz val="10"/>
        <color theme="1"/>
        <rFont val="Montserrat"/>
      </rPr>
      <t>Rendah</t>
    </r>
    <r>
      <rPr>
        <sz val="10"/>
        <color theme="1"/>
        <rFont val="Montserrat"/>
      </rPr>
      <t xml:space="preserve"> — perusahaan tidak bersedia membiarkan perubahan konfigurasi jaringan berjalan tanpa dokumentasi dan change log mengingat frekuensi kejadian yang sangat tinggi dan dampaknya terhadap kemampuan audit serta respons insiden</t>
    </r>
  </si>
  <si>
    <t>Identifikasi perubahan konfigurasi terakhir yang dilakukan melalui penelusuran manual; lakukan audit konfigurasi darurat untuk memastikan tidak ada misconfiguration berbahaya; dokumentasikan kondisi konfigurasi saat ini sebagai baseline; eskalasi ke manajemen jika ditemukan perubahan tidak terotorisasi</t>
  </si>
  <si>
    <t>Implementasi change management wajib untuk seluruh perubahan konfigurasi jaringan; perbarui dan dokumentasikan diagram jaringan sesuai kondisi aktual; implementasi network configuration backup otomatis; lakukan knowledge transfer kepada seluruh anggota tim jaringan</t>
  </si>
  <si>
    <t>DMZ dan pembatasan akses sudah berjalan namun perubahan konfigurasi masih terjadi tanpa change log berkali-kali dalam setahun dan dokumentasi jaringan belum diperbarui, risiko belum mengalami penurunan signifikan, status In Progress dan menjadi prioritas utama mengingat frekuensi kejadian yang sangat tinggi</t>
  </si>
  <si>
    <t xml:space="preserve"> - Audit dan dokumentasikan konfigurasi jaringan eksisting — catat kondisi aktual seluruh perangkat jaringan sebagai baseline sebelum perubahan apapun dilakukan ke depannya
 - Perbarui diagram jaringan sesuai kondisi aktual — buat diagram topologi yang mencerminkan kondisi infrastruktur jaringan saat ini secara akurat dan lengkap
 - Implementasi SOP change management jaringan — seluruh perubahan konfigurasi jaringan wajib melalui prosedur pengajuan, review, approval, dan pencatatan change log sebelum dieksekusi
 - Implementasi network configuration backup otomatis — deploy tools seperti Oxidized atau RANCID untuk backup konfigurasi perangkat jaringan secara otomatis dan terjadwal
 - Integrasikan log perangkat jaringan ke SIEM — arahkan log seluruh perangkat jaringan ke Wazuh atau log aggregator terpusat untuk memudahkan review dan deteksi anomali
 - Lakukan knowledge transfer konfigurasi jaringan — transfer pengetahuan dari personil yang memahami infrastruktur ke seluruh anggota tim jaringan untuk menghilangkan single point of knowledge
 - Jadwalkan network configuration audit — lakukan audit konfigurasi jaringan minimal semesteran untuk memastikan tidak ada misconfiguration atau perubahan tidak terotorisasi yang terakumulasi</t>
  </si>
  <si>
    <t>Desain infrastruktur jaringan tidak mempertimbangkan redundansi pada komponen kritis; mayoritas perangkat jaringan sudah melewati batas end-of-life dan end-of-support; keterbatasan anggaran yang menghambat refresh dan penambahan perangkat redundan; tidak ada perencanaan network resilience dalam roadmap infrastruktur</t>
  </si>
  <si>
    <t>Total outage yang menghentikan seluruh operasional bisnis; gangguan layanan kepada nasabah yang berkepanjangan; potensi perpindahan nasabah ke kompetitor; kerugian revenue akibat downtime; potensi pelanggaran SLA; risiko keamanan akibat perangkat yang tidak lagi mendapat patch keamanan dari vendor</t>
  </si>
  <si>
    <t>Hardware failure pada perangkat tanpa redundansi; kegagalan ISP tunggal tanpa failover; eksploitasi kerentanan pada perangkat end-of-support yang tidak mendapat patch keamanan; bencana alam atau gangguan fisik yang melumpuhkan perangkat tanpa backup</t>
  </si>
  <si>
    <t>Mayoritas perangkat jaringan tidak memiliki backup device; single ISP tanpa failover; perangkat obsolete tidak mendapat update keamanan dari vendor; tidak ada mekanisme automatic failover jika terjadi kegagalan perangkat</t>
  </si>
  <si>
    <t>Beberapa perangkat jaringan sudah memiliki backup device; konfigurasi jaringan sudah dibackup secara rutin</t>
  </si>
  <si>
    <t>A.8.6 – Manajemen kapasitas; 
A.8.20 – Keamanan jaringan; 
A.5.30 – Kesiapan ICT untuk keberlangsungan bisnis</t>
  </si>
  <si>
    <r>
      <rPr>
        <b/>
        <sz val="10"/>
        <color theme="1"/>
        <rFont val="Montserrat"/>
      </rPr>
      <t>Rendah</t>
    </r>
    <r>
      <rPr>
        <sz val="10"/>
        <color theme="1"/>
        <rFont val="Montserrat"/>
      </rPr>
      <t xml:space="preserve"> — perusahaan tidak bersedia menanggung risiko total outage akibat single point of failure pada infrastruktur jaringan, mengingat dampak langsung pada keberlangsungan operasional bisnis, kepuasan nasabah, dan potensi kehilangan revenue secara signifikan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</si>
  <si>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penanganan dalam perencanaan anggaran infrastruktur</t>
    </r>
  </si>
  <si>
    <t>Aktivasi prosedur darurat konektivitas jaringan; koordinasi dengan ISP untuk pemulihan layanan; aktifkan backup device yang tersedia; eskalasi ke manajemen dan komunikasi ke unit bisnis terdampak; dokumentasikan downtime dan dampak bisnis untuk keperluan SLA review dan pelaporan</t>
  </si>
  <si>
    <t>Susun roadmap network redundancy secara bertahap berdasarkan prioritas kritikal; implementasi dual ISP dengan automatic failover; lakukan refresh perangkat yang sudah end-of-life sesuai prioritas risiko; integrasikan perencanaan network resilience ke dalam IT Budget tahunan</t>
  </si>
  <si>
    <t>Beberapa perangkat sudah memiliki backup device dan konfigurasi sudah dibackup rutin, namun mayoritas infrastruktur masih beroperasi tanpa redundansi dan banyak perangkat sudah end-of-life, risiko belum mengalami penurunan signifikan, status In Progress dan menjadi prioritas untuk segera disusun roadmap redundansi dan dijadikan agenda IT Budget berikutnya</t>
  </si>
  <si>
    <t xml:space="preserve"> - Inventarisasi seluruh perangkat jaringan — identifikasi dan kategorikan perangkat berdasarkan status (end-of-life, end-of-support, aktif) dan tingkat kritikal terhadap operasional bisnis
 - Pemetaan single point of failure — identifikasi seluruh titik kritis jaringan yang tidak memiliki redundansi dan urutkan berdasarkan dampak bisnis jika gagal
 - Susun roadmap network redundancy — buat rencana bertahap implementasi redundansi berdasarkan prioritas kritikal, disesuaikan dengan ketersediaan anggaran
 - Refresh perangkat end-of-life secara bertahap — prioritaskan penggantian perangkat yang paling kritis dan paling berisiko gagal berdasarkan hasil inventarisasi
 - Susun dan uji Network Recovery Plan — dokumentasikan prosedur pemulihan jaringan untuk setiap skenario kegagalan perangkat kritis dan lakukan simulasi berkala
 - Jadwalkan review kondisi perangkat berkala — lakukan evaluasi kondisi fisik dan performa perangkat jaringan minimal semesteran untuk antisipasi kegagalan dini</t>
  </si>
  <si>
    <t>Ticket Backlog &amp; Long Resolution Time – Ketergantungan pada satu personil support tanpa mekanisme backup yang memadai berpotensi mengakibatkan akumulasi backlog tiket, pelanggaran SLA, dan penurunan produktivitas pengguna saat personil utama tidak tersedia</t>
  </si>
  <si>
    <t>Personel IT Infra - Tech Support</t>
  </si>
  <si>
    <t>Jumlah personil support tidak sebanding dengan potensi volume tiket saat kondisi gangguan; tidak adanya mekanisme backup personil yang terdefinisi; belum ada proses triase dan prioritisasi tiket yang formal untuk kondisi resource terbatas</t>
  </si>
  <si>
    <t>Akumulasi backlog tiket yang tidak tertangani saat personil utama berhalangan; pelanggaran SLA layanan IT; penurunan produktivitas pengguna akibat gangguan yang tidak terselesaikan tepat waktu; potensi eskalasi keluhan dari unit bisnis</t>
  </si>
  <si>
    <t>Ketidakhadiran mendadak personil support (sakit, cuti, resign); lonjakan volume tiket yang melebihi kapasitas satu personil; single point of failure pada fungsi IT support</t>
  </si>
  <si>
    <t>Seluruh penanganan tiket bergantung pada satu personil; tidak ada backup personil atau mekanisme pengalihan beban kerja yang terdefinisi; tidak ada proses prioritisasi tiket formal untuk kondisi darurat resource terbatas</t>
  </si>
  <si>
    <t>Pengaturan dispatch tiket sudah berjalan melalui aplikasi helpdesk; SLA saat ini terpenuhi di angka 95%</t>
  </si>
  <si>
    <t>8.1 – Perencanaan dan pengendalian operasional; 
7.1 – Sumber daya</t>
  </si>
  <si>
    <t>A.5.37 – Prosedur operasi yang terdokumentasi; 
A.6.1 – Penyaringan; 
A.8.6 – Manajemen kapasitas</t>
  </si>
  <si>
    <r>
      <rPr>
        <b/>
        <sz val="10"/>
        <color theme="1"/>
        <rFont val="Montserrat"/>
      </rPr>
      <t>Sedang</t>
    </r>
    <r>
      <rPr>
        <sz val="10"/>
        <color theme="1"/>
        <rFont val="Montserrat"/>
      </rPr>
      <t xml:space="preserve"> — perusahaan dapat mentolerir keterbatasan personil support dalam jangka pendek selama SLA masih terpenuhi, namun tidak bersedia membiarkan kondisi single point of resource berlanjut tanpa mekanisme backup yang terdefinisi</t>
    </r>
  </si>
  <si>
    <r>
      <rPr>
        <b/>
        <sz val="10"/>
        <color theme="1"/>
        <rFont val="Montserrat"/>
      </rPr>
      <t>Sedang</t>
    </r>
    <r>
      <rPr>
        <sz val="10"/>
        <color theme="1"/>
        <rFont val="Montserrat"/>
      </rPr>
      <t xml:space="preserve"> — perusahaan masih dapat beroperasi selama nilai risiko residual ≤ 6; jika residual masih &gt;6, wajib eskalasi ke manajemen untuk evaluasi penambahan resource atau mekanisme backup</t>
    </r>
  </si>
  <si>
    <t>Aktifkan mekanisme eskalasi darurat ke personil IT lain yang tersedia; terapkan triase tiket untuk prioritaskan insiden kritis; komunikasikan kondisi keterbatasan layanan kepada unit bisnis terdampak; dokumentasikan backlog untuk penanganan segera setelah personil kembali</t>
  </si>
  <si>
    <t>Tetapkan mekanisme backup personil yang terdefinisi untuk kondisi personil utama tidak tersedia; susun prosedur triase dan prioritisasi tiket formal; evaluasi model ketenagaan IT support yang lebih resilient</t>
  </si>
  <si>
    <t>Dispatch helpdesk sudah berjalan dan SLA masih terpenuhi 95%, namun ketergantungan pada satu personil menjadikan risiko aktif setiap saat, status New - Open dan menjadi prioritas untuk segera ditetapkan mekanisme backup personil sebelum kondisi gangguan terjadi</t>
  </si>
  <si>
    <t xml:space="preserve"> - Tetapkan mekanisme backup personil — definisikan secara formal siapa yang menjadi backup support saat personil utama tidak tersedia, termasuk alur eskalasi dan batas kewenangan backup
 - Susun prosedur triase dan prioritisasi tiket — buat matriks prioritas tiket (Critical, High, Medium, Low) beserta definisi, target penyelesaian, dan alur eskalasi untuk kondisi resource terbatas
 - Dokumentasikan knowledge base penanganan tiket umum — buat panduan penyelesaian untuk tiket-tiket yang paling sering muncul agar dapat ditangani oleh personil lain saat dibutuhkan
 - Optimalkan fitur helpdesk untuk otomatisasi — manfaatkan fitur auto-assignment, SLA reminder, dan eskalasi otomatis pada aplikasi helpdesk untuk mengurangi beban manual personil
 - Pantau tren volume tiket secara berkala — analisis pola volume tiket per periode untuk mengidentifikasi peak time dan merencanakan antisipasi kebutuhan resource</t>
  </si>
  <si>
    <t>8.1 – Perencanaan dan pengendalian operasional; 
10.1 – Ketidaksesuaian dan tindakan korektif</t>
  </si>
  <si>
    <t>A.5.37 – Prosedur operasi yang terdokumentasi; 
A.8.6 – Manajemen kapasitas</t>
  </si>
  <si>
    <t>Tidak adanya monitoring aktivitas selama sesi remote berlangsung; belum diimplementasikannya change management dan approval workflow sebelum akses remote diberikan; keterbatasan jumlah FortiToken yang berpotensi mendorong workaround tidak aman; tidak ada mekanisme perekaman sesi remote sebagai audit trail</t>
  </si>
  <si>
    <t xml:space="preserve">Akses remote support yang belum dilengkapi monitoring aktivitas, approval workflow, dan audit trail yang memadai — meskipun FortiToken sudah diterapkan — berpotensi mengakibatkan aktivitas tidak terotorisasi selama sesi remote tidak dapat terdeteksi dan diinvestigasi, sehingga membuka celah data breach, penyalahgunaan akses oleh support staff maupun vendor, serta pelanggaran kepatuhan regulasi yang sulit dibuktikan.
</t>
  </si>
  <si>
    <t>Aktivitas tidak terotorisasi selama sesi remote tidak dapat terdeteksi; ketidakmampuan melakukan investigasi forensik jika terjadi insiden akibat tidak adanya audit trail; potensi data breach melalui akses remote yang tidak terpantau; pelanggaran kepatuhan regulasi akibat tidak terpenuhinya persyaratan audit trail akses istimewa</t>
  </si>
  <si>
    <t>Data exfiltration oleh support staff atau vendor selama sesi remote; penyalahgunaan akses remote di luar scope yang diizinkan; akses tidak terotorisasi melalui token yang dipinjam atau disalahgunakan; insider threat melalui sesi remote tanpa pengawasan</t>
  </si>
  <si>
    <t>Tidak ada monitoring dan perekaman aktivitas sesi remote; tidak ada approval workflow sebelum akses remote diberikan; jumlah FortiToken terbatas berpotensi memicu penggunaan tidak standar; tidak ada audit trail yang dapat digunakan untuk investigasi insiden</t>
  </si>
  <si>
    <t>Seluruh akses remote termasuk vendor sudah diwajibkan menggunakan autentikasi dua faktor berbasis FortiToken</t>
  </si>
  <si>
    <t>A.5.15 – Manajemen akses; 
A.8.5 – Autentikasi aman; 
A.8.15 – Logging; 
A.8.16 – Aktivitas pemantauan; 
A.5.17 – Informasi autentikasi</t>
  </si>
  <si>
    <r>
      <rPr>
        <b/>
        <sz val="10"/>
        <color theme="1"/>
        <rFont val="Montserrat"/>
      </rPr>
      <t>Rendah</t>
    </r>
    <r>
      <rPr>
        <sz val="10"/>
        <color theme="1"/>
        <rFont val="Montserrat"/>
      </rPr>
      <t xml:space="preserve"> — perusahaan tidak bersedia membiarkan sesi remote berlangsung tanpa monitoring dan audit trail mengingat akses remote memberikan visibilitas langsung ke perangkat dan data pengguna yang berpotensi mengandung informasi sensitif nasabah</t>
    </r>
  </si>
  <si>
    <r>
      <rPr>
        <b/>
        <sz val="10"/>
        <color theme="1"/>
        <rFont val="Montserrat"/>
      </rPr>
      <t>Sedang</t>
    </r>
    <r>
      <rPr>
        <sz val="10"/>
        <color theme="1"/>
        <rFont val="Montserrat"/>
      </rPr>
      <t xml:space="preserve"> — perusahaan masih dapat beroperasi selama nilai risiko residual ≤ 9; jika residual masih &gt;9, wajib eskalasi segera ke manajemen dan tim keamanan</t>
    </r>
  </si>
  <si>
    <t>Revoke akses remote yang mencurigakan segera; lakukan investigasi manual terhadap log FortiToken untuk mengidentifikasi sesi yang tidak terotorisasi; audit perangkat yang diakses jika terdapat indikasi penyalahgunaan; dokumentasikan temuan untuk keperluan forensik dan pelaporan</t>
  </si>
  <si>
    <t>Implementasi monitoring dan perekaman sesi remote; terapkan approval workflow sebelum akses remote diberikan; penuhi kebutuhan FortiToken agar seluruh pengguna yang membutuhkan akses remote memiliki token resmi; integrasikan log akses remote ke SIEM</t>
  </si>
  <si>
    <t>FortiToken sudah diterapkan secara menyeluruh termasuk vendor sebagai kontrol autentikasi yang kuat, namun monitoring aktivitas dan approval workflow belum ada sehingga aktivitas selama sesi remote tidak dapat dipertanggungjawabkan, status In Progress dan menjadi prioritas untuk segera diimplementasikan monitoring sesi dan approval workflow</t>
  </si>
  <si>
    <t xml:space="preserve"> - Implementasi approval workflow sebelum akses remote — seluruh permintaan remote support wajib melalui proses pengajuan dan persetujuan yang terdokumentasi sebelum akses diberikan, termasuk untuk vendor
 - Implementasi session recording untuk sesi remote — deploy tools perekaman sesi (seperti CyberArk, BeyondTrust, atau fitur recording pada tools remote yang ada) sebagai audit trail yang dapat ditelusuri
 - Penuhi kebutuhan FortiToken — lakukan inventarisasi kebutuhan token dan pastikan seluruh personil yang memiliki kebutuhan akses remote mendapatkan token resmi untuk menghilangkan potensi workaround
 - Integrasikan log akses remote ke SIEM — arahkan seluruh log sesi remote ke Wazuh atau log aggregator terpusat untuk pemantauan dan deteksi anomali secara real-time
 - Tetapkan kebijakan akses remote — dokumen resmi yang mengatur scope akses, durasi sesi, kewajiban perekaman, dan konsekuensi penyalahgunaan untuk seluruh pengguna dan vendor
 - Implementasi time-limited access — akses remote diberikan hanya untuk durasi yang dibutuhkan dan otomatis dicabut setelah sesi selesai atau waktu yang ditentukan habis
 - Sosialisasi kebijakan akses remote ke vendor — pastikan seluruh vendor yang memiliki akses remote memahami dan menyetujui kebijakan penggunaan, monitoring, dan perekaman sesi
 - Jadwalkan review hak akses remote secara berkala — lakukan evaluasi daftar pengguna dan vendor yang memiliki akses remote minimal triwulanan untuk memastikan tidak ada akses yang sudah tidak relevan</t>
  </si>
  <si>
    <t>Tidak adanya kebijakan dan SOP formal terkait pemrosesan data pribadi sesuai UU PDP; ketiadaan personil yang ditunjuk dan kompeten sebagai DPO; tingkat awareness organisasi terhadap kewajiban UU PDP yang masih rendah di seluruh lini; DPIA belum tersedia sebagai instrumen identifikasi risiko pemrosesan data</t>
  </si>
  <si>
    <t>Sanksi administratif dari Kominfo/regulator; gugatan hukum dari subjek data; audit regulasi yang mengungkap ketidakpatuhan; kebocoran data pribadi akibat tidak adanya prosedur perlindungan yang memadai</t>
  </si>
  <si>
    <t>Tidak ada kebijakan dan SOP pemrosesan data pribadi; DPIA belum tersedia; tidak ada DPO atau personil yang ditunjuk dan kompeten; awareness UU PDP rendah di seluruh unit organisasi; tidak ada mekanisme penanganan permintaan hak subjek data</t>
  </si>
  <si>
    <t>Register of Processing Activities (ROPA) telah tersusun sebagai dokumentasi aktivitas pemrosesan data; asesmen dampak bisnis terkait perlindungan data telah tersedia secara parsial</t>
  </si>
  <si>
    <t>5.1 – Kepemimpinan dan komitmen; 
7.5 – Informasi terdokumentasi; 
8.1 – Perencanaan dan pengendalian operasional</t>
  </si>
  <si>
    <t>A.5.34 – Privasi dan perlindungan informasi pribadi;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</si>
  <si>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UU PDP mengingat kewajiban regulasi bersifat mandatory dan sanksinya langsung menyentuh aspek hukum, finansial, dan reputasi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</si>
  <si>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untuk penanganan segera</t>
    </r>
  </si>
  <si>
    <t>Aktivasi prosedur penanganan insiden pelanggaran data pribadi; notifikasi kepada regulator dalam batas waktu yang ditetapkan UU PDP; identifikasi subjek data yang terdampak; engajemen Legal Counsel untuk asesmen eksposur hukum; dokumentasikan seluruh langkah penanganan sebagai bukti itikad baik kepada regulator</t>
  </si>
  <si>
    <t>Susun kebijakan dan SOP perlindungan data pribadi yang komprehensif sesuai UU PDP; tunjuk dan latih DPO atau personil yang bertanggung jawab atas kepatuhan UU PDP; susun DPIA untuk seluruh proses pemrosesan data berisiko tinggi; implementasi program awareness UU PDP ke seluruh unit organisasi</t>
  </si>
  <si>
    <t xml:space="preserve"> - Tunjuk DPO atau PIC kepatuhan UU PDP — tetapkan personil yang bertanggung jawab secara formal atas implementasi dan pemantauan kepatuhan UU PDP di seluruh unit organisasi
 - Susun kebijakan perlindungan data pribadi — dokumen kebijakan resmi yang mengatur prinsip pemrosesan, hak subjek data, kewajiban perusahaan, dan konsekuensi pelanggaran sesuai UU PDP
 - Susun SOP pemrosesan data pribadi — prosedur operasional yang mencakup pengumpulan, penyimpanan, penggunaan, pengungkapan, dan penghapusan data pribadi untuk setiap unit yang memproses data
 - Lakukan DPIA untuk proses berisiko tinggi — identifikasi dan nilai risiko privasi pada seluruh aktivitas pemrosesan data yang berpotensi berdampak tinggi terhadap hak subjek data
 - Implementasi mekanisme penanganan hak subjek data — susun prosedur formal untuk merespons permintaan akses, koreksi, penghapusan, dan penarikan persetujuan dari subjek data sesuai ketentuan UU PDP
 - Jadwalkan audit kepatuhan UU PDP berkala — lakukan evaluasi kepatuhan minimal tahunan untuk memastikan seluruh proses pemrosesan data pribadi sesuai dengan ketentuan yang berlaku</t>
  </si>
  <si>
    <t>Personel IT Governance berkoordinasi dengan Legal Counsel dan seluruh unit pemilik data</t>
  </si>
  <si>
    <t>ROPA dan asesmen dampak bisnis sudah tersedia namun kebijakan formal, SOP, DPIA, dan DPO yang kompeten belum ada, risiko masih terbuka penuh pada level Tinggi, status New - Open dan menjadi prioritas untuk segera ditunjuk DPO dan disusun kebijakan perlindungan data sebelum terjadi insiden yang memicu sanksi regulasi</t>
  </si>
  <si>
    <t>Ketergantungan tinggi pada library open-source dari sumber publik tunggal tanpa alternatif yang terdefinisi; banyak aplikasi legacy yang tidak memiliki developer aktif sehingga sulit dilakukan penggantian library; keragaman framework dan bahasa pemrograman yang tinggi mempersulit inventarisasi dan pemantauan dependensi secara menyeluruh</t>
  </si>
  <si>
    <t>Penghapusan atau penghentian proyek library open-source oleh maintainer; library tidak lagi tersedia di repositori publik; perubahan lisensi yang melarang penggunaan komersial; abandonware pada library yang digunakan aplikasi legacy</t>
  </si>
  <si>
    <t>Tidak ada inventarisasi lengkap dependensi open-source di seluruh aplikasi; aplikasi legacy tanpa developer aktif sangat sulit dimigrasikan ke library alternatif; keragaman framework dan bahasa mempersulit standardisasi manajemen dependensi; tidak semua library sudah ter-mirror di repositori lokal</t>
  </si>
  <si>
    <t>Repositori lokal sudah disiapkan untuk menyimpan library secara internal; CI/CD sudah terintegrasi dengan repositori Artifactory lokal sebagai sumber dependensi</t>
  </si>
  <si>
    <t>8.1 – Perencanaan dan pengendalian operasional; 
5.19 – Keamanan informasi dalam hubungan pemasok</t>
  </si>
  <si>
    <t>A.5.22 – Pemantauan, tinjauan, dan manajemen perubahan layanan pemasok; 
A.8.25 – Siklus hidup pengembangan yang aman; 
A.8.8 – Manajemen kerentanan teknis</t>
  </si>
  <si>
    <r>
      <rPr>
        <b/>
        <sz val="10"/>
        <color theme="1"/>
        <rFont val="Montserrat"/>
      </rPr>
      <t>Sedang</t>
    </r>
    <r>
      <rPr>
        <sz val="10"/>
        <color theme="1"/>
        <rFont val="Montserrat"/>
      </rPr>
      <t xml:space="preserve"> — perusahaan dapat menerima tingkat ketergantungan pada library open-source dalam batas yang terkendali, namun tidak bersedia membiarkan aplikasi legacy beroperasi tanpa inventarisasi dependensi yang memadai mengingat sulitnya pemulihan jika terjadi gangguan</t>
    </r>
  </si>
  <si>
    <r>
      <rPr>
        <b/>
        <sz val="10"/>
        <color theme="1"/>
        <rFont val="Montserrat"/>
      </rPr>
      <t>Sedang</t>
    </r>
    <r>
      <rPr>
        <sz val="10"/>
        <color theme="1"/>
        <rFont val="Montserrat"/>
      </rPr>
      <t xml:space="preserve"> — perusahaan masih dapat beroperasi selama nilai risiko residual ≤ 6; jika residual masih &gt;6, wajib eskalasi ke manajemen untuk alokasi sumber daya inventarisasi dan migrasi dependensi</t>
    </r>
  </si>
  <si>
    <t>Identifikasi seluruh aplikasi yang bergantung pada library terdampak; gunakan versi yang sudah ter-mirror di Artifactory sebagai fallback sementara; eskalasi ke tim pengembangan untuk asesmen dampak dan opsi migrasi; dokumentasikan seluruh dependensi yang teridentifikasi sebagai baseline inventarisasi</t>
  </si>
  <si>
    <t>Lakukan inventarisasi menyeluruh dependensi open-source di seluruh aplikasi; pastikan seluruh library kritis sudah ter-mirror di Artifactory lokal; susun kebijakan manajemen dependensi yang mewajibkan penggunaan repositori lokal sebagai sumber utama</t>
  </si>
  <si>
    <t xml:space="preserve"> - Inventarisasi seluruh dependensi open-source — petakan semua library dan framework yang digunakan di seluruh aplikasi termasuk legacy, lengkap dengan versi, status maintenance, dan sumber asalnya
 - Pastikan seluruh library kritis ter-mirror di Artifactory — lakukan audit cakupan Artifactory saat ini dan lengkapi dengan library yang belum ter-mirror, prioritaskan yang digunakan aplikasi kritis dan legacy
 - Implementasi Software Composition Analysis (SCA) — integrasikan SCA tools ke CI/CD untuk mendeteksi secara otomatis dependensi yang sudah tidak aktif, end-of-life, atau berisiko tinggi
 - Pantau status aktif library kritis secara berkala — lakukan monitoring terhadap repositori publik library yang digunakan untuk mendeteksi indikasi penghentian atau perubahan lisensi sedini mungkin</t>
  </si>
  <si>
    <t>Personel DevSecOps berkoordinasi dengan Personel IT Core Development dan Personel IT Prod-Support</t>
  </si>
  <si>
    <t xml:space="preserve"> Repositori lokal dan integrasi Artifactory sudah berjalan sebagai kontrol yang cukup memadai, namun inventarisasi dependensi belum menyeluruh terutama untuk aplikasi legacy, risiko berada pada level Rendah namun tetap perlu dipantau, status In Progress dan perlu dilanjutkan optimasi cakupan mirroring library ke Artifactory</t>
  </si>
  <si>
    <t>Tidak terpenuhinya prinsip SoD secara menyeluruh akibat satu individu mengelola proses deployment end-to-end tanpa pengawasan  berpotensi mengakibatkan fraud internal atau kebocoran data sensitif yang tidak terdeteksi, sehingga membuka eksposur terhadap kerugian finansial, pelanggaran kepatuhan, dan kerusakan integritas sistem</t>
  </si>
  <si>
    <t>Ketergantungan pada library open-source vendor tunggal yang berpotensi dihapus  berpotensi mengakibatkan kegagalan build dan deployment terutama pada aplikasi legacy tanpa developer aktif, sehingga menimbulkan gangguan operasional yang sulit dipulihkan akibat kompleksitas keragaman framework dan bahasa pemrograman</t>
  </si>
  <si>
    <t>Keterbatasan jumlah personil yang mengharuskan satu individu mengelola proses dari development hingga deployment secara mandiri; kompleksitas dan keragaman jenis aplikasi yang mempersulit standardisasi penerapan SoD; belum adanya mekanisme approval dan pengawasan yang menyeluruh untuk seluruh proses deployment</t>
  </si>
  <si>
    <t>Potensi fraud internal yang tidak terdeteksi akibat tidak adanya pengawasan pada proses end-to-end; kebocoran data sensitif yang sulit ditelusuri tanpa audit trail yang memadai; kegagalan audit internal dan eksternal akibat tidak terpenuhinya prinsip SoD; pelanggaran kepatuhan regulasi terkait pengendalian akses dan pemisahan tugas</t>
  </si>
  <si>
    <t>Fraud internal melalui manipulasi proses deployment tanpa pengawasan; kebocoran data sensitif oleh personil yang memiliki akses end-to-end; modifikasi tidak terotorisasi pada kode atau konfigurasi yang tidak terdeteksi; kegagalan audit regulasi akibat tidak terpenuhinya persyaratan SoD</t>
  </si>
  <si>
    <t>Proses deployment dilakukan secara mandiri tanpa mekanisme approval atau pengawasan; SoD belum diterapkan secara menyeluruh di luar environment container; keterbatasan personil memaksa konsentrasi kontrol pada individu tertentu; tidak ada mekanisme four-eyes principle pada proses kritis</t>
  </si>
  <si>
    <t>CI/CD pipeline sudah diimplementasikan sebagai kontrol proses deployment; review hak akses istimewa sudah dilaksanakan secara berkala; Segregation of Duties untuk environment container dan pengelolaan container sudah diterapkan</t>
  </si>
  <si>
    <t>A.5.3 – Segregasi tugas; 
A.8.2 – Hak akses istimewa; 
A.5.15 – Manajemen akses; 
A.8.15 – Logging</t>
  </si>
  <si>
    <r>
      <rPr>
        <b/>
        <sz val="10"/>
        <color theme="1"/>
        <rFont val="Montserrat"/>
      </rPr>
      <t>Rendah</t>
    </r>
    <r>
      <rPr>
        <sz val="10"/>
        <color theme="1"/>
        <rFont val="Montserrat"/>
      </rPr>
      <t xml:space="preserve"> — perusahaan tidak bersedia membiarkan proses kritis berjalan tanpa pemisahan tugas yang memadai mengingat potensi fraud internal dan kebocoran data yang dihasilkan dapat berdampak langsung pada integritas sistem,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</si>
  <si>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evaluasi penambahan personil atau mekanisme kompensasi kontrol</t>
    </r>
  </si>
  <si>
    <t>Lakukan audit menyeluruh terhadap seluruh aktivitas deployment yang dilakukan secara mandiri dalam periode tertentu; identifikasi dan investigasi anomali pada log CI/CD; terapkan pembatasan akses darurat jika ditemukan indikasi penyalahgunaan; dokumentasikan temuan untuk keperluan forensik dan pelaporan</t>
  </si>
  <si>
    <t>Perluas penerapan SoD ke seluruh proses deployment yang saat ini masih dilakukan secara mandiri; implementasi four-eyes principle sebagai mekanisme approval wajib; perkuat audit trail dan logging pada seluruh proses deployment</t>
  </si>
  <si>
    <t xml:space="preserve"> CI/CD, review hak akses istimewa, dan SoD untuk environment container sudah berjalan sebagai kontrol yang memadai pada scope tersebut, namun proses deployment di luar container masih dilakukan secara mandiri tanpa pengawasan, risiko belum sepenuhnya tertangani, status In Progress dan menjadi prioritas untuk segera diperluas cakupan SoD ke seluruh proses deployment</t>
  </si>
  <si>
    <t xml:space="preserve"> Personel DevSecOps berkoordinasi dengan Personel IT Governance dan Personel Security Analyst</t>
  </si>
  <si>
    <t xml:space="preserve"> - Pemetaan proses deployment yang belum memiliki SoD — identifikasi seluruh proses deployment yang saat ini masih dilakukan secara mandiri oleh satu individu tanpa mekanisme pengawasan
 - Perkuat audit trail dan logging deployment — pastikan seluruh aktivitas deployment tercatat secara komprehensif di CI/CD pipeline dan terintegrasi ke SIEM untuk pemantauan anomali
 - Implementasi deployment approval workflow — tambahkan gate approval yang membutuhkan persetujuan dari personil yang berbeda pada setiap tahap deployment kritis di CI/CD pipeline
 - Review dan perbarui Matrix Hak Akses Istimewa — pastikan matriks hak akses mencerminkan prinsip SoD secara akurat dan tidak ada individu yang memiliki akses end-to-end tanpa kompensasi kontrol
 - Jadwalkan review kepatuhan SoD berkala — lakukan evaluasi penerapan SoD di seluruh proses kritis minimal triwulanan dan dokumentasikan hasilnya sebagai bukti kepatuhan</t>
  </si>
  <si>
    <t>Keterbatasan jumlah personil teknis yang bertanggung jawab atas implementasi persyaratan regulasi; kesenjangan kompetensi teknis dalam menerjemahkan ketentuan regulasi menjadi langkah implementasi konkret; ketergantungan implementasi pada segelintir personil yang sama sehingga rentan terhadap bottleneck kapasitas</t>
  </si>
  <si>
    <t>Sanksi administratif dan denda dari OJK; temuan audit regulasi yang tidak dapat dijelaskan; pembatasan kegiatan operasional oleh regulator; tuntutan hukum akibat pelanggaran ketentuan yang berlaku</t>
  </si>
  <si>
    <t>Ketidakterpenuhinya kewajiban teknis regulasi dalam batas waktu yang ditetapkan; sanksi administratif dari regulator OJK; kerugian finansial akibat denda atau penalti ketidakpatuhan; potensi pembatasan kegiatan usaha akibat temuan audit regulasi</t>
  </si>
  <si>
    <t>Kapasitas personil teknis tidak sebanding dengan volume dan kompleksitas persyaratan regulasi yang harus diimplementasikan; kompetensi teknis implementasi regulasi terpusat pada personil terbatas; tidak ada roadmap implementasi teknis regulasi yang terstruktur dan terpantau</t>
  </si>
  <si>
    <t>Fungsi Legal &amp; Compliance secara rutin menginformasikan dan mensosialisasikan setiap persyaratan regulasi baru kepada unit terkait; seluruh dokumentasi peraturan dan ketentuan regulasi tersimpan dan terkelola dalam Document Management System (DMS)</t>
  </si>
  <si>
    <t>5.1 – Kepemimpinan dan komitmen; 
6.1 – Tindakan untuk menangani risiko dan peluang; 
9.1 – Pemantauan, pengukuran, analisis dan evaluasi</t>
  </si>
  <si>
    <t>A.5.31 – Persyaratan hukum, undang-undang, peraturan dan kontrak; 
A.5.36 – Kepatuhan terhadap kebijakan dan standar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</si>
  <si>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regulasi OJK/BI mengingat kewajiban pemenuhan bersifat mandatory dan sanksinya berdampak langsung pada kelangsungan operasional, reputasi, dan aspek hukum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</si>
  <si>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alokasi sumber daya implementasi dan penanganan segera</t>
    </r>
  </si>
  <si>
    <t>Aktivasi tim respons kepatuhan untuk asesmen cepat terhadap gap implementasi; engajemen konsultan eksternal jika kapasitas internal tidak mencukupi; penyusunan remediation plan dengan timeline yang dapat dipertanggungjawabkan kepada regulator; dokumentasikan seluruh langkah pemenuhan sebagai bukti itikad baik</t>
  </si>
  <si>
    <t>Susun regulatory implementation roadmap yang memetakan seluruh kewajiban teknis beserta PIC, timeline, dan status implementasinya; tingkatkan kompetensi teknis personil melalui pelatihan regulasi; evaluasi kebutuhan penambahan personil atau penggunaan konsultan eksternal untuk implementasi regulasi kritis</t>
  </si>
  <si>
    <t xml:space="preserve"> Personel IT Governance berkoordinasi dengan Legal &amp; Compliance dan Personel CTIO</t>
  </si>
  <si>
    <t xml:space="preserve"> Sosialisasi regulasi dan dokumentasi DMS sudah berjalan dengan baik namun kapasitas dan kompetensi teknis implementasi masih menjadi hambatan utama, risiko belum mengalami penurunan pada aspek implementasi teknis, status In Progress dan menjadi prioritas untuk segera disusun regulatory implementation roadmap dan dievaluasi kebutuhan sumber daya tambahan</t>
  </si>
  <si>
    <t xml:space="preserve"> - Susun regulatory implementation roadmap — petakan seluruh kewajiban teknis regulasi yang berlaku (OJK/BI) beserta status implementasi, PIC, dan target penyelesaian dalam satu dokumen terpantau
 - Tetapkan PIC implementasi per regulasi — pastikan setiap kewajiban regulasi memiliki personil penanggung jawab yang jelas dengan akuntabilitas yang terdokumentasi
 - Evaluasi kebutuhan sumber daya tambahan — kaji opsi penambahan personil teknis, cross-training, atau penggunaan konsultan eksternal untuk mengatasi bottleneck kapasitas implementasi regulasi
 - Perkuat koordinasi IT dan Legal &amp; Compliance — bentuk forum rutin antara tim IT teknis dan Legal &amp; Compliance untuk memastikan setiap regulasi baru langsung ditindaklanjuti dengan rencana implementasi teknis
 - Jadwalkan review kepatuhan regulasi berkala — lakukan evaluasi status pemenuhan seluruh kewajiban regulasi minimal triwulanan dan laporkan hasilnya kepada manajemen senior</t>
  </si>
  <si>
    <t>Tidak adanya solusi DLP untuk mencegah dan mendeteksi eksfiltrasi source code; tidak adanya pernyataan kepemilikan HKI yang eksplisit dalam kontrak kerja; developer memiliki kemampuan teknis untuk menarik source code dan berpotensi mengeksfiltrasi ke repositori publik; NDA yang ada tidak secara eksplisit mengatur kepemilikan dan larangan komersialisasi source code</t>
  </si>
  <si>
    <t>Kehilangan aset intelektual strategis berupa source code aplikasi; kerugian kompetitif akibat source code digunakan atau dijual kepada kompetitor; ketidakmampuan membuktikan kepemilikan secara hukum; potensi kerugian finansial dan reputasi yang signifikan</t>
  </si>
  <si>
    <t>Pencurian source code oleh karyawan aktif atau mantan karyawan; eksfiltrasi source code ke repositori publik; penjualan source code kepada kompetitor; penggunaan source code untuk kepentingan pribadi atau entitas lain</t>
  </si>
  <si>
    <t>Tidak ada solusi DLP yang memantau dan mencegah transfer data tidak terotorisasi; tidak ada pernyataan HKI kepemilikan source code dalam kontrak kerja; developer dapat melakukan git pull/clone dan berpotensi mengeksfiltrasi ke repositori publik; NDA belum secara eksplisit mengatur kepemilikan dan larangan komersialisasi source code</t>
  </si>
  <si>
    <t>Akses repositori source code sudah bersifat internal dan wajib melalui VPN; akses dibatasi per personil sesuai project yang ditangani; NDA sudah ditandatangani oleh seluruh personil yang memiliki akses source code</t>
  </si>
  <si>
    <t>8.1 – Perencanaan dan pengendalian operasional; 
5.1 – Kepemimpinan dan komitmen</t>
  </si>
  <si>
    <t>A.5.32 – Hak kekayaan intelektual; 
A.8.12 – Pencegahan kebocoran data; 
A.5.15 – Manajemen akses; 
A.6.1 – Penyaringan</t>
  </si>
  <si>
    <r>
      <rPr>
        <b/>
        <sz val="10"/>
        <color theme="1"/>
        <rFont val="Montserrat"/>
      </rPr>
      <t>Rendah</t>
    </r>
    <r>
      <rPr>
        <sz val="10"/>
        <color theme="1"/>
        <rFont val="Montserrat"/>
      </rPr>
      <t xml:space="preserve"> — perusahaan tidak bersedia menanggung risiko kehilangan source code sebagai aset intelektual strategis mengingat dampaknya langsung pada keunggulan kompetitif, keberlangsungan bisnis, dan kemampuan pembuktian kepemilikan secara hukum</t>
    </r>
  </si>
  <si>
    <t>Revoke akses repositori segera untuk personil yang terindikasi; lakukan audit log akses dan aktivitas git untuk mengidentifikasi scope eksfiltrasi; engajemen Legal Counsel untuk asesmen tindakan hukum; dokumentasikan seluruh bukti digital sebagai dasar tuntutan hukum</t>
  </si>
  <si>
    <t>Implementasi solusi DLP untuk memantau dan mencegah transfer source code ke repositori publik atau media eksternal; tambahkan pernyataan kepemilikan HKI eksplisit dalam kontrak kerja; perkuat monitoring aktivitas git repository</t>
  </si>
  <si>
    <t>Pembatasan akses VPN dan per project serta NDA sudah berjalan sebagai kontrol dasar, namun ketiadaan DLP dan pernyataan HKI eksplisit membuat jalur eksfiltrasi tetap terbuka dan sulit dibuktikan secara hukum, status In Progress dan menjadi prioritas untuk segera ditambahkan klausul HKI dan diimplementasikan DLP</t>
  </si>
  <si>
    <t xml:space="preserve"> - Tambahkan klausul HKI eksplisit dalam kontrak kerja — pernyataan resmi bahwa seluruh source code yang dihasilkan selama hubungan kerja adalah milik perusahaan dan dilarang digunakan, diperjualbelikan, atau dibagikan ke pihak manapun
 - Lakukan addendum kontrak untuk karyawan aktif — pastikan seluruh personil yang memiliki akses source code menandatangani addendum klausul HKI jika kontrak awal belum memuatnya
 - Evaluasi dan implementasi solusi DLP — deploy solusi DLP yang mampu mendeteksi dan mencegah transfer source code ke repositori publik, media eksternal, atau platform berbagi file
 - Blokir akses ke repositori publik dari jaringan perusahaan — terapkan pembatasan akses ke GitHub publik atau platform sejenisnya kecuali untuk kebutuhan yang terotorisasi
 - Sosialisasi kebijakan perlindungan IP kepada seluruh developer — edukasi mengenai kepemilikan source code, larangan eksfiltrasi, dan konsekuensi hukum pelanggaran kebijakan HKI perusahaan
 - Jadwalkan review hak akses repositori secara berkala — evaluasi daftar personil yang memiliki akses source code minimal triwulanan dan cabut akses yang sudah tidak relevan</t>
  </si>
  <si>
    <t>Personel IT Governance berkoordinasi dengan Legal Counsel, Personel Security Analyst, dan Personel DevSecOps</t>
  </si>
  <si>
    <t>Personil</t>
  </si>
  <si>
    <t>IT Security Analyst</t>
  </si>
  <si>
    <t>Owner 2</t>
  </si>
  <si>
    <t>Owner 1</t>
  </si>
  <si>
    <t>IT Infrastructure (Head)</t>
  </si>
  <si>
    <t xml:space="preserve">Permasalahan berulang pada aplikasi production dan penurunan kualitas layanan yang berkelanjutan berpotensi terjadi tanpa adanya perbaikan sistematis akibat tidak adanya mekanisme feedback loop pasca-implementasi </t>
  </si>
  <si>
    <t>Proses SDLC</t>
  </si>
  <si>
    <t>Tidak adanya kebijakan dan prosedur yang mewajibkan post-implementation review; mekanisme feedback loop dari data tiket komplain dan insiden operasional ke BA dan QA belum pernah didefinisikan; proses kerja BA dan QA dianggap selesai begitu aplikasi dirilis tanpa kewajiban tindak lanjut pasca-release; feedback loop tidak masuk dalam tahapan wajib SDLC yang berlaku</t>
  </si>
  <si>
    <t>Permasalahan yang sama pada aplikasi terus berulang tanpa pernah diselesaikan secara permanen; kualitas aplikasi tidak mengalami peningkatan karena tidak ada perbaikan berbasis data nyata dari production; pemborosan sumber daya support akibat penanganan insiden berulang; penurunan kepuasan nasabah akibat permasalahan yang tidak tertangani secara sistematis</t>
  </si>
  <si>
    <t>Akumulasi recurring issue yang tidak terselesaikan; penurunan kualitas layanan secara bertahap yang tidak terdeteksi; meningkatnya volume tiket komplain yang tidak diatasi dari akar penyebabnya; erosi kepercayaan nasabah akibat permasalahan berulang</t>
  </si>
  <si>
    <t>Tidak ada mekanisme formal yang menghubungkan data insiden dan tiket komplain production dengan proses BA dan QA; post-implementation review tidak masuk dalam tahapan SDLC; tidak ada kebijakan dan prosedur yang mengatur kewajiban feedback loop pasca-release</t>
  </si>
  <si>
    <r>
      <rPr>
        <b/>
        <sz val="10"/>
        <color theme="1"/>
        <rFont val="Montserrat"/>
      </rPr>
      <t>Belum terdapat pengendalian</t>
    </r>
    <r>
      <rPr>
        <sz val="10"/>
        <color theme="1"/>
        <rFont val="Montserrat"/>
      </rPr>
      <t xml:space="preserve"> formal yang diterapkan. Mekanisme umpan balik pasca-implementasi belum diintegrasikan ke dalam kebijakan, prosedur operasional, maupun tahapan SDLC yang berlaku, sehingga data tiket komplain dan insiden operasional tidak pernah dikembalikan secara sistematis kepada personil BA dan QA sebagai bahan perbaikan</t>
    </r>
  </si>
  <si>
    <t>10.1 – Ketidaksesuaian dan tindakan korektif; 
9.1 – Pemantauan, pengukuran, analisis dan evaluasi</t>
  </si>
  <si>
    <t>A.5.37 – Prosedur operasi yang terdokumentasi; A.8.25 – Siklus hidup pengembangan yang aman</t>
  </si>
  <si>
    <r>
      <rPr>
        <b/>
        <sz val="10"/>
        <color theme="1"/>
        <rFont val="Montserrat"/>
      </rPr>
      <t>Sedang</t>
    </r>
    <r>
      <rPr>
        <sz val="10"/>
        <color theme="1"/>
        <rFont val="Montserrat"/>
      </rPr>
      <t xml:space="preserve"> — perusahaan dapat mentolerir ketiadaan feedback loop dalam jangka sangat pendek, namun tidak bersedia membiarkan kondisi ini berlanjut mengingat dampak kumulatifnya pada kualitas aplikasi, efisiensi sumber daya support, dan kepuasan nasabah</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</si>
  <si>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untuk integrasi segera feedback loop ke dalam SDLC</t>
    </r>
  </si>
  <si>
    <t xml:space="preserve"> Kumpulkan dan analisis data tiket komplain dan insiden yang ada secara retroaktif; identifikasi pola permasalahan berulang yang belum pernah ditindaklanjuti oleh BA dan QA; susun daftar prioritas perbaikan requirement dan test case berdasarkan temuan; eskalasi temuan ke manajemen sebagai justifikasi urgensi implementasi feedback loop</t>
  </si>
  <si>
    <t xml:space="preserve"> Integrasikan post-implementation review sebagai tahapan wajib dalam SDLC; susun kebijakan dan prosedur formal yang mewajibkan pengembalian data tiket komplain dan insiden ke BA dan QA secara berkala; bentuk forum rutin lintas fungsi antara IT Prod-Support, BA, dan QA</t>
  </si>
  <si>
    <t xml:space="preserve"> - Integrasikan post-implementation review ke dalam SDLC — tambahkan tahapan wajib post-release review dalam alur SDLC yang mengharuskan BA dan QA mengevaluasi permasalahan yang muncul setelah aplikasi rilis
 - Susun kebijakan dan prosedur feedback loop — dokumen formal yang mewajibkan pengembalian data tiket komplain dan insiden operasional kepada BA dan QA secara berkala dengan format dan frekuensi yang terdefinisi
 - Tetapkan KPI kualitas pasca-implementasi — definisikan metrik seperti jumlah recurring issue, MTTR, dan tingkat kepuasan pengguna sebagai indikator efektivitas BA dan QA yang dipantau secara berkala
 - Jadwalkan laporan kualitas aplikasi berkala — buat laporan ringkasan permasalahan production yang disampaikan kepada manajemen secara bulanan sebagai bahan pengambilan keputusan perbaikan</t>
  </si>
  <si>
    <t>Personel IT Governance berkoordinasi dengan Personel Business Analyst, Personel Quality Assurance</t>
  </si>
  <si>
    <t xml:space="preserve"> Belum ada pengendalian yang berjalan sama sekali, tidak ada kebijakan, prosedur, maupun integrasi dalam SDLC, risiko masih terbuka penuh pada level Tinggi dengan probabilitas sangat tinggi, status New - Open dan menjadi prioritas untuk segera disusun kebijakan dan diintegrasikan feedback loop ke dalam SDLC</t>
  </si>
  <si>
    <t>Tidak adanya dokumentasi proses bisnis menyeluruh seluruh departemen yang dapat dijadikan referensi standar oleh BA dan QA; kesenjangan pengetahuan pada sisi pengguna terkait proses bisnis end-to-end; ketergantungan pada konfirmasi ad-hoc yang tidak terstruktur sebagai mekanisme klarifikasi requirement</t>
  </si>
  <si>
    <t>Pengembangan fitur yang tidak sesuai dengan kebutuhan bisnis yang sebenarnya; hasil pengujian yang didasarkan pada asumsi sepihak sehingga tidak dapat dipertanggungjawabkan; potensi rework yang memboroskan sumber daya development; risiko fitur yang dirilis tidak memenuhi ekspektasi operasional bisnis</t>
  </si>
  <si>
    <t>Fitur yang dirilis tidak sesuai kebutuhan bisnis dan harus di-rework; pengujian yang tidak komprehensif akibat requirement yang ambigu; akumulasi technical debt akibat perubahan requirement yang berulang; penurunan kepercayaan unit bisnis terhadap kualitas deliverable IT</t>
  </si>
  <si>
    <t>Tidak ada dokumentasi proses bisnis menyeluruh sebagai referensi standar; gap knowledge pada pengguna yang memahami proses bisnis end-to-end; tidak ada mekanisme formal validasi pemahaman requirement antara BA, QA, dan unit bisnis</t>
  </si>
  <si>
    <t>Setiap inisiasi pengembangan diwajibkan menyiapkan Business Requirement Document dalam format standar yang mencakup uraian manfaat, alur proses, dan asesmen risiko sebagai syarat persetujuan sebelum pengembangan dimulai</t>
  </si>
  <si>
    <t>8.1 – Perencanaan dan pengendalian operasional; 
7.5 – Informasi terdokumentasi</t>
  </si>
  <si>
    <t>A.5.37 – Prosedur operasi yang terdokumentasi; 
A.8.25 – Siklus hidup pengembangan yang aman; 
A.8.26 – Persyaratan keamanan aplikasi</t>
  </si>
  <si>
    <r>
      <rPr>
        <b/>
        <sz val="10"/>
        <color theme="1"/>
        <rFont val="Montserrat"/>
      </rPr>
      <t>Sedang</t>
    </r>
    <r>
      <rPr>
        <sz val="10"/>
        <color theme="1"/>
        <rFont val="Montserrat"/>
      </rPr>
      <t xml:space="preserve"> — perusahaan dapat mentolerir risiko ambiguitas requirement dalam batas yang terkendali selama mekanisme konfirmasi dan Business Requirement Document berjalan efektif, namun tidak bersedia membiarkan ketiadaan dokumentasi proses bisnis menyeluruh berlanjut dalam jangka panjang</t>
    </r>
  </si>
  <si>
    <r>
      <t xml:space="preserve"> </t>
    </r>
    <r>
      <rPr>
        <b/>
        <sz val="10"/>
        <color theme="1"/>
        <rFont val="Montserrat"/>
      </rPr>
      <t>Rendah</t>
    </r>
    <r>
      <rPr>
        <sz val="10"/>
        <color theme="1"/>
        <rFont val="Montserrat"/>
      </rPr>
      <t xml:space="preserve"> — perusahaan masih dapat beroperasi selama nilai risiko residual ≤ 4; jika residual masih &gt;4, wajib eskalasi untuk penyusunan segera dokumentasi proses bisnis menyeluruh</t>
    </r>
  </si>
  <si>
    <t xml:space="preserve"> Hentikan sementara pengembangan fitur yang requirement-nya ambigu; lakukan sesi klarifikasi terstruktur dengan unit bisnis yang relevan; dokumentasikan hasil klarifikasi sebagai addendum Business Requirement Document; review ulang test case yang didasarkan pada asumsi sebelum pengujian dilanjutkan</t>
  </si>
  <si>
    <t>Susun dokumentasi proses bisnis menyeluruh seluruh departemen sebagai referensi standar BA dan QA; implementasi mekanisme validasi pemahaman requirement yang formal; perkuat kompetensi BA dalam teknik elicitasi requirement yang terstruktur</t>
  </si>
  <si>
    <t>Business Requirement Document sudah diwajibkan dan berjalan efektif sebagai kontrol utama yang menekan probabilitas kejadian, risiko berada pada level Rendah dan terkendali, namun penyusunan dokumentasi proses bisnis menyeluruh tetap perlu dilanjutkan sebagai penguatan jangka panjang, status In Progress</t>
  </si>
  <si>
    <t xml:space="preserve"> Personel Business Analyst, berkordinasi dengan SysDur</t>
  </si>
  <si>
    <t xml:space="preserve"> - Susun dokumentasi proses bisnis menyeluruh — buat dokumentasi formal alur proses bisnis end-to-end per departemen yang dapat dijadikan referensi standar oleh BA dan QA dalam setiap inisiasi pengembangan
 - Implementasi mekanisme sign-off requirement — tetapkan kewajiban persetujuan formal dari perwakilan unit bisnis yang berwenang sebelum requirement dinyatakan final dan pengembangan dimulai
 - Implementasi requirement traceability matrix — pastikan setiap test case QA dapat ditelusuri kembali ke requirement yang telah dikonfirmasi dan disetujui oleh unit bisnis
 - Jadwalkan review dan pembaruan dokumentasi proses bisnis — lakukan evaluasi dan pembaruan dokumentasi proses bisnis minimal tahunan atau setiap ada perubahan kebijakan bisnis yang signifikan</t>
  </si>
  <si>
    <t>Tidak adanya SOP penulisan BRD yang seragam dan mengikat; pengisian traceability matrix tidak diwajibkan secara formal sehingga bergantung pada inisiatif masing-masing personil; tidak ada mekanisme review dan validasi kelengkapan BRD sebelum dokumen disetujui</t>
  </si>
  <si>
    <t>Cakupan pengujian tidak dapat diverifikasi terhadap seluruh requirement yang terdefinisi; fitur atau skenario yang tidak teruji berpotensi lolos ke environment production; kesulitan investigasi jika terjadi defect di production akibat tidak adanya jejak ketertelusuran requirement; potensi rework dan pemborosan sumber daya development akibat defect yang seharusnya teridentifikasi dalam proses QA</t>
  </si>
  <si>
    <t>Defect production yang seharusnya dapat dicegah dalam proses QA; ketidakmampuan membuktikan bahwa seluruh requirement telah diuji secara komprehensif; kegagalan audit kualitas pengembangan akibat tidak adanya traceability yang terdokumentasi</t>
  </si>
  <si>
    <t>SOP penulisan BRD belum seragam dan tidak mengikat; traceability matrix tidak diwajibkan dalam seluruh BRD; tidak ada mekanisme validasi kelengkapan dokumen BRD sebelum disetujui; konsistensi kualitas BRD bergantung pada inisiatif individu bukan standar organisasi</t>
  </si>
  <si>
    <t>Format Business Requirement Document telah tersedia sebagai panduan penyusunan, namun penerapan traceability matrix belum diwajibkan secara konsisten dalam seluruh dokumen BRD yang dihasilkan, sehingga kelengkapan traceability bergantung pada inisiatif masing-masing personil penyusun</t>
  </si>
  <si>
    <r>
      <rPr>
        <b/>
        <sz val="10"/>
        <color theme="1"/>
        <rFont val="Montserrat"/>
      </rPr>
      <t>Sedang</t>
    </r>
    <r>
      <rPr>
        <sz val="10"/>
        <color theme="1"/>
        <rFont val="Montserrat"/>
      </rPr>
      <t xml:space="preserve"> — perusahaan dapat mentolerir inkonsistensi traceability dalam jangka pendek selama format BRD masih digunakan, namun tidak bersedia membiarkan kondisi ini berlanjut mengingat dampaknya pada kualitas pengujian dan kemampuan audit deliverable pengembangan</t>
    </r>
  </si>
  <si>
    <r>
      <t xml:space="preserve"> </t>
    </r>
    <r>
      <rPr>
        <b/>
        <sz val="10"/>
        <color theme="1"/>
        <rFont val="Montserrat"/>
      </rPr>
      <t>Rendah</t>
    </r>
    <r>
      <rPr>
        <sz val="10"/>
        <color theme="1"/>
        <rFont val="Montserrat"/>
      </rPr>
      <t xml:space="preserve"> — perusahaan masih dapat beroperasi selama nilai risiko residual ≤ 6; jika residual masih &gt;6, wajib eskalasi untuk standardisasi SOP BRD dan enforcement traceability matrix secara segera</t>
    </r>
  </si>
  <si>
    <t>Lakukan review retrospektif terhadap BRD yang sudah ada untuk mengidentifikasi yang belum memiliki traceability matrix; lengkapi traceability matrix pada BRD project yang sedang berjalan sebelum tahap pengujian dimulai; audit test case yang sudah berjalan untuk memastikan seluruh requirement tercakup</t>
  </si>
  <si>
    <t>Susun dan tetapkan SOP penulisan BRD yang seragam dengan mewajibkan pengisian traceability matrix sebagai komponen mandatory; implementasi mekanisme review dan validasi kelengkapan BRD sebelum dokumen disetujui</t>
  </si>
  <si>
    <t xml:space="preserve"> Format BRD sudah tersedia namun traceability matrix belum diwajibkan secara konsisten dan SOP penulisan belum seragam, kualitas traceability masih bergantung pada inisiatif individu, status In Progress dan perlu segera dilakukan standardisasi SOP dan enforcement traceability matrix sebagai komponen wajib</t>
  </si>
  <si>
    <t xml:space="preserve"> - Susun SOP penulisan BRD yang seragam — dokumen standar yang mengatur format, komponen wajib, dan tata cara penulisan BRD yang berlaku untuk seluruh personil BA tanpa pengecualian
 - Tetapkan traceability matrix sebagai komponen wajib BRD — perbarui template BRD untuk menjadikan traceability matrix sebagai bagian mandatory yang harus diisi sebelum dokumen dapat diajukan untuk persetujuan
 - Sosialisasi SOP BRD ke seluruh personil BA dan QA — selenggarakan sesi sosialisasi dan workshop penerapan SOP baru untuk memastikan seluruh personil memahami dan mampu menerapkan standar yang ditetapkan
 - Integrasikan traceability matrix ke dalam proses QA — pastikan QA menggunakan traceability matrix dalam BRD sebagai acuan wajib dalam penyusunan test case untuk setiap project
 - Pantau kepatuhan pengisian BRD secara berkala — lakukan sampling review terhadap BRD yang dihasilkan untuk memastikan konsistensi penerapan SOP dan kelengkapan traceability matrix</t>
  </si>
  <si>
    <r>
      <t xml:space="preserve">Kegagalan validasi fitur secara objektif dan potensi penerimaan deliverable yang tidak memenuhi standar kualitas berpotensi terjadi akibat </t>
    </r>
    <r>
      <rPr>
        <b/>
        <sz val="10"/>
        <color theme="1"/>
        <rFont val="Montserrat"/>
      </rPr>
      <t>acceptance criteria</t>
    </r>
    <r>
      <rPr>
        <sz val="10"/>
        <color theme="1"/>
        <rFont val="Montserrat"/>
      </rPr>
      <t xml:space="preserve"> yang ditulis menggunakan deskripsi kualitatif tanpa parameter ukur yang terdefinisi,</t>
    </r>
  </si>
  <si>
    <r>
      <t>Cakupan pengujian yang tidak dapat diverifikasi terhadap seluruh requirement akibat tidak adanya  pengisian</t>
    </r>
    <r>
      <rPr>
        <b/>
        <sz val="10"/>
        <color theme="1"/>
        <rFont val="Montserrat"/>
      </rPr>
      <t xml:space="preserve"> traceability matrix</t>
    </r>
    <r>
      <rPr>
        <sz val="10"/>
        <color theme="1"/>
        <rFont val="Montserrat"/>
      </rPr>
      <t xml:space="preserve"> secara konsisten dalam seluruh dokumen BRD</t>
    </r>
  </si>
  <si>
    <t>Pengguna belum memahami cara menyusun acceptance criteria yang terukur dan dapat diverifikasi; tidak adanya panduan teknis pengisian acceptance criteria yang terstruktur; BA belum secara konsisten memfasilitasi pengguna dalam mendefinisikan acceptance criteria yang objektif dan berbasis parameter ukur yang jelas</t>
  </si>
  <si>
    <t>Pemenuhan requirement tidak dapat diverifikasi secara objektif dalam proses pengujian; potensi penerimaan deliverable yang secara fungsional tidak memenuhi kebutuhan bisnis sesungguhnya; dispute antara tim IT dan unit bisnis terkait apakah suatu fitur dinyatakan selesai atau tidak; potensi rework yang memboroskan sumber daya akibat ekspektasi yang tidak terdefinisi sejak awal</t>
  </si>
  <si>
    <t>Penerimaan fitur yang tidak memenuhi kebutuhan bisnis akibat acceptance criteria yang tidak dapat diukur; dispute berkepanjangan antara IT dan unit bisnis; rework berulang akibat ekspektasi yang berbeda antara developer, QA, dan user; kegagalan UAT yang tidak terstruktur</t>
  </si>
  <si>
    <t>Panduan pengisian acceptance criteria yang terstruktur belum tersedia; pengguna tidak memiliki pemahaman tentang cara menyusun acceptance criteria yang terukur; BA belum secara konsisten membantu user dalam mendefinisikan parameter ukur yang objektif; tidak ada mekanisme validasi kualitas acceptance criteria sebelum BRD disetujui</t>
  </si>
  <si>
    <t>Formulir Business Requirement telah mencantumkan kolom acceptance criteria sebagai komponen standar dokumen; namun panduan pengisian yang terstruktur belum tersedia dan pemahaman pengguna mengenai cara penyusunan acceptance criteria yang terukur masih sangat terbatas</t>
  </si>
  <si>
    <r>
      <rPr>
        <b/>
        <sz val="10"/>
        <color theme="1"/>
        <rFont val="Montserrat"/>
      </rPr>
      <t>Sedang</t>
    </r>
    <r>
      <rPr>
        <sz val="10"/>
        <color theme="1"/>
        <rFont val="Montserrat"/>
      </rPr>
      <t xml:space="preserve"> — perusahaan dapat mentolerir acceptance criteria yang belum sempurna dalam jangka pendek selama mekanisme konfirmasi berjalan, namun tidak bersedia membiarkan kondisi ini berlanjut mengingat dampaknya pada kualitas deliverable dan efisiensi sumber daya development</t>
    </r>
  </si>
  <si>
    <r>
      <t xml:space="preserve"> </t>
    </r>
    <r>
      <rPr>
        <b/>
        <sz val="10"/>
        <color theme="1"/>
        <rFont val="Montserrat"/>
      </rPr>
      <t>Sedang</t>
    </r>
    <r>
      <rPr>
        <sz val="10"/>
        <color theme="1"/>
        <rFont val="Montserrat"/>
      </rPr>
      <t xml:space="preserve"> — perusahaan masih dapat beroperasi selama nilai risiko residual ≤ 6; jika residual masih &gt;6, wajib eskalasi untuk penyusunan panduan acceptance criteria dan penyelenggaraan pelatihan bagi user secara segera</t>
    </r>
  </si>
  <si>
    <t>Lakukan review terhadap acceptance criteria pada seluruh project yang sedang berjalan; fasilitasi sesi klarifikasi terstruktur antara BA dan user untuk mendefinisikan ulang acceptance criteria yang ambigu menjadi parameter ukur yang objektif; tunda UAT hingga acceptance criteria diperjelas dan disepakati oleh kedua pihak</t>
  </si>
  <si>
    <t>Susun panduan teknis pengisian acceptance criteria dengan contoh konkret yang membedakan kriteria kualitatif yang tidak terukur dengan kriteria kuantitatif yang dapat diverifikasi; implementasi mekanisme validasi kualitas acceptance criteria sebelum BRD disetujui; tingkatkan kompetensi BA dalam memfasilitasi definisi acceptance criteria yang terukur</t>
  </si>
  <si>
    <t xml:space="preserve"> Personel Business Analyst berkoordinasi dengan Personel Quality Assurance dan Personel IT Governance</t>
  </si>
  <si>
    <t>Form BRD sudah mencantumkan kolom acceptance criteria namun cara pengisian belum dipahami user dan panduan belum tersedia, acceptance criteria yang ambigu masih dominan terjadi, status In Progress dan menjadi prioritas untuk segera disusun panduan teknis dan diselenggarakan pelatihan bagi user</t>
  </si>
  <si>
    <t xml:space="preserve"> - Susun panduan teknis pengisian acceptance criteria — dokumen panduan yang memberikan contoh konkret perbedaan antara kriteria kualitatif yang tidak terukur dengan kriteria kuantitatif yang dapat diverifikasi, dilengkapi template yang siap pakai
 - Selenggarakan pelatihan pengisian acceptance criteria bagi user — workshop atau sesi edukasi yang membekali pengguna dengan kemampuan mendefinisikan acceptance criteria yang terukur, spesifik, dan dapat diuji
 - Integrasikan validasi acceptance criteria ke dalam gate review SDLC — pastikan acceptance criteria yang terukur menjadi syarat wajib yang harus terpenuhi sebelum project dapat melanjutkan ke tahap development
 - Jadwalkan review kualitas BRD secara berkala — lakukan sampling review terhadap BRD yang dihasilkan untuk memastikan konsistensi kualitas acceptance criteria sesuai standar yang ditetapkan</t>
  </si>
  <si>
    <r>
      <t xml:space="preserve">Aplikasi yang dirilis ke production berpotensi tidak memenuhi standar keamanan minimum dan rentan dieksploitasi — akibat tidak adanya kompetensi keamanan informasi pada personil BA dan tidak tersedianya panduan yang mewajibkan </t>
    </r>
    <r>
      <rPr>
        <b/>
        <sz val="10"/>
        <color theme="1"/>
        <rFont val="Montserrat"/>
      </rPr>
      <t>pendefinisian security requirement</t>
    </r>
    <r>
      <rPr>
        <sz val="10"/>
        <color theme="1"/>
        <rFont val="Montserrat"/>
      </rPr>
      <t xml:space="preserve"> dalam proses requirement gathering</t>
    </r>
  </si>
  <si>
    <t>Kesenjangan kompetensi keamanan informasi pada personil Business Analyst; tidak adanya panduan, template, atau kebijakan yang mewajibkan pendefinisian security requirement sebagai komponen wajib BRD; proses requirement gathering berfokus eksklusif pada kebutuhan fungsional tanpa mempertimbangkan aspek keamanan</t>
  </si>
  <si>
    <t>Aplikasi yang dikembangkan tidak memiliki standar keamanan dasar seperti autentikasi yang memadai, session timeout, dan password policy; celah keamanan yang bersifat by-design masuk ke environment production; peningkatan biaya remediasi akibat perbaikan keamanan dilakukan setelah release; potensi eksploitasi yang berdampak pada keamanan data nasabah dan kepatuhan regulasi</t>
  </si>
  <si>
    <t>Eksploitasi kerentanan keamanan by-design pada aplikasi production; pelanggaran standar keamanan minimum yang ditetapkan regulator; kegagalan audit keamanan akibat tidak terpenuhinya security requirement</t>
  </si>
  <si>
    <t>Tidak ada security requirement yang terdefinisi dalam proses requirement gathering; personil BA tidak memiliki kompetensi untuk mengidentifikasi kebutuhan keamanan; tidak ada template atau checklist security requirement; tidak ada mekanisme validasi security requirement sebelum development dimulai</t>
  </si>
  <si>
    <t>Belum terdapat pengendalian formal yang diterapkan. Standar kompetensi keamanan informasi belum diintegrasikan ke dalam proses kerja personil Business Analyst, dan tidak tersedia panduan, template, maupun kebijakan yang mewajibkan pendefinisian persyaratan keamanan sebagai komponen wajib dalam proses requirement gathering</t>
  </si>
  <si>
    <t>7.2 – Kompetensi; 
8.1 – Perencanaan dan pengendalian operasional</t>
  </si>
  <si>
    <t>A.6.3 – Kesadaran, pendidikan dan pelatihan keamanan informasi; 
A.8.25 – Siklus hidup pengembangan yang aman; 
A.8.26 – Persyaratan keamanan aplikasi</t>
  </si>
  <si>
    <r>
      <rPr>
        <b/>
        <sz val="10"/>
        <color theme="1"/>
        <rFont val="Montserrat"/>
      </rPr>
      <t>Rendah</t>
    </r>
    <r>
      <rPr>
        <sz val="10"/>
        <color theme="1"/>
        <rFont val="Montserrat"/>
      </rPr>
      <t xml:space="preserve"> — perusahaan tidak bersedia membiarkan aplikasi dikembangkan tanpa security requirement yang terdefinisi, mengingat dampaknya langsung pada keamanan data nasabah, integritas sistem, dan pemenuhan kewajiban regulasi</t>
    </r>
  </si>
  <si>
    <t>Lakukan security review menyeluruh terhadap seluruh aplikasi yang dikembangkan tanpa security requirement terdefinisi; jadwalkan penetration testing untuk mengidentifikasi celah keamanan by-design yang sudah ada di production; susun remediation plan berdasarkan temuan dan prioritaskan berdasarkan tingkat keparahan</t>
  </si>
  <si>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security requirement template yang terintegrasi sebagai komponen wajib dalam BRD, (2) gate review keamanan oleh Security Analyst aktif sebelum BRD disetujui, dan (3) minimal satu sesi pelatihan keamanan dasar telah terlaksana bagi seluruh personil BA</t>
    </r>
  </si>
  <si>
    <t>Integrasikan security requirement template sebagai komponen wajib dalam BRD; selenggarakan pelatihan keamanan dasar untuk personil BA; implementasi gate review keamanan sebelum BRD disetujui; lakukan security review retroaktif terhadap aplikasi yang sudah berjalan</t>
  </si>
  <si>
    <t>Belum ada pengendalian yang berjalan sama sekali terkait security requirement dalam proses BA, risiko masih terbuka penuh pada level Tinggi dengan probabilitas sangat tinggi, status New - Open dan menjadi prioritas utama untuk segera diintegrasikan security requirement template dan diselenggarakan pelatihan keamanan dasar bagi seluruh personil BA</t>
  </si>
  <si>
    <t xml:space="preserve"> Personel Business Analyst berkoordinasi dengan Personel Security Analyst dan Personel IT Governance</t>
  </si>
  <si>
    <t xml:space="preserve"> - Susun dan integrasikan security requirement template ke dalam BRD — buat template standar yang memuat persyaratan keamanan minimum wajib (autentikasi, session timeout, password policy, enkripsi, logging) sebagai komponen mandatory yang harus diisi sebelum BRD dapat disetujui
 - Selenggarakan pelatihan keamanan dasar untuk personil BA — program pelatihan mencakup OWASP Top 10, standar autentikasi, session management, dan password policy, dilengkapi katalog security requirement standar sebagai referensi harian dalam proses requirement gathering
 - Implementasi gate review keamanan sebelum BRD disetujui — libatkan Personel Security Analyst untuk memvalidasi kelengkapan security requirement; integrasikan juga ke dalam proses UAT agar QA memverifikasi pemenuhan security requirement sebagai bagian wajib skenario pengujian
 - Lakukan security review retroaktif terhadap aplikasi production — identifikasi aplikasi yang dikembangkan tanpa security requirement terdefinisi, lakukan asesmen keamanan, dan susun remediation plan berdasarkan tingkat keparahan temuan</t>
  </si>
  <si>
    <r>
      <t xml:space="preserve">Akses tidak terotorisasi ke fungsi atau data yang seharusnya dibatasi berpotensi terjadi tanpa terdeteksi — akibat tidak adanya pendefinisian </t>
    </r>
    <r>
      <rPr>
        <b/>
        <sz val="10"/>
        <color theme="1"/>
        <rFont val="Montserrat"/>
      </rPr>
      <t>matriks RBAC</t>
    </r>
    <r>
      <rPr>
        <sz val="10"/>
        <color theme="1"/>
        <rFont val="Montserrat"/>
      </rPr>
      <t xml:space="preserve"> dalam requirement dan tidak diujikannya skenario privilege escalation dalam proses QA</t>
    </r>
  </si>
  <si>
    <t>BA tidak mendefinisikan matriks RBAC sebagai bagian dari requirement; tidak adanya inisiatif proaktif BA dalam mengidentifikasi kebutuhan pemisahan akses meskipun tidak diminta user; skenario pengujian privilege escalation tidak termasuk dalam standar test case QA</t>
  </si>
  <si>
    <t>Pengguna biasa berpotensi mengakses fungsi atau data yang seharusnya hanya dapat diakses oleh Administrator; pelanggaran prinsip Segregation of Duties pada level aplikasi; potensi manipulasi data atau penyalahgunaan fungsi kritis oleh pengguna yang tidak berwenang; kegagalan audit akses akibat tidak adanya RBAC yang terdokumentasi</t>
  </si>
  <si>
    <t>Privilege escalation oleh pengguna yang tidak berwenang; akses tidak terotorisasi ke menu atau fungsi Admin; manipulasi data kritis melalui akses yang seharusnya dibatasi; kegagalan audit keamanan akibat tidak adanya matriks RBAC yang dapat diverifikasi</t>
  </si>
  <si>
    <t>Tidak ada matriks RBAC yang terdefinisi dalam dokumen requirement; skenario privilege escalation tidak termasuk dalam standar test case QA; tidak ada kebijakan yang mewajibkan pendefinisian access control requirement dalam BRD; BA tidak secara proaktif mengidentifikasi kebutuhan pemisahan akses</t>
  </si>
  <si>
    <t>Belum terdapat pengendalian formal yang diterapkan. Pendefinisian matriks Role-Based Access Control belum menjadi bagian dari proses requirement gathering oleh Business Analyst, dan skenario pengujian privilege escalation belum diintegrasikan sebagai komponen wajib dalam proses Quality Assurance</t>
  </si>
  <si>
    <t>8.1 – Perencanaan dan pengendalian operasional; 
7.2 – Kompetensi</t>
  </si>
  <si>
    <t>A.5.3 – Segregasi tugas; 
A.5.15 – Manajemen akses; 
A.8.25 – Siklus hidup pengembangan yang aman; 
A.8.26 – Persyaratan keamanan aplikasi</t>
  </si>
  <si>
    <r>
      <rPr>
        <b/>
        <sz val="10"/>
        <color theme="1"/>
        <rFont val="Montserrat"/>
      </rPr>
      <t>Rendah</t>
    </r>
    <r>
      <rPr>
        <sz val="10"/>
        <color theme="1"/>
        <rFont val="Montserrat"/>
      </rPr>
      <t xml:space="preserve"> — perusahaan tidak bersedia membiarkan aplikasi beroperasi tanpa matriks RBAC yang terdefinisi, mengingat dampaknya langsung pada integritas data, kerahasiaan informasi sensitif, dan pemenuhan prinsip Segregation of Duties yang diwajibkan regulasi</t>
    </r>
  </si>
  <si>
    <t>Sedang — perusahaan masih dapat beroperasi selama nilai risiko residual ≤ 9; jika residual masih &gt;9, wajib eskalasi ke manajemen. 
Sebagai syarat minimum toleransi, organisasi wajib memastikan telah tersedia: (1) template RBAC matrix yang terintegrasi sebagai komponen wajib dalam BRD, (2) skenario pengujian privilege escalation yang terdokumentasi dalam standar test case QA, dan (3) review akses retroaktif telah dilaksanakan terhadap aplikasi yang sudah berjalan di production</t>
  </si>
  <si>
    <t>Lakukan audit akses segera terhadap seluruh aplikasi production untuk mengidentifikasi pengguna yang memiliki akses melebihi kewenangannya; cabut akses berlebih yang teridentifikasi; lakukan penetration testing terfokus pada skenario privilege escalation; dokumentasikan temuan sebagai justifikasi urgensi implementasi RBAC</t>
  </si>
  <si>
    <t>Integrasikan RBAC matrix sebagai komponen wajib dalam BRD; tambahkan skenario privilege escalation ke dalam standar test case QA; lakukan access review retroaktif terhadap aplikasi production yang sudah berjalan</t>
  </si>
  <si>
    <t>Belum ada pengendalian yang berjalan sama sekali terkait pendefinisian RBAC dan pengujian privilege escalation, risiko masih terbuka penuh pada level Tinggi, status New - Open dan menjadi prioritas utama untuk segera diintegrasikan RBAC matrix dalam BRD dan skenario privilege escalation dalam standar test case QA</t>
  </si>
  <si>
    <t xml:space="preserve"> - Integrasikan RBAC matrix sebagai komponen wajib dalam BRD — buat template pendefinisian role, hak akses, dan batasan akses per fungsi aplikasi yang harus diisi dan divalidasi sebelum BRD dapat disetujui; lengkapi dengan panduan proaktif bagi BA dalam mengidentifikasi kebutuhan pemisahan akses meskipun tidak diminta secara eksplisit oleh user
 - Tambahkan skenario privilege escalation ke dalam standar test case QA — definisikan skenario pengujian wajib yang memverifikasi bahwa setiap role hanya dapat mengakses fungsi dan data sesuai kewenangannya, termasuk pengujian negatif akses ke menu Admin oleh pengguna biasa
 - Lakukan access review retroaktif pada aplikasi production — audit seluruh aplikasi yang sudah berjalan untuk mengidentifikasi celah privilege escalation yang belum terdeteksi; cabut akses berlebih yang ditemukan dan dokumentasikan sebagai temuan untuk remediation
 - Selenggarakan pelatihan RBAC dan access control untuk BA dan QA — program pelatihan yang mencakup prinsip Segregation of Duties, pendefinisian RBAC matrix, dan teknik pengujian privilege escalation agar BA dan QA dapat menjalankan perannya secara proaktif dalam setiap project</t>
  </si>
  <si>
    <t>BA tidak mendefinisikan requirement perekaman audit log sebagai kebutuhan wajib dalam BRD; gap knowledge BA dan QA terkait ketentuan keamanan informasi dan kewajiban audit trail; verifikasi kelengkapan audit log tidak termasuk dalam standar skenario pengujian QA</t>
  </si>
  <si>
    <t>Aktivitas sensitif seperti penghapusan data, modifikasi record kritis, dan perubahan konfigurasi tidak terekam; ketidakmampuan melakukan investigasi forensik jika terjadi insiden; kegagalan audit internal dan eksternal akibat tidak tersedianya audit trail yang dapat diverifikasi; potensi pelanggaran kewajiban regulasi terkait log management dan perlindungan data</t>
  </si>
  <si>
    <r>
      <t xml:space="preserve">Ketidakmampuan mendeteksi, menginvestigasi, dan membuktikan aktivitas tidak terotorisasi pada aplikasi production berpotensi terjadi — akibat tidak adanya requirement perekaman </t>
    </r>
    <r>
      <rPr>
        <b/>
        <sz val="10"/>
        <color theme="1"/>
        <rFont val="Montserrat"/>
      </rPr>
      <t>audit log</t>
    </r>
    <r>
      <rPr>
        <sz val="10"/>
        <color theme="1"/>
        <rFont val="Montserrat"/>
      </rPr>
      <t xml:space="preserve"> untuk aksi sensitif dalam BRD dan tidak diverifikasinya kelengkapan audit log dalam proses pengujian QA</t>
    </r>
  </si>
  <si>
    <t>Manipulasi atau penghapusan data kritis yang tidak dapat ditelusuri; insider threat yang aktivitasnya tidak terekam; kegagalan audit regulasi akibat tidak tersedianya bukti aktivitas sistem; ketidakmampuan membuktikan kepatuhan terhadap ketentuan regulasi yang mensyaratkan audit trail</t>
  </si>
  <si>
    <t>Tidak ada requirement audit log yang terdefinisi dalam BRD; verifikasi audit log tidak termasuk dalam standar test case QA; gap knowledge BA dan QA terkait kewajiban perekaman aktivitas sensitif; tidak ada kebijakan yang menetapkan standar minimum audit log untuk aplikasi</t>
  </si>
  <si>
    <t>Belum terdapat pengendalian formal yang diterapkan. Persyaratan perekaman audit log untuk aktivitas sensitif belum didefinisikan sebagai komponen wajib dalam proses requirement gathering, dan verifikasi kelengkapan audit log belum diintegrasikan sebagai skenario pengujian wajib dalam proses Quality Assurance</t>
  </si>
  <si>
    <t>A.8.15 – Logging; 
A.8.16 – Aktivitas pemantauan; 
A.8.25 – Siklus hidup pengembangan yang aman; 
A.8.26 – Persyaratan keamanan aplikasi</t>
  </si>
  <si>
    <r>
      <rPr>
        <b/>
        <sz val="10"/>
        <color theme="1"/>
        <rFont val="Montserrat"/>
      </rPr>
      <t>Rendah</t>
    </r>
    <r>
      <rPr>
        <sz val="10"/>
        <color theme="1"/>
        <rFont val="Montserrat"/>
      </rPr>
      <t xml:space="preserve"> — perusahaan tidak bersedia membiarkan aktivitas sensitif pada aplikasi berjalan tanpa perekaman audit log, mengingat audit trail merupakan komponen kritis dalam investigasi insiden, pembuktian kepatuhan regulasi, dan pemenuhan kewajiban hukum</t>
    </r>
  </si>
  <si>
    <t xml:space="preserve"> Sedang — perusahaan masih dapat beroperasi selama nilai risiko residual ≤ 9; jika residual masih &gt;9, wajib eskalasi ke manajemen. 
Sebagai syarat minimum toleransi, organisasi wajib memastikan telah tersedia: (1) standar minimum audit log requirement yang terdokumentasi dan terintegrasi sebagai komponen wajib BRD, (2) skenario verifikasi kelengkapan audit log yang terdokumentasi dalam standar test case QA, dan (3) audit log retroaktif telah diaktifkan pada seluruh aplikasi production yang menangani data sensitif</t>
  </si>
  <si>
    <t>Aktifkan segera mekanisme perekaman audit log pada aplikasi production yang belum memilikinya; lakukan asesmen retroaktif untuk mengidentifikasi aktivitas sensitif yang mungkin sudah terjadi tanpa terekam; koordinasikan dengan tim development untuk implementasi darurat audit log pada aplikasi kritis; dokumentasikan gap sebagai temuan untuk remediation plan</t>
  </si>
  <si>
    <t>Integrasikan audit log requirement sebagai komponen wajib dalam BRD; tambahkan skenario verifikasi kelengkapan audit log ke dalam standar test case QA; selenggarakan pelatihan keamanan untuk BA dan QA terkait kewajiban perekaman aktivitas sensitif</t>
  </si>
  <si>
    <t>Personel Business Analyst berkoordinasi dengan Personel Quality Assurance dan Personel Security Analyst</t>
  </si>
  <si>
    <t xml:space="preserve"> Belum ada pengendalian yang berjalan sama sekali terkait audit log requirement dalam proses BA dan verifikasi dalam proses QA, risiko masih terbuka penuh pada level Tinggi dengan probabilitas sangat tinggi, status New - Open dan menjadi prioritas utama untuk segera didefinisikan standar audit log dan diintegrasikan ke dalam BRD dan standar test case QA</t>
  </si>
  <si>
    <t xml:space="preserve"> - Definisikan dan integrasikan standar audit log requirement ke dalam BRD — buat standar minimum yang mewajibkan perekaman aktivitas sensitif (siapa, melakukan apa, kapan) mencakup: login/logout, penghapusan data, modifikasi record kritis, perubahan konfigurasi, dan eskalasi hak akses; jadikan sebagai komponen wajib yang harus diisi sebelum BRD dapat disetujui
 - Tambahkan skenario verifikasi audit log ke dalam standar test case QA — definisikan skenario pengujian wajib yang memverifikasi bahwa seluruh aktivitas sensitif benar-benar tercatat di database log dengan format, kelengkapan field, dan integritas data yang sesuai standar
 - Aktifkan audit log secara retroaktif pada aplikasi production — identifikasi seluruh aplikasi production yang belum memiliki mekanisme audit log untuk aktivitas sensitif dan koordinasikan dengan tim development untuk implementasi segera berdasarkan prioritas kritikal bisnis
 - Selenggarakan pelatihan keamanan untuk BA dan QA terkait audit log — program pelatihan yang mencakup regulasi dan standar yang mensyaratkan audit trail, teknik mendefinisikan audit log requirement yang komprehensif, dan metode verifikasi kelengkapan log dalam proses pengujian</t>
  </si>
  <si>
    <t>API Endpoint</t>
  </si>
  <si>
    <r>
      <t xml:space="preserve">Eksploitasi endpoint API integrasi pihak ketiga yang terbuka tanpa autentikasi memadai berpotensi mengakibatkan akses tidak terotorisasi, kebocoran data, dan penyalahgunaan layanan — akibat tidak adanya persyaratan </t>
    </r>
    <r>
      <rPr>
        <b/>
        <sz val="10"/>
        <color theme="1"/>
        <rFont val="Montserrat"/>
      </rPr>
      <t>autentikasi</t>
    </r>
    <r>
      <rPr>
        <sz val="10"/>
        <color theme="1"/>
        <rFont val="Montserrat"/>
      </rPr>
      <t xml:space="preserve"> kuat dalam BRD dan tidak diverifikasinya keamanan endpoint dalam proses QA</t>
    </r>
  </si>
  <si>
    <t>BA tidak mendefinisikan standar autentikasi dan keamanan sebagai persyaratan wajib dalam integrasi API pihak ketiga; gap knowledge BA dan QA terkait standar keamanan API seperti OAuth2, API key management, dan token validation; QA tidak memiliki skenario pengujian untuk memverifikasi apakah endpoint terbuka secara publik tanpa autentikasi</t>
  </si>
  <si>
    <t>Endpoint API terbuka tanpa autentikasi yang memadai dan dapat diakses publik; potensi eksploitasi berupa pencurian data, penyalahgunaan layanan, dan injeksi data palsu melalui endpoint yang tidak terproteksi; potensi pelanggaran kepatuhan regulasi akibat data nasabah terekspos melalui API yang tidak aman; kerugian finansial dan reputasi akibat insiden yang bersumber dari endpoint tidak terproteksi</t>
  </si>
  <si>
    <t>Eksploitasi endpoint API publik tanpa autentikasi oleh pihak tidak berwenang; pencurian data melalui API yang tidak terproteksi; serangan injection melalui endpoint yang terbuka; penyalahgunaan layanan melalui akses API tanpa kontrol autentikasi</t>
  </si>
  <si>
    <t>Tidak ada standar autentikasi API yang terdefinisi dalam requirement; endpoint API tidak diuji keamanannya sebelum diloloskan ke production; tidak ada kebijakan minimum security standard untuk integrasi API pihak ketiga; gap knowledge BA dan QA terkait keamanan API</t>
  </si>
  <si>
    <t>Belum terdapat pengendalian formal yang diterapkan. Persyaratan autentikasi dan keamanan pada integrasi API dengan pihak ketiga belum didefinisikan sebagai komponen wajib dalam proses requirement gathering, dan pengujian keamanan endpoint API belum diintegrasikan sebagai skenario pengujian wajib dalam proses Quality Assurance</t>
  </si>
  <si>
    <t>A.8.24 – Penggunaan kriptografi; 
A.8.25 – Siklus hidup pengembangan yang aman; 
A.8.26 – Persyaratan keamanan aplikasi; 
A.5.19 – Keamanan informasi dalam hubungan pemasok</t>
  </si>
  <si>
    <r>
      <rPr>
        <b/>
        <sz val="10"/>
        <color theme="1"/>
        <rFont val="Montserrat"/>
      </rPr>
      <t>Rendah</t>
    </r>
    <r>
      <rPr>
        <sz val="10"/>
        <color theme="1"/>
        <rFont val="Montserrat"/>
      </rPr>
      <t xml:space="preserve"> — perusahaan tidak bersedia membiarkan endpoint API integrasi pihak ketiga beroperasi tanpa autentikasi yang memadai, mengingat dampaknya langsung pada kerahasiaan data nasabah, integritas sistem, dan pemenuhan kewajiban keamanan regulasi</t>
    </r>
  </si>
  <si>
    <t>Sedang — perusahaan masih dapat beroperasi selama nilai risiko residual ≤ 9; jika residual masih &gt;9, wajib eskalasi ke manajemen. 
Sebagai syarat minimum toleransi, organisasi wajib memastikan telah tersedia: (1) standar minimum autentikasi API yang terdokumentasi dan terintegrasi sebagai komponen wajib BRD untuk setiap integrasi pihak ketiga, (2) skenario pengujian keamanan endpoint API yang terdokumentasi dalam standar test case QA, dan (3) security review retroaktif telah dilaksanakan terhadap seluruh endpoint API yang sudah berjalan di production</t>
  </si>
  <si>
    <t>Lakukan audit segera terhadap seluruh endpoint API production untuk mengidentifikasi yang terbuka tanpa autentikasi; blokir sementara endpoint yang tidak terproteksi hingga mekanisme autentikasi diimplementasikan; koordinasikan dengan vendor pihak ketiga untuk penerapan autentikasi yang memadai; dokumentasikan temuan sebagai dasar remediation plan</t>
  </si>
  <si>
    <t>Integrasikan standar autentikasi API sebagai komponen wajib dalam BRD untuk setiap integrasi pihak ketiga; tambahkan skenario pengujian keamanan endpoint ke dalam standar test case QA; selenggarakan pelatihan keamanan API untuk BA dan QA</t>
  </si>
  <si>
    <t>Belum ada pengendalian yang berjalan sama sekali terkait security requirement autentikasi API dan pengujian keamanan endpoint, risiko masih terbuka penuh pada level Tinggi dengan probabilitas sangat tinggi, status New - Open dan menjadi prioritas utama untuk segera didefinisikan standar autentikasi API dan diintegrasikan ke dalam BRD serta standar test case QA</t>
  </si>
  <si>
    <t xml:space="preserve"> - Definisikan dan integrasikan standar minimum autentikasi API ke dalam BRD — buat standar yang mewajibkan penggunaan mekanisme autentikasi kuat seperti OAuth2, API key management, atau token-based authentication untuk setiap integrasi API pihak ketiga; jadikan sebagai komponen wajib yang harus terdefinisi sebelum BRD dapat disetujui
 - Tambahkan skenario pengujian keamanan endpoint ke dalam standar test case QA — definisikan skenario wajib yang memverifikasi bahwa tidak ada endpoint yang dapat diakses publik tanpa autentikasi yang memadai, mencakup pengujian akses tanpa token, token tidak valid, dan token kadaluarsa
 - Lakukan security review retroaktif terhadap seluruh endpoint API production — identifikasi endpoint yang terbuka tanpa autentikasi memadai, blokir sementara yang berisiko tinggi, dan koordinasikan dengan vendor pihak ketiga untuk implementasi autentikasi sesuai standar yang ditetapkan
 - Selenggarakan pelatihan keamanan API untuk BA dan QA — program pelatihan mencakup standar keamanan API (OWASP API Security Top 10), teknik mendefinisikan autentikasi requirement yang kuat, dan metode pengujian keamanan endpoint yang komprehensif</t>
  </si>
  <si>
    <r>
      <t xml:space="preserve">Inkonsistensi data antar fase pengembangan, hilangnya traceability requirement, dan potensi pengembangan fitur yang tidak selaras dengan requirement terkini berpotensi terjadi — akibat </t>
    </r>
    <r>
      <rPr>
        <b/>
        <sz val="10"/>
        <color theme="1"/>
        <rFont val="Montserrat"/>
      </rPr>
      <t>fragmentasi tools</t>
    </r>
    <r>
      <rPr>
        <sz val="10"/>
        <color theme="1"/>
        <rFont val="Montserrat"/>
      </rPr>
      <t xml:space="preserve"> antar BA, QA, dan Developer yang tidak terintegrasi dan mengandalkan sinkronisasi manual</t>
    </r>
  </si>
  <si>
    <t>Tidak adanya integrasi teknologi antar tools yang digunakan pada masing-masing fase SDLC; keterbatasan lisensi yang menghambat adopsi platform terintegrasi secara menyeluruh; sinkronisasi data antar fase bergantung sepenuhnya pada inisiatif manual individu tanpa mekanisme otomatis</t>
  </si>
  <si>
    <t>Perubahan requirement tidak otomatis tercermin di test case dan backlog development; traceability antara BRD, test case, dan implementasi tidak dapat diverifikasi secara real-time; potensi pengembangan fitur berdasarkan versi requirement yang sudah tidak relevan; pemborosan sumber daya akibat rework yang disebabkan inkonsistensi data antar fase</t>
  </si>
  <si>
    <t>Pengembangan fitur berdasarkan requirement yang sudah kadaluarsa; test case yang tidak mencerminkan requirement terkini; kegagalan audit kualitas akibat tidak dapat diverifikasinya traceability antar dokumen; akumulasi inkonsistensi yang sulit dideteksi hingga tahap UAT atau production</t>
  </si>
  <si>
    <t>Tidak ada integrasi antar tools yang memungkinkan perubahan di satu fase otomatis terefleksi di fase lain; traceability hanya dapat dilakukan secara manual melalui penelusuran dokumen di SharePoint; tidak ada standar penamaan dan versioning dokumen yang memastikan konsistensi referensi antar tim</t>
  </si>
  <si>
    <t>Seluruh tools yang digunakan dalam proses pengembangan telah tersedia dan dokumen yang dihasilkan disimpan secara terpusat dalam folder SharePoint sebagai repositori dokumen bersama; namun belum terdapat mekanisme integrasi yang menghubungkan antar tools sehingga sinkronisasi data antar fase masih dilakukan secara manual</t>
  </si>
  <si>
    <t>A.5.37 – Prosedur operasi yang terdokumentasi; 
A.8.25 – Siklus hidup pengembangan yang aman</t>
  </si>
  <si>
    <r>
      <rPr>
        <b/>
        <sz val="10"/>
        <color theme="1"/>
        <rFont val="Montserrat"/>
      </rPr>
      <t>Sedang</t>
    </r>
    <r>
      <rPr>
        <sz val="10"/>
        <color theme="1"/>
        <rFont val="Montserrat"/>
      </rPr>
      <t xml:space="preserve"> — perusahaan dapat mentolerir keterbatasan integrasi tools dalam jangka pendek selama dokumen tersimpan terpusat di SharePoint, namun tidak bersedia membiarkan kondisi fragmentasi berlanjut tanpa standar sinkronisasi yang memastikan konsistensi data antar fase</t>
    </r>
  </si>
  <si>
    <t>Sedang — perusahaan masih dapat beroperasi selama nilai risiko residual ≤ 6; jika residual masih &gt;6, wajib eskalasi ke manajemen. 
Sebagai syarat minimum toleransi, organisasi wajib memastikan telah tersedia: (1) standar penamaan, versioning, dan struktur folder dokumen di SharePoint yang seragam dan dipatuhi seluruh tim, dan (2) prosedur sinkronisasi manual yang terdokumentasi dan wajib dijalankan setiap kali terjadi perubahan requirement yang berdampak pada test case dan backlog development</t>
  </si>
  <si>
    <t xml:space="preserve"> Lakukan audit konsistensi dokumen pada project yang sedang berjalan untuk mengidentifikasi gap antara requirement, test case, dan backlog development; sinkronisasi manual seluruh dokumen yang teridentifikasi tidak konsisten; komunikasikan temuan kepada seluruh tim untuk tindakan korektif segera</t>
  </si>
  <si>
    <t>Tetapkan standar penamaan, versioning, dan prosedur sinkronisasi dokumen yang seragam; evaluasi opsi integrasi tools yang tersedia dalam keterbatasan lisensi; optimalkan penggunaan SharePoint sebagai platform kolaborasi yang lebih terstruktur</t>
  </si>
  <si>
    <t>Personel Business Analyst berkoordinasi dengan Personel IT Governance</t>
  </si>
  <si>
    <t>SharePoint sudah berjalan sebagai repositori terpusat namun tidak ada standar penamaan, versioning, dan prosedur sinkronisasi yang memastikan konsistensi data antar fase, risiko belum mengalami penurunan, status In Progress dan menjadi prioritas untuk segera ditetapkan standar dokumentasi dan prosedur sinkronisasi sebagai kontrol minimum</t>
  </si>
  <si>
    <t xml:space="preserve"> - Tetapkan standar penamaan, versioning, dan struktur folder dokumen di SharePoint — susun konvensi yang seragam dan mengikat untuk seluruh tim mencakup format nama file, nomor versi, dan hierarki folder per project agar traceability antar dokumen dapat dilakukan secara konsisten
 - Susun dan sosialisasikan prosedur sinkronisasi manual antar tools — dokumentasikan prosedur wajib yang harus dijalankan setiap kali terjadi perubahan requirement, mencakup langkah pembaruan test case di Excel dan backlog di Jira secara terkoordinasi untuk memastikan konsistensi data antar fase
 - Evaluasi dan optimalkan integrasi tools dalam keterbatasan lisensi — kaji opsi integrasi yang tersedia seperti pemanfaatan fitur SharePoint Lists sebagai pengganti Excel untuk test case, atau eksplorasi plugin Jira yang memungkinkan import dari dokumen Word/Excel tanpa biaya lisensi tambahan
 - Implementasi requirement traceability matrix berbasis SharePoint — buat template traceability matrix terpusat di SharePoint yang menghubungkan requirement BRD, test case QA, dan backlog Jira secara manual namun terstruktur sebagai jembatan antar tools hingga integrasi teknologi dapat diwujudkan</t>
  </si>
  <si>
    <r>
      <t xml:space="preserve">Degradasi kapabilitas keamanan IT secara bertahap berpotensi terjadi akibat </t>
    </r>
    <r>
      <rPr>
        <b/>
        <sz val="10"/>
        <color theme="1"/>
        <rFont val="Montserrat"/>
      </rPr>
      <t>akumulasi gap tools kadaluarsa dan keterbatasan personil ahli</t>
    </r>
    <r>
      <rPr>
        <sz val="10"/>
        <color theme="1"/>
        <rFont val="Montserrat"/>
      </rPr>
      <t xml:space="preserve"> — akibat tidak terpenuhinya seluruh kebutuhan anggaran keamanan IT secara konsisten karena mekanisme persetujuan berbasis prioritas tanpa kerangka justifikasi risiko yang memadai</t>
    </r>
  </si>
  <si>
    <t>Mekanisme persetujuan anggaran berbasis prioritas yang tidak selalu mengakomodasi seluruh kebutuhan keamanan IT; tidak adanya kerangka justifikasi investasi keamanan berbasis risiko yang dapat meyakinkan pengambil keputusan; persepsi IT Security sebagai cost center yang tidak menghasilkan nilai bisnis langsung; tidak adanya mekanisme eskalasi formal ketika anggaran keamanan yang disetujui di bawah kebutuhan minimum</t>
  </si>
  <si>
    <t>Akumulasi tools keamanan yang kadaluarsa dan tidak mendapat pembaruan; keterbatasan personil ahli keamanan yang berdampak pada kapabilitas deteksi dan respons insiden; peningkatan eksposur risiko keamanan yang tidak tertangani akibat gap kapasitas; potensi pelanggaran kepatuhan regulasi akibat tidak terpenuhinya standar minimum keamanan</t>
  </si>
  <si>
    <t>Eksploitasi celah keamanan yang tidak tertangani akibat tools kadaluarsa; insiden keamanan yang tidak terdeteksi akibat understaffed tim keamanan; kegagalan audit regulasi akibat tidak terpenuhinya standar minimum investasi keamanan; degradasi postur keamanan organisasi yang bersifat gradual dan sulit terdeteksi</t>
  </si>
  <si>
    <t>Tidak ada kerangka justifikasi investasi keamanan berbasis risiko yang terdokumentasi; anggaran keamanan bersaing dengan kebutuhan operasional lain tanpa mekanisme proteksi minimum; tidak ada threshold minimum anggaran keamanan yang ditetapkan sebagai kebijakan organisasi</t>
  </si>
  <si>
    <t>Proses pengajuan anggaran IT telah dilaksanakan secara terstruktur di awal tahun dengan monitoring realisasi bulanan; setiap inisiatif strategis IT telah dialignkan dengan justifikasi investasi dan eksplorasi alternatif open-source sebagai opsi efisiensi biaya; namun persetujuan anggaran dilakukan berdasarkan skala prioritas sehingga tidak seluruh kebutuhan keamanan IT dapat terpenuhi dalam satu siklus anggaran</t>
  </si>
  <si>
    <t>5.1 – Kepemimpinan dan komitmen; 
7.1 – Sumber daya; 
6.2 – Tujuan keamanan informasi</t>
  </si>
  <si>
    <t>A.5.1 – Kebijakan keamanan informasi; 
A.5.4 – Tanggung jawab manajemen; 
A.6.3 – Kesadaran, pendidikan dan pelatihan keamanan informasi</t>
  </si>
  <si>
    <r>
      <rPr>
        <b/>
        <sz val="10"/>
        <color theme="1"/>
        <rFont val="Montserrat"/>
      </rPr>
      <t>Rendah</t>
    </r>
    <r>
      <rPr>
        <sz val="10"/>
        <color theme="1"/>
        <rFont val="Montserrat"/>
      </rPr>
      <t xml:space="preserve"> — perusahaan tidak bersedia membiarkan kapabilitas keamanan IT terdegradasi akibat gap anggaran yang tidak terkelola, mengingat dampak kumulatifnya pada postur keamanan organisasi, pemenuhan kewajiban regulasi, dan keberlangsungan operasional bisnis</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</si>
  <si>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kerangka justifikasi investasi keamanan berbasis risiko yang terdokumentasi dan digunakan dalam setiap pengajuan anggaran, dan (2) mekanisme eskalasi formal yang terdefinisi ketika anggaran keamanan yang disetujui berada di bawah threshold kebutuhan minimum</t>
    </r>
  </si>
  <si>
    <t>Lakukan inventarisasi segera terhadap tools keamanan yang kadaluarsa dan gap personil yang sudah terjadi; susun remediation plan darurat berbasis prioritas risiko; ajukan anggaran tambahan dengan justifikasi berbasis dampak insiden yang berpotensi terjadi; eskalasi kondisi kepada manajemen senior sebagai dasar pengambilan keputusan</t>
  </si>
  <si>
    <t>Susun kerangka justifikasi investasi keamanan berbasis risiko untuk mendukung pengajuan anggaran; tetapkan threshold minimum anggaran keamanan sebagai kebijakan organisasi; implementasi mekanisme eskalasi formal ketika anggaran yang disetujui di bawah kebutuhan minimum</t>
  </si>
  <si>
    <t>Pengajuan anggaran terstruktur, monitoring bulanan, dan alignmen strategic plan sudah berjalan sebagai kontrol yang memadai, namun tidak adanya kerangka justifikasi berbasis risiko dan mekanisme eskalasi formal membuat kebutuhan minimum keamanan rentan tidak terpenuhi, risiko belum mengalami penurunan signifikan, status In Progress dan menjadi prioritas untuk segera disusun kerangka justifikasi berbasis risiko sebelum siklus pengajuan anggaran berikutnya</t>
  </si>
  <si>
    <t xml:space="preserve"> - Susun kerangka justifikasi investasi keamanan berbasis risiko — buat dokumen yang mengkuantifikasi potensi kerugian finansial, reputasi, dan kepatuhan regulasi jika kebutuhan keamanan tidak terpenuhi; gunakan sebagai materi pendukung wajib dalam setiap pengajuan anggaran keamanan IT kepada manajemen senior dan Direksi
 - Tetapkan threshold minimum anggaran keamanan dan mekanisme eskalasi formal — definisikan batas minimum anggaran keamanan IT sebagai kebijakan organisasi; tetapkan prosedur eskalasi formal kepada manajemen senior jika anggaran yang disetujui berada di bawah threshold minimum, agar gap dapat ditindaklanjuti sebelum berdampak pada kapabilitas keamanan
 - Lakukan inventarisasi tools kadaluarsa dan gap personil keamanan — identifikasi seluruh tools keamanan yang sudah melewati batas dukungan vendor dan personil yang dibutuhkan namun belum tersedia; susun roadmap pemenuhan bertahap berdasarkan prioritas risiko sebagai dasar pengajuan anggaran berikutnya
 - Bangun narasi IT Security sebagai investasi strategis — susun materi komunikasi yang menjelaskan nilai bisnis investasi keamanan kepada Direksi dalam bahasa bisnis (ROI keamanan, cost of breach, perbandingan biaya pencegahan vs pemulihan); integrasikan ke dalam forum pelaporan manajemen secara berkala</t>
  </si>
  <si>
    <t>Tidak adanya prosedur formal evaluasi ROI yang mengukur relevansi dan nilai bisnis project secara berkala; tidak ada pihak yang memiliki kewenangan terdelegasi secara formal untuk membuat keputusan penghentian project; pendekatan perubahan requirement sebagai solusi default ketika project sudah tidak relevan memperpanjang masa hidup project tanpa nilai tambah yang jelas</t>
  </si>
  <si>
    <t>Pemborosan anggaran IT pada project yang tidak menghasilkan nilai bisnis yang terukur; opportunity cost berupa inisiatif strategis yang lebih relevan tidak dapat didanai karena anggaran terserap project zombie; demoralisasi tim akibat mengerjakan project yang diketahui tidak relevan; distorsi portfolio IT yang mempersulit perencanaan strategis</t>
  </si>
  <si>
    <t>Akumulasi project zombie yang menguras anggaran dan sumber daya IT; ketidakmampuan mengalokasikan sumber daya untuk inisiatif strategis yang lebih bernilai; kegagalan delivery value IT kepada bisnis yang menurunkan kepercayaan Direksi terhadap fungsi IT</t>
  </si>
  <si>
    <t>Tidak ada prosedur evaluasi ROI berkala yang mengukur relevansi project terhadap tujuan bisnis; tidak ada mekanisme dan kewenangan formal untuk menghentikan project; pendekatan ganti requirement sebagai jalan keluar default memperpanjang project tanpa justifikasi nilai bisnis yang jelas</t>
  </si>
  <si>
    <t>Mekanisme demand management telah diterapkan untuk mengatur prioritas dan penyelarasan inisiatif project dengan tujuan bisnis; forum BOM Meeting telah berjalan secara berkala sebagai mekanisme pemantauan progress project; namun belum terdapat prosedur formal evaluasi ROI dan mekanisme pengambilan keputusan penghentian project yang didelegasikan secara jelas</t>
  </si>
  <si>
    <t>5.1 – Kepemimpinan dan komitmen; 
6.2 – Tujuan keamanan informasi; 
9.1 – Pemantauan, pengukuran, analisis dan evaluasi</t>
  </si>
  <si>
    <t>A.5.4 – Tanggung jawab manajemen; 
A.5.1 – Kebijakan keamanan informasi</t>
  </si>
  <si>
    <r>
      <rPr>
        <b/>
        <sz val="10"/>
        <color theme="1"/>
        <rFont val="Montserrat"/>
      </rPr>
      <t>Sedang</t>
    </r>
    <r>
      <rPr>
        <sz val="10"/>
        <color theme="1"/>
        <rFont val="Montserrat"/>
      </rPr>
      <t xml:space="preserve"> — perusahaan dapat mentolerir keterbatasan mekanisme evaluasi ROI dalam jangka pendek selama demand management dan BOM meeting masih berjalan efektif, namun tidak bersedia membiarkan project yang sudah tidak relevan terus berjalan tanpa mekanisme evaluasi dan keputusan formal</t>
    </r>
  </si>
  <si>
    <r>
      <rPr>
        <b/>
        <sz val="10"/>
        <color theme="1"/>
        <rFont val="Montserrat"/>
      </rPr>
      <t>Rendah</t>
    </r>
    <r>
      <rPr>
        <sz val="10"/>
        <color theme="1"/>
        <rFont val="Montserrat"/>
      </rPr>
      <t xml:space="preserve"> — perusahaan masih dapat beroperasi selama nilai risiko residual ≤ 4; jika residual masih &gt;4, wajib eskalasi ke manajemen senior. 
Sebagai syarat minimum toleransi, organisasi wajib memastikan telah tersedia: (1) prosedur formal evaluasi ROI yang terintegrasi dalam agenda BOM Meeting sebagai mekanisme review berkala, dan (2) pendelegasian kewenangan formal kepada pihak yang berwenang untuk membuat keputusan penghentian project yang terdokumentasi dalam kebijakan tata kelola IT</t>
    </r>
  </si>
  <si>
    <t>Lakukan review segera terhadap project yang terindikasi zombie; sajikan asesmen ROI kepada BOM Meeting untuk pengambilan keputusan; dokumentasikan justifikasi keputusan penghentian atau kelanjutan project secara formal; realokasikan anggaran dan sumber daya yang dibebaskan kepada inisiatif yang lebih bernilai</t>
  </si>
  <si>
    <t>Integrasikan prosedur evaluasi ROI berkala ke dalam agenda BOM Meeting; tetapkan dan delegasikan kewenangan formal penghentian project kepada pihak yang berwenang; definisikan kriteria objektif yang memicu evaluasi ulang relevansi project</t>
  </si>
  <si>
    <t>Demand management dan BOM meeting sudah berjalan sebagai kontrol monitoring yang memadai, namun tidak adanya prosedur evaluasi ROI formal dan kewenangan penghentian project yang terdelegasi membuat pemborosan anggaran pada project tidak relevan berpotensi berlanjut, risiko berada pada level Rendah dan terkendali namun tetap perlu ditindaklanjuti, status In Progress</t>
  </si>
  <si>
    <t xml:space="preserve"> - Susun dan integrasikan prosedur evaluasi ROI ke dalam agenda BOM Meeting — definisikan kriteria objektif penilaian ROI project (realisasi manfaat vs target, relevansi terhadap tujuan bisnis terkini, burn rate vs progress) yang direviewed secara berkala dalam forum BOM sebagai mekanisme early detection project zombie
 - Tetapkan dan delegasikan kewenangan formal penghentian project — dokumentasikan dalam kebijakan tata kelola IT siapa yang berwenang membuat keputusan penghentian project, kriteria yang memicu keputusan tersebut, dan prosedur realokasi anggaran serta sumber daya yang dibebaskan
 - Lakukan review ROI terhadap project yang terindikasi zombie — asesmen segera terhadap 1-2 project yang diidentifikasi sudah tidak relevan; sajikan hasil kepada BOM Meeting untuk keputusan formal kelanjutan atau penghentian berdasarkan justifikasi nilai bisnis yang terukur
 - Definisikan kriteria change requirement yang memicu evaluasi ulang relevansi project — tetapkan threshold perubahan requirement yang jika terlampaui mewajibkan evaluasi ROI ulang sebelum project dapat dilanjutkan, untuk mencegah pendekatan ganti requirement sebagai jalan pintas menghindari keputusan penghentian</t>
  </si>
  <si>
    <t>Marcell Wijaya</t>
  </si>
  <si>
    <t>Endiaz L. Arsanto</t>
  </si>
  <si>
    <t>Andy Arvid</t>
  </si>
  <si>
    <t>Jonatha Nugroho</t>
  </si>
  <si>
    <t>Barnas Danu</t>
  </si>
  <si>
    <t>IT DevSecOps</t>
  </si>
  <si>
    <t>IT Operation</t>
  </si>
  <si>
    <t>IT App Development</t>
  </si>
  <si>
    <t>Budi Candra</t>
  </si>
  <si>
    <t>Iman Subarkah</t>
  </si>
  <si>
    <t>Rangky Yudhitama</t>
  </si>
  <si>
    <t>Bona T. Munthe</t>
  </si>
  <si>
    <t>IT Business Analyst &amp; QA</t>
  </si>
  <si>
    <t>A.5.37 – Prosedur operasi yang terdokumentasi; 
A.6.3 – Kesadaran, pendidikan dan pelatihan keamanan informasi</t>
  </si>
  <si>
    <r>
      <t xml:space="preserve">Ketidakmampuan membuktikan nilai bisnis fungsi IT dan potensi mis-alokasi sumber daya berpotensi terjadi — akibat metrik kinerja IT yang berfokus pada aktivitas operasional tanpa keterkaitan terukur terhadap dampak bisnis, tidak adanya </t>
    </r>
    <r>
      <rPr>
        <b/>
        <sz val="10"/>
        <color theme="1"/>
        <rFont val="Montserrat"/>
      </rPr>
      <t>monitoring KPI berkala</t>
    </r>
    <r>
      <rPr>
        <sz val="10"/>
        <color theme="1"/>
        <rFont val="Montserrat"/>
      </rPr>
      <t>, dan tidak adanya konsekuensi formal atas pencapaian KPI</t>
    </r>
  </si>
  <si>
    <t>Matriks KPI IT belum mendefinisikan hubungan antara kinerja operasional IT dengan dampak bisnis yang terukur; tidak adanya tools monitoring yang memungkinkan pemantauan progres KPI secara berkala; KPI hanya dievaluasi pada akhir tahun tanpa review interim yang memungkinkan tindakan korektif; tidak adanya mekanisme reward dan punishment yang mengaitkan pencapaian KPI dengan konsekuensi formal</t>
  </si>
  <si>
    <t>Kinerja IT tidak dapat dikomunikasikan dalam bahasa bisnis kepada manajemen senior; mis-alokasi sumber daya akibat prioritas yang tidak didasarkan pada metrik nilai bisnis yang terukur; potensi penurunan kepercayaan Direksi terhadap fungsi IT; ketidakmampuan mendemonstrasikan ROI investasi IT secara kuantitatif</t>
  </si>
  <si>
    <t>Penurunan kepercayaan manajemen senior terhadap nilai strategis fungsi IT; pemotongan anggaran IT akibat tidak dapat dibuktikannya kontribusi bisnis; mis-alokasi prioritas sumber daya IT yang tidak selaras dengan kebutuhan bisnis aktual</t>
  </si>
  <si>
    <t>Matriks KPI tidak menghubungkan kinerja IT dengan dampak bisnis yang terukur; tidak ada tools dan mekanisme monitoring KPI berkala; tidak ada konsekuensi formal atas pencapaian atau kegagalan KPI; review KPI hanya dilakukan saat penilaian akhir tahun</t>
  </si>
  <si>
    <t>Siklus penilaian KPI tahunan telah berjalan sebagai mekanisme evaluasi kinerja IT; alignment strategis IT dengan tujuan organisasi telah tersedia sebagai kerangka acuan; namun review KPI belum dilaksanakan secara menyeluruh dan berkala, matriks pengukuran yang menghubungkan kinerja IT dengan dampak bisnis belum terdefinisi, dan belum tersedia tools monitoring yang memungkinkan pemantauan progres KPI secara real-time</t>
  </si>
  <si>
    <t>9.1 – Pemantauan, pengukuran, analisis dan evaluasi; 
6.2 – Tujuan keamanan informasi; 
5.1 – Kepemimpinan dan komitmen</t>
  </si>
  <si>
    <r>
      <rPr>
        <b/>
        <sz val="10"/>
        <color theme="1"/>
        <rFont val="Montserrat"/>
      </rPr>
      <t>Sedang</t>
    </r>
    <r>
      <rPr>
        <sz val="10"/>
        <color theme="1"/>
        <rFont val="Montserrat"/>
      </rPr>
      <t xml:space="preserve"> — perusahaan dapat mentolerir keterbatasan metrik KPI dalam jangka pendek selama siklus penilaian tahunan masih berjalan, namun tidak bersedia membiarkan kinerja IT terus diukur tanpa keterkaitan yang terukur terhadap dampak bisnis mengingat implikasinya pada alokasi anggaran dan kepercayaan manajemen</t>
    </r>
  </si>
  <si>
    <t>Sedang — perusahaan masih dapat beroperasi selama nilai risiko residual ≤ 6; jika residual masih &gt;6, wajib eskalasi ke manajemen senior. 
Sebagai syarat minimum toleransi, organisasi wajib memastikan telah tersedia: (1) matriks KPI yang mendefinisikan hubungan antara kinerja operasional IT dengan dampak bisnis yang terukur secara kuantitatif, dan (2) mekanisme review KPI berkala yang terjadwal minimal triwulanan sebagai dasar tindakan korektif sebelum penilaian akhir tahun</t>
  </si>
  <si>
    <t>Lakukan review segera terhadap seluruh KPI IT yang berjalan untuk mengidentifikasi metrik yang tidak mencerminkan nilai bisnis; sajikan temuan kepada manajemen senior dengan rekomendasi perbaikan matriks KPI; susun dashboard interim berbasis data yang tersedia sebagai bukti kinerja IT sementara matriks baru dikembangkan</t>
  </si>
  <si>
    <t>Redefinisi matriks KPI IT untuk menghubungkan kinerja operasional dengan dampak bisnis yang terukur; implementasi mekanisme monitoring KPI berkala; tetapkan konsekuensi formal yang mengaitkan pencapaian KPI dengan evaluasi kinerja</t>
  </si>
  <si>
    <t>Siklus KPI tahunan dan alignment strategis IT sudah berjalan namun matriks tidak menghubungkan kinerja IT dengan dampak bisnis dan monitoring hanya dilakukan saat penilaian akhir tahun, risiko belum mengalami penurunan, status In Progress dan menjadi prioritas untuk segera dilakukan redefinisi matriks KPI berbasis nilai bisnis dan implementasi monitoring berkala</t>
  </si>
  <si>
    <t xml:space="preserve"> - Redefinisi matriks KPI IT berbasis dampak bisnis — susun ulang seluruh metrik KPI IT untuk menghubungkan kinerja operasional dengan dampak bisnis yang terukur secara kuantitatif; contoh transformasi metrik: dari "jumlah tiket ditutup" menjadi "persentase gangguan layanan yang diselesaikan sebelum berdampak pada transaksi nasabah"
 - Implementasi mekanisme review KPI berkala minimal triwulanan — tetapkan jadwal review KPI interim yang terdokumentasi dalam kalender manajemen; gunakan hasil review sebagai dasar tindakan korektif sebelum penilaian akhir tahun sehingga gap kinerja dapat ditangani lebih awal
 - Implementasi tools monitoring KPI — deploy dashboard monitoring KPI yang memungkinkan pemantauan progres secara real-time oleh CTIO dan manajemen senior; manfaatkan tools yang sudah tersedia seperti Power BI atau SharePoint dashboard sebelum mempertimbangkan investasi tools baru
 - Tetapkan mekanisme konsekuensi formal atas pencapaian KPI — definisikan reward dan punishment yang mengaitkan pencapaian KPI IT dengan evaluasi kinerja individu dan tim secara formal dalam sistem manajemen kinerja organisasi</t>
  </si>
  <si>
    <r>
      <t xml:space="preserve">Ambiguitas tanggung jawab yang mengakibatkan gap eksekusi, tumpang tindih pekerjaan, dan kegagalan delivery project transformasi digital berpotensi terjadi — akibat tidak meratanya penerapan </t>
    </r>
    <r>
      <rPr>
        <b/>
        <sz val="10"/>
        <color theme="1"/>
        <rFont val="Montserrat"/>
      </rPr>
      <t xml:space="preserve">RACI Matrix </t>
    </r>
    <r>
      <rPr>
        <sz val="10"/>
        <color theme="1"/>
        <rFont val="Montserrat"/>
      </rPr>
      <t>antar departemen dan tidak adanya mekanisme pembaruan saat terjadi perubahan personil</t>
    </r>
  </si>
  <si>
    <t>Penerapan RACI Matrix tidak merata antar departemen; tidak adanya mekanisme review berkala dan pembaruan RACI yang dipicu oleh perubahan personil; rendahnya awareness terhadap pentingnya pembagian peran dan tanggung jawab yang jelas; tidak adanya kebijakan yang mewajibkan penyusunan dan pemeliharaan RACI sebagai standar tata kelola project</t>
  </si>
  <si>
    <t>Ambiguitas tanggung jawab yang mengakibatkan gap eksekusi pada project transformasi digital; tumpang tindih pekerjaan antar departemen yang memboroskan sumber daya; eskalasi konflik antar tim akibat ketidakjelasan peran; kegagalan delivery project akibat tidak ada pihak yang merasa bertanggung jawab atas deliverable tertentu</t>
  </si>
  <si>
    <t>Gap eksekusi pada project kritis akibat tidak ada yang merasa Responsible; keputusan yang tidak dapat diambil karena Accountable tidak terdefinisi; informasi tidak mengalir dengan benar karena Informed tidak terdefinisi; kegagalan koordinasi lintas departemen pada project transformasi digital</t>
  </si>
  <si>
    <t>RACI Matrix tidak tersedia di semua departemen; RACI yang ada tidak diperbarui saat terjadi perubahan personil sehingga sudah tidak relevan; tidak ada kebijakan yang mewajibkan penyusunan dan pemeliharaan RACI; awareness pembagian tugas yang rendah di seluruh level organisasi</t>
  </si>
  <si>
    <t>Dokumen RACI Matrix telah tersedia pada sebagian departemen sebagai acuan pembagian peran dan tanggung jawab; namun belum terdapat mekanisme review berkala maupun prosedur pembaruan RACI yang dipicu oleh perubahan personil seperti mutasi, pengunduran diri, atau penambahan karyawan baru, sehingga relevansi dan akurasi dokumen yang ada tidak dapat dijamin</t>
  </si>
  <si>
    <t>5.3 – Peran, tanggung jawab, dan wewenang organisasi; 
7.5 – Informasi terdokumentasi; 
8.1 – Perencanaan dan pengendalian operasional</t>
  </si>
  <si>
    <r>
      <rPr>
        <b/>
        <sz val="10"/>
        <color theme="1"/>
        <rFont val="Montserrat"/>
      </rPr>
      <t>Sedang</t>
    </r>
    <r>
      <rPr>
        <sz val="10"/>
        <color theme="1"/>
        <rFont val="Montserrat"/>
      </rPr>
      <t xml:space="preserve"> — perusahaan dapat mentolerir ketidaklengkapan RACI dalam jangka pendek selama dokumen yang ada masih memberikan panduan pembagian tugas dasar, namun tidak bersedia membiarkan ambiguitas tanggung jawab berlanjut pada project transformasi digital yang bersifat lintas departemen dan bernilai strategis</t>
    </r>
  </si>
  <si>
    <t>Sedang — perusahaan masih dapat beroperasi selama nilai risiko residual ≤ 6; jika residual masih &gt;6, wajib eskalasi ke manajemen. 
Sebagai syarat minimum toleransi, organisasi wajib memastikan telah tersedia: (1) RACI Matrix yang telah disusun dan berlaku untuk seluruh departemen yang terlibat dalam project transformasi digital, dan (2) prosedur pembaruan RACI yang terdokumentasi dan wajib dijalankan setiap kali terjadi perubahan personil</t>
  </si>
  <si>
    <t>(1) Lakukan sesi klarifikasi peran darurat dengan seluruh pemangku kepentingan project yang terdampak untuk menetapkan pembagian tanggung jawab sementara agar eksekusi project tidak terhenti; (2) identifikasi seluruh deliverable yang mengalami gap eksekusi atau tumpang tindih akibat ketidakjelasan RACI dan catat kerugian waktu serta sumber daya yang sudah terjadi; (3) tetapkan PIC sementara untuk setiap deliverable yang tidak bertuan dan pastikan project dapat dilanjutkan dengan pembagian peran yang disepakati secara informal hingga RACI formal tersusun; (4) eskalasi kondisi kepada manajemen senior dan dokumentasikan seluruh gap yang teridentifikasi sebagai dasar perbaikan RACI secara permanen</t>
  </si>
  <si>
    <t>Lengkapi RACI Matrix untuk seluruh departemen yang belum memiliki; tetapkan prosedur pembaruan RACI yang dipicu oleh perubahan personil; implementasi review berkala untuk memastikan relevansi dokumen</t>
  </si>
  <si>
    <t>RACI Matrix sudah tersedia di sebagian departemen namun tidak merata dan tidak diperbarui saat terjadi perubahan personil, ambiguitas tanggung jawab masih berpotensi terjadi terutama pada project lintas departemen, risiko belum mengalami penurunan, status In Progress dan menjadi prioritas untuk segera dilengkapi RACI seluruh departemen dan ditetapkan prosedur pembaruan berbasis perubahan personil</t>
  </si>
  <si>
    <t>Personel IT Governance berkoordinasi dengan Personel CTIO dan seluruh kepala departemen terkait</t>
  </si>
  <si>
    <t xml:space="preserve"> - Lengkapi RACI Matrix untuk seluruh departemen yang belum memiliki — inventarisasi departemen tanpa RACI, fasilitasi sesi penyusunan bersama kepala departemen terkait, dan standardisasi format RACI yang berlaku seragam di seluruh organisasi
 - Tetapkan prosedur pembaruan RACI berbasis perubahan personil — dokumentasikan prosedur yang mewajibkan review dan pembaruan RACI setiap kali terjadi mutasi, pengunduran diri, atau penambahan karyawan baru; integrasikan ke dalam proses onboarding dan offboarding personil IT
 - Implementasi review berkala RACI Matrix — jadwalkan review kesesuaian RACI minimal semesteran untuk memastikan dokumen tetap relevan terhadap kondisi organisasi dan perkembangan project yang berjalan
 - Selenggarakan sosialisasi awareness RACI kepada seluruh departemen — edukasi seluruh personil mengenai pentingnya pembagian peran yang jelas, cara membaca dan menggunakan RACI dalam koordinasi kerja sehari-hari, dan konsekuensi ambiguitas tanggung jawab pada project lintas departemen</t>
  </si>
  <si>
    <r>
      <t xml:space="preserve">Pelanggaran hak privasi nasabah dan eksposur terhadap sanksi regulasi perlindungan data berpotensi terjadi tanpa dapat terdeteksi — akibat tidak adanya </t>
    </r>
    <r>
      <rPr>
        <b/>
        <sz val="10"/>
        <color theme="1"/>
        <rFont val="Montserrat"/>
      </rPr>
      <t>AI Governance</t>
    </r>
    <r>
      <rPr>
        <sz val="10"/>
        <color theme="1"/>
        <rFont val="Montserrat"/>
      </rPr>
      <t xml:space="preserve">, </t>
    </r>
    <r>
      <rPr>
        <b/>
        <sz val="10"/>
        <color theme="1"/>
        <rFont val="Montserrat"/>
      </rPr>
      <t>klasifikasi data</t>
    </r>
    <r>
      <rPr>
        <sz val="10"/>
        <color theme="1"/>
        <rFont val="Montserrat"/>
      </rPr>
      <t>, penetapan data owner, dan prosedur perolehan persetujuan eksplisit yang mengatur penggunaan data historis klaim medis nasabah dalam pelatihan model AI</t>
    </r>
  </si>
  <si>
    <t>Tidak adanya kebijakan AI Governance yang mengatur syarat dan batasan penggunaan data nasabah untuk pelatihan model AI; tidak adanya klasifikasi data yang membedakan data yang boleh dan tidak boleh digunakan dalam eksperimen AI; tidak ada data owner yang bertanggung jawab atas penggunaan dataset; rendahnya awareness tim Data Analytics terhadap kewajiban persetujuan eksplisit subjek data sesuai UU PDP</t>
  </si>
  <si>
    <t>Pelanggaran hak privasi nasabah atas penggunaan data medis sensitif tanpa persetujuan eksplisit; sanksi administratif dari regulator akibat pelanggaran UU PDP dan ketentuan perlindungan data; tuntutan hukum dari nasabah atas penyalahgunaan data klaim medis; kerusakan reputasi perusahaan di mata nasabah, mitra bisnis, dan regulator</t>
  </si>
  <si>
    <t>Tuntutan hukum dari nasabah atas penggunaan data tanpa persetujuan; sanksi administratif dan denda dari regulator; audit regulasi yang mengungkap pelanggaran penggunaan data; kebocoran informasi sensitif klaim medis melalui model AI yang tidak terlindungi</t>
  </si>
  <si>
    <t>Tidak ada AI Governance yang mengatur penggunaan data untuk pelatihan model; tidak ada klasifikasi data yang menandai data sensitif yang memerlukan persetujuan khusus; tidak ada data owner yang bertanggung jawab atas akses dan penggunaan dataset; tidak ada mekanisme pencatatan dan audit trail penggunaan data untuk keperluan AI</t>
  </si>
  <si>
    <t>Belum terdapat pengendalian formal yang diterapkan. Kebijakan AI Governance, mekanisme klasifikasi data, penetapan data owner, dan prosedur perolehan persetujuan eksplisit dari subjek data untuk keperluan pelatihan model kecerdasan buatan belum tersedia, sehingga penggunaan data historis nasabah dalam eksperimen AI tidak dapat dipantau maupun dikendalikan</t>
  </si>
  <si>
    <t>A.5.34 – Privasi dan perlindungan informasi pribadi; 
A.5.32 – Hak kekayaan intelektual; 
A.5.15 – Manajemen akses; 
A.8.25 – Siklus hidup pengembangan yang aman</t>
  </si>
  <si>
    <r>
      <rPr>
        <b/>
        <sz val="10"/>
        <color theme="1"/>
        <rFont val="Montserrat"/>
      </rPr>
      <t>Rendah</t>
    </r>
    <r>
      <rPr>
        <sz val="10"/>
        <color theme="1"/>
        <rFont val="Montserrat"/>
      </rPr>
      <t xml:space="preserve"> — perusahaan tidak bersedia menanggung risiko penggunaan data klaim medis nasabah tanpa persetujuan eksplisit mengingat sensitivitas data yang sangat tinggi, kewajiban UU PDP yang bersifat mandatory, dan dampak reputasi yang tidak dapat dipulihkan jika terekspos</t>
    </r>
  </si>
  <si>
    <t>Sedang — perusahaan masih dapat beroperasi selama nilai risiko residual ≤ 9; jika residual masih &gt;9, wajib eskalasi ke manajemen senior dan Legal Counsel. 
Sebagai syarat minimum toleransi, organisasi wajib memastikan telah tersedia: (1) kebijakan AI Governance yang mengatur syarat penggunaan data nasabah untuk pelatihan model AI termasuk kewajiban persetujuan eksplisit, dan (2) klasifikasi data yang menandai dataset sensitif yang memerlukan perlakuan khusus sebelum dapat digunakan dalam eksperimen AI</t>
  </si>
  <si>
    <t>(1) Hentikan segera seluruh aktivitas pelatihan model AI yang menggunakan data nasabah hingga status kepatuhan dapat diverifikasi; (2) lakukan audit menyeluruh terhadap seluruh dataset yang sudah digunakan dalam eksperimen AI untuk mengidentifikasi apakah data sensitif nasabah terlibat tanpa persetujuan; (3) engajemen Legal Counsel untuk asesmen eksposur hukum dan kewajiban notifikasi kepada regulator serta nasabah yang terdampak; (4) dokumentasikan seluruh temuan, langkah penanganan, dan bukti tindakan korektif sebagai laporan kepada manajemen senior dan regulator</t>
  </si>
  <si>
    <t>Susun kebijakan AI Governance yang mengatur penggunaan data nasabah untuk pelatihan model; implementasi klasifikasi data untuk menandai dataset sensitif; tetapkan data owner untuk setiap dataset; implementasi mekanisme perolehan persetujuan eksplisit sebelum data digunakan dalam eksperimen AI</t>
  </si>
  <si>
    <t>Belum ada pengendalian yang berjalan sama sekali terkait AI Governance dan penggunaan data nasabah untuk pelatihan model, penggunaan data tanpa persetujuan tidak dapat dideteksi saat ini, risiko masih terbuka penuh pada level Tinggi, status New - Open dan menjadi prioritas utama untuk segera dilakukan audit penggunaan data eksisting dan disusun kebijakan AI Governance</t>
  </si>
  <si>
    <t xml:space="preserve"> - Susun kebijakan AI Governance — buat kebijakan formal yang mengatur syarat dan batasan penggunaan data nasabah untuk pelatihan model AI, mencakup kewajiban persetujuan eksplisit subjek data, kategori data yang dilarang digunakan tanpa consent, dan prosedur audit penggunaan data dalam eksperimen AI
 - Implementasi klasifikasi data dan penetapan data owner — definisikan tingkat sensitivitas seluruh dataset yang digunakan tim Data Analytics, tandai dataset yang mengandung data medis sensitif, dan tetapkan data owner yang bertanggung jawab atas akses dan penggunaan setiap dataset
 - Lakukan audit retroaktif penggunaan data dalam eksperimen AI — identifikasi seluruh model AI dan eksperimen yang sudah berjalan, verifikasi apakah data nasabah digunakan tanpa persetujuan, dan susun remediation plan termasuk opsi anonymisasi atau penghapusan data yang digunakan secara tidak sah
 - Implementasi mekanisme persetujuan eksplisit dan anonymisasi data — tetapkan prosedur wajib perolehan persetujuan nasabah sebelum data digunakan dalam pelatihan model AI; untuk data historis yang sudah ada, terapkan teknik anonymisasi atau pseudonymisasi sebagai alternatif penggunaan yang patuh regulasi</t>
  </si>
  <si>
    <r>
      <t xml:space="preserve">Eksposur data pribadi sensitif nasabah berupa data medis dan NIK secara mentah kepada pihak yang tidak berwenang berpotensi mengakibatkan pelanggaran privasi dan sanksi regulasi — akibat </t>
    </r>
    <r>
      <rPr>
        <b/>
        <sz val="10"/>
        <color theme="1"/>
        <rFont val="Montserrat"/>
      </rPr>
      <t>keterbatasan legacy system</t>
    </r>
    <r>
      <rPr>
        <sz val="10"/>
        <color theme="1"/>
        <rFont val="Montserrat"/>
      </rPr>
      <t xml:space="preserve"> yang belum mendukung implementasi </t>
    </r>
    <r>
      <rPr>
        <b/>
        <sz val="10"/>
        <color theme="1"/>
        <rFont val="Montserrat"/>
      </rPr>
      <t>data masking</t>
    </r>
    <r>
      <rPr>
        <sz val="10"/>
        <color theme="1"/>
        <rFont val="Montserrat"/>
      </rPr>
      <t xml:space="preserve"> pada lapisan pelaporan</t>
    </r>
  </si>
  <si>
    <t>Legacy system tidak mendukung implementasi data masking tanpa perombakan menyeluruh aplikasi; tidak adanya kontrol akses berbasis kebutuhan bisnis yang membatasi tampilan PII pada laporan; proses pembuatan laporan tidak memiliki mekanisme review untuk memastikan PII tidak ditampilkan secara mentah kepada penerima yang tidak memerlukan akses penuh</t>
  </si>
  <si>
    <t>Eksposur data medis sensitif dan NIK nasabah kepada pihak yang tidak memiliki kebutuhan bisnis untuk mengaksesnya; pelanggaran kewajiban UU PDP terkait prinsip pembatasan tujuan dan minimisasi data; potensi penyalahgunaan data nasabah oleh pihak yang menerimanya; sanksi administratif dari regulator dan tuntutan hukum dari nasabah yang datanya terekspos</t>
  </si>
  <si>
    <t>Penyalahgunaan data medis dan NIK nasabah oleh penerima laporan yang tidak berwenang; pelanggaran regulasi perlindungan data yang terekspos dalam audit; kebocoran data nasabah melalui distribusi laporan yang tidak terkontrol; tuntutan hukum dari nasabah atas eksposur data sensitif</t>
  </si>
  <si>
    <t>Legacy system belum mendukung data masking pada lapisan pelaporan; tidak ada kontrol akses berbasis kebutuhan bisnis yang membatasi tampilan PII dalam laporan; tidak ada mekanisme review konten laporan sebelum didistribusikan; tidak ada panduan yang melarang pencantuman PII mentah dalam laporan operasional</t>
  </si>
  <si>
    <t>Dynamic data masking telah diimplementasikan pada level database sebagai kontrol perlindungan data; namun implementasi masking pada legacy system belum dapat dilaksanakan tanpa perombakan menyeluruh aplikasi, sehingga PII nasabah berpotensi ditampilkan secara mentah pada laporan yang diakses oleh pengguna yang tidak memiliki kebutuhan bisnis untuk melihat data tersebut secara lengkap</t>
  </si>
  <si>
    <t>A.5.34 – Privasi dan perlindungan informasi pribadi; 
A.8.11 – Penyamaran data; 
A.5.15 – Manajemen akses; 
A.8.12 – Pencegahan kebocoran data</t>
  </si>
  <si>
    <r>
      <rPr>
        <b/>
        <sz val="10"/>
        <color theme="1"/>
        <rFont val="Montserrat"/>
      </rPr>
      <t>Rendah</t>
    </r>
    <r>
      <rPr>
        <sz val="10"/>
        <color theme="1"/>
        <rFont val="Montserrat"/>
      </rPr>
      <t xml:space="preserve"> — perusahaan tidak bersedia membiarkan data medis sensitif dan NIK nasabah terekspos secara mentah dalam laporan operasional mengingat sensitivitas data yang sangat tinggi dan kewajiban perlindungan data yang bersifat mandatory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</si>
  <si>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wajib review konten laporan sebelum distribusi untuk memastikan PII tidak ditampilkan secara mentah kepada penerima yang tidak memerlukan akses penuh, dan (2) kebijakan yang secara eksplisit melarang pencantuman PII mentah dalam laporan operasional beserta panduan teknis alternatif pengganti</t>
    </r>
  </si>
  <si>
    <t>(1) Tarik segera seluruh laporan yang teridentifikasi menampilkan PII secara mentah dari seluruh penerima; (2) lakukan audit terhadap seluruh laporan yang pernah didistribusikan untuk mengidentifikasi scope eksposur data dan pihak yang telah menerima; (3) engajemen Legal Counsel untuk asesmen kewajiban notifikasi kepada regulator dan nasabah yang datanya terekspos sesuai ketentuan UU PDP; (4) dokumentasikan seluruh temuan dan langkah penanganan sebagai laporan insiden kepada manajemen senior dan regulator</t>
  </si>
  <si>
    <t>Implementasi prosedur review konten laporan sebelum distribusi; tetapkan kebijakan yang melarang pencantuman PII mentah dalam laporan operasional; susun roadmap migrasi dari legacy system untuk mengaktifkan masking pada lapisan pelaporan</t>
  </si>
  <si>
    <t>Dynamic masking sudah tersedia di level database namun tidak dapat diimplementasikan pada legacy system, PII nasabah berpotensi terekspos secara mentah dalam laporan yang sudah terdistribusi, risiko masih terbuka pada level Tinggi, status In Progress dan menjadi prioritas utama untuk segera diterapkan prosedur review laporan dan kebijakan larangan PII mentah sebelum distribusi berikutnya</t>
  </si>
  <si>
    <t xml:space="preserve"> - Implementasi prosedur review konten laporan sebelum distribusi — tetapkan mekanisme wajib verifikasi bahwa tidak ada PII mentah yang tercantum dalam laporan sebelum didistribusikan; tunjuk PIC yang bertanggung jawab melakukan review setiap laporan yang akan dikirimkan kepada penerima di luar tim Data Analytics
 - Tetapkan kebijakan larangan PII mentah dalam laporan operasional — susun kebijakan formal yang melarang pencantuman data medis, NIK, dan PII sensitif lainnya secara mentah dalam laporan; sertakan panduan teknis alternatif seperti penggunaan data agregat, pseudonymisasi manual, atau penampilan parsial sebagai pengganti
 - Lakukan audit retroaktif seluruh laporan yang sudah terdistribusi — identifikasi laporan yang pernah dikirimkan yang mengandung PII mentah, catat penerima dan scope eksposur, dan koordinasikan dengan Legal Counsel untuk menentukan kewajiban notifikasi sesuai UU PDP
 - Susun roadmap teknis migrasi legacy system untuk mengaktifkan data masking — dokumentasikan opsi teknis yang tersedia untuk mengimplementasikan masking pada lapisan pelaporan tanpa perombakan menyeluruh, termasuk opsi middleware, view database terpisah, atau migrasi bertahap; jadikan sebagai input perencanaan anggaran IT berikutnya</t>
  </si>
  <si>
    <t>Data Analytics berkordinasi dengan IT Governance dan data management</t>
  </si>
  <si>
    <t>Proses ETL</t>
  </si>
  <si>
    <t>Dasboard Business Intelligence</t>
  </si>
  <si>
    <t>Arsitektur Aplikasi</t>
  </si>
  <si>
    <t>Aplikasi Mobile</t>
  </si>
  <si>
    <t>Aplikasi Web</t>
  </si>
  <si>
    <t>Aplikasi Core System</t>
  </si>
  <si>
    <t>Personel IT</t>
  </si>
  <si>
    <t>Personel Digital Strategy</t>
  </si>
  <si>
    <t>Data Internal Perusahaan</t>
  </si>
  <si>
    <t>Dokumen Cyber Threat Intelligence (CTI) &amp; Feeds</t>
  </si>
  <si>
    <t>Dokumen Vulnerability Assessment &amp; Penetration Testing</t>
  </si>
  <si>
    <t>Lisensi SSL</t>
  </si>
  <si>
    <t>Dokumen Matriks VLAN</t>
  </si>
  <si>
    <t>Dokumen Matrix Hak Akses Istimewa</t>
  </si>
  <si>
    <t>Dokumen Roadmap Digital</t>
  </si>
  <si>
    <t>Personel Tenaga Alih Daya (Outsource IT dari Vendor)</t>
  </si>
  <si>
    <t>Dokumen Konfigurasi Perangkat Jaringan</t>
  </si>
  <si>
    <t>Dokumen Konfigurasi Server</t>
  </si>
  <si>
    <t>Dokumen Topologi Jaringan</t>
  </si>
  <si>
    <t>Dokumen Training Security Awareness</t>
  </si>
  <si>
    <t>Dokumen Data Retention &amp; Disposal Rules</t>
  </si>
  <si>
    <t>Dokumen Hasil Incident Simulation</t>
  </si>
  <si>
    <t>Dokumen BCDRP Plan &amp; Scenario</t>
  </si>
  <si>
    <t>Dokumen Pemetaan Proses Bisnis (Business Process Mapping)</t>
  </si>
  <si>
    <t>Dokumen Riset Inovasi Teknologi</t>
  </si>
  <si>
    <t>Dokumen Katalog Layanan IT (IT Service Catalog)</t>
  </si>
  <si>
    <t>Dokumen Form Pengajuan ke IT Department</t>
  </si>
  <si>
    <t>Dokumen Job Desc Tim IT</t>
  </si>
  <si>
    <t>A.5.2 – Peran dan tanggung jawab keamanan informasi; 
A.6.3 – Kesadaran, pendidikan dan pelatihan keamanan informasi; 
A.5.15 – Manajemen akses; 
A.8.2 – Hak akses istimewa</t>
  </si>
  <si>
    <t>Kerusakan data production, eksposur data nasabah asli, dan gangguan layanan tidak terencana berpotensi terjadi — akibat tidak dijalankannya kebijakan pemisahan environment secara konsisten</t>
  </si>
  <si>
    <t>Kebijakan pemisahan environment sudah ada namun tidak dijalankan dan tidak ada sanksi atas pelanggaran; keterbatasan resources yang mendorong penggunaan environment production untuk keperluan UAT; permintaan user yang menginginkan data production asli untuk pengujian tanpa pemahaman risiko yang memadai; tidak adanya prosedur penyediaan data anonymized yang dapat digunakan sebagai pengganti data production</t>
  </si>
  <si>
    <t>Kerusakan atau modifikasi tidak terencana pada data production akibat aktivitas pengujian; eksposur data nasabah asli kepada personil yang tidak seharusnya mengaksesnya dalam konteks pengujian; gangguan layanan production akibat beban pengujian yang tidak terisolasi; potensi pelanggaran UU PDP akibat penggunaan data nasabah asli dalam environment pengujian tanpa kontrol yang memadai</t>
  </si>
  <si>
    <t>Modifikasi atau penghapusan data production secara tidak sengaja selama pengujian; eksposur data nasabah asli kepada tim QA yang tidak memiliki otorisasi akses data production; gangguan layanan production akibat pengujian fitur yang belum stabil; pelanggaran regulasi perlindungan data akibat penggunaan data asli dalam environment yang tidak terkontrol</t>
  </si>
  <si>
    <t>Kebijakan pemisahan environment tidak dijalankan dan tidak ada sanksi; tidak ada kontrol teknis yang mencegah koneksi UAT ke database production; tidak ada prosedur penyediaan data anonymized sebagai pengganti data production untuk keperluan UAT; tidak ada mekanisme enforcement kebijakan yang berjalan secara otomatis</t>
  </si>
  <si>
    <t>Kebijakan pemisahan environment pengujian dan production telah tersedia sebagai acuan operasional; namun kebijakan belum diimplementasikan secara konsisten, tidak terdapat mekanisme penegakan sanksi atas pelanggaran, dan pengujian pada environment production masih terjadi atas permintaan pengguna yang memerlukan data asli untuk keperluan UAT</t>
  </si>
  <si>
    <t>A.8.31 – Pemisahan lingkungan pengembangan, pengujian, dan operasional; 
A.5.34 – Privasi dan perlindungan informasi pribadi; 
A.8.33 – Informasi pengujian</t>
  </si>
  <si>
    <r>
      <rPr>
        <b/>
        <sz val="10"/>
        <color theme="1"/>
        <rFont val="Montserrat"/>
      </rPr>
      <t>Rendah</t>
    </r>
    <r>
      <rPr>
        <sz val="10"/>
        <color theme="1"/>
        <rFont val="Montserrat"/>
      </rPr>
      <t xml:space="preserve"> — perusahaan tidak bersedia membiarkan aktivitas pengujian dilakukan pada environment production mengingat risiko langsung terhadap integritas data nasabah, keberlangsungan layanan, dan kewajiban perlindungan data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</si>
  <si>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sanksi yang aktif diberlakukan terhadap setiap pelanggaran kebijakan pemisahan environment, dan (2) prosedur penyediaan data anonymized yang dapat digunakan sebagai pengganti data production untuk keperluan UAT sehingga kebutuhan user terpenuhi tanpa harus menggunakan environment production</t>
    </r>
  </si>
  <si>
    <t>(1) Hentikan segera seluruh aktivitas pengujian yang sedang berjalan di environment production dan isolasi sesi yang aktif; (2) lakukan audit terhadap seluruh data production yang berpotensi termodifikasi atau terekspos selama aktivitas pengujian berlangsung; (3) lakukan rollback atau restore data production jika teridentifikasi perubahan yang tidak terencana akibat aktivitas pengujian; (4) eskalasi insiden kepada manajemen senior, dokumentasikan scope dampak, dan tinjau kewajiban notifikasi regulasi jika data nasabah terdampak</t>
  </si>
  <si>
    <t>Aktifkan enforcement kebijakan pemisahan environment dengan sanksi yang jelas; implementasi prosedur penyediaan data anonymized sebagai pengganti data production untuk UAT; terapkan kontrol teknis yang mencegah koneksi environment pengujian ke database production</t>
  </si>
  <si>
    <t>Kebijakan pemisahan environment sudah tersedia namun tidak dijalankan dan tidak ada sanksi, UAT di production masih terjadi dan berpotensi membahayakan integritas data nasabah, risiko belum mengalami penurunan, status In Progress dan menjadi prioritas utama untuk segera diaktifkan sanksi dan disediakan prosedur data anonymized sebagai alternatif data production</t>
  </si>
  <si>
    <t xml:space="preserve"> - Aktifkan mekanisme sanksi atas pelanggaran kebijakan pemisahan environment — definisikan sanksi yang jelas dan proporsional untuk setiap pelanggaran kebijakan; sosialisasikan kepada seluruh tim QA, developer, dan user; pastikan penegakan sanksi berjalan konsisten tanpa pengecualian agar kebijakan yang ada memiliki efek jera yang nyata
 - Implementasi prosedur penyediaan data anonymized untuk UAT — susun prosedur teknis yang memungkinkan penyediaan dataset representatif berbasis data production yang telah dianonimkan atau dipseudonymisasi; libatkan DBA dalam pembuatan script anonymisasi otomatis sehingga kebutuhan user akan data realistis dapat terpenuhi tanpa menggunakan data nasabah asli
 - Terapkan kontrol teknis pemblokiran koneksi environment pengujian ke database production — implementasikan network segmentation, firewall rules, atau konfigurasi database yang secara teknis mencegah environment UAT/SIT terhubung ke database production; pastikan credentials environment pengujian berbeda sepenuhnya dari credentials production
 - Alokasikan resources untuk environment pengujian yang memadai — susun justifikasi kebutuhan resources environment pengujian yang terpisah dan ajukan dalam perencanaan anggaran IT; prioritaskan penyediaan infrastructure pengujian yang representatif sebagai solusi jangka panjang untuk menghilangkan ketergantungan pada environment production</t>
  </si>
  <si>
    <t>Eksposur informasi teknis sensitif berupa stack trace dan database syntax kepada pengguna yang dapat dimanfaatkan untuk memetakan kerentanan sistem berpotensi terjadi — akibat tidak adanya standar pesan error dalam requirement dan pendekatan QA yang reaktif dalam mendeteksi kebocoran informasi melalui error handling</t>
  </si>
  <si>
    <t>BA tidak mendefinisikan standar pesan error yang aman sebagai requirement wajib; gap knowledge BA terhadap implikasi keamanan dari error handling yang tidak terstandarisasi; QA tidak memiliki skenario pengujian proaktif untuk memvalidasi bahwa pesan error tidak membocorkan informasi teknis; tidak ada kebijakan yang mewajibkan implementasi generic error message pada seluruh aplikasi</t>
  </si>
  <si>
    <t>Eksposur stack trace, database syntax, dan informasi arsitektur backend kepada pengguna yang tidak berwenang; penyerang dapat memanfaatkan informasi teknis yang terekspos untuk memetakan kerentanan dan merancang serangan yang lebih terarah; peningkatan risiko SQL injection dan eksploitasi celah teknis yang teridentifikasi melalui pesan error; kegagalan audit keamanan akibat tidak terpenuhinya standar secure coding</t>
  </si>
  <si>
    <t>Eksploitasi informasi teknis yang terekspos melalui pesan error untuk merancang serangan terarah; SQL injection dan serangan berbasis pengetahuan arsitektur yang diperoleh dari stack trace; pemetaan struktur database dan logika aplikasi oleh penyerang melalui error message yang informatif</t>
  </si>
  <si>
    <t>Tidak ada standar generic error message yang terdefinisi dalam requirement; QA tidak memiliki skenario pengujian proaktif untuk error handling; BA tidak memahami implikasi keamanan dari error handling yang membocorkan informasi teknis; tidak ada kebijakan secure coding yang mewajibkan penyembunyian informasi teknis dari pesan error</t>
  </si>
  <si>
    <t>Pengecekan dan perbaikan pesan error dilaksanakan secara reaktif pada saat proses UAT berlangsung apabila error ditemukan secara tidak sengaja; namun belum terdapat standar pesan error yang terdefinisi dalam requirement, tidak ada skenario pengujian error handling yang disusun secara proaktif, dan perbaikan dilakukan berdasarkan temuan insidental tanpa jaminan kelengkapan cakupan</t>
  </si>
  <si>
    <t>A.8.25 – Siklus hidup pengembangan yang aman; 
A.8.26 – Persyaratan keamanan aplikasi; 
A.6.3 – Kesadaran, pendidikan dan pelatihan keamanan informasi</t>
  </si>
  <si>
    <r>
      <rPr>
        <b/>
        <sz val="10"/>
        <color theme="1"/>
        <rFont val="Montserrat"/>
      </rPr>
      <t>Rendah</t>
    </r>
    <r>
      <rPr>
        <sz val="10"/>
        <color theme="1"/>
        <rFont val="Montserrat"/>
      </rPr>
      <t xml:space="preserve"> — perusahaan tidak bersedia membiarkan informasi teknis sensitif terekspos melalui pesan error aplikasi mengingat informasi tersebut dapat dimanfaatkan secara langsung oleh penyerang untuk merancang serangan yang lebih terarah terhadap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</si>
  <si>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standar generic error message yang terdefinisi dan terintegrasi sebagai komponen wajib requirement dalam BRD, dan (2) skenario pengujian error handling yang terdokumentasi dalam standar test case QA untuk memvalidasi bahwa tidak ada informasi teknis yang terekspos melalui pesan error</t>
    </r>
  </si>
  <si>
    <t>(1) Identifikasi dan inventarisasi segera seluruh endpoint dan modul aplikasi yang menampilkan stack trace atau informasi teknis kepada pengguna; (2) koordinasikan dengan tim developer untuk implementasi darurat generic error message pada seluruh titik yang teridentifikasi sebelum siklus release berikutnya; (3) lakukan review log akses untuk mengidentifikasi apakah informasi teknis yang terekspos sudah diakses atau dimanfaatkan oleh pihak yang tidak berwenang; (4) eskalasi temuan kepada manajemen dan dokumentasikan scope eksposur sebagai dasar prioritas perbaikan</t>
  </si>
  <si>
    <t xml:space="preserve"> Definisikan standar generic error message sebagai komponen wajib dalam BRD; integrasikan skenario pengujian error handling ke dalam standar test case QA; selenggarakan pelatihan secure coding error handling untuk BA dan QA</t>
  </si>
  <si>
    <t>Pengecekan error sudah dilakukan saat UAT namun bersifat reaktif dan tidak terstruktur, standar pesan error belum terdefinisi dalam requirement dan skenario pengujian proaktif belum ada, risiko belum mengalami penurunan, status In Progress dan menjadi prioritas untuk segera didefinisikan standar generic error message dan diintegrasikan skenario pengujian error handling dalam BRD dan standar test case QA</t>
  </si>
  <si>
    <t>Personel Business Analyst berkoordinasi dengan Personel Quality Assurance dan Personel Security Analyst dan Pesonel Developer</t>
  </si>
  <si>
    <t xml:space="preserve"> - Definisikan standar generic error message dan integrasikan ke dalam template BRD — susun standar yang mewajibkan seluruh aplikasi menampilkan pesan error generik yang tidak mengungkap informasi teknis; jadikan sebagai komponen wajib requirement yang harus terdefinisi sebelum BRD dapat disetujui
 - Tambahkan skenario pengujian error handling ke dalam standar test case QA — definisikan skenario proaktif yang memvalidasi bahwa seluruh kondisi error menampilkan pesan generik tanpa stack trace, database syntax, atau informasi arsitektur; jadikan sebagai bagian wajib regression testing sebelum setiap release
 - Lakukan review dan perbaikan darurat seluruh aplikasi production — inventarisasi seluruh endpoint yang masih menampilkan informasi teknis kepada pengguna; koordinasikan dengan developer untuk implementasi generic error message secara menyeluruh berdasarkan prioritas tingkat eksposur
 - Selenggarakan pelatihan secure error handling untuk BA dan QA — program pelatihan yang mencakup implikasi keamanan dari error handling yang tidak terstandarisasi, contoh konkret stack trace yang dapat dieksploitasi, dan cara mendefinisikan requirement dan test case error handling yang aman</t>
  </si>
  <si>
    <t>Kerentanan keamanan dan serangan berbasis manipulasi input berbahaya berpotensi lolos ke environment production — akibat tidak adanya standar minimum cakupan negative testing dan gap kompetensi security testing pada personil QA yang menyebabkan pengujian keamanan tidak konsisten dan tidak terstruktur</t>
  </si>
  <si>
    <t>Tidak adanya standar minimum yang menetapkan rasio dan kedalaman negative testing yang wajib dipenuhi; gap kompetensi security testing pada personil QA yang membatasi kemampuan menyusun skenario negative testing yang komprehensif; tekanan waktu delivery yang mendorong pengurangan cakupan pengujian keamanan; tidak ada mekanisme validasi kelengkapan negative testing sebelum release</t>
  </si>
  <si>
    <t>Kerentanan SQL Injection, XSS, dan manipulasi input lainnya yang lolos ke production tanpa terdeteksi; eksploitasi kerentanan oleh pihak tidak berwenang yang berdampak pada integritas data dan keamanan sistem; peningkatan biaya remediasi akibat perbaikan dilakukan setelah release; potensi pelanggaran kepatuhan regulasi keamanan akibat standar secure coding tidak terpenuhi</t>
  </si>
  <si>
    <t>Eksploitasi SQL Injection pada kolom input yang tidak tervalidasi; serangan Cross-Site Scripting melalui input yang tidak disanitasi; manipulasi logika bisnis melalui input tidak terduga yang tidak diuji; eskalasi privilege melalui celah yang tidak teridentifikasi dalam negative testing</t>
  </si>
  <si>
    <t>Tidak ada standar minimum rasio dan kedalaman negative testing; gap kompetensi security testing pada personil QA; tekanan waktu yang mengurangi kedalaman pengujian keamanan; tidak ada mekanisme validasi bahwa seluruh skenario negative testing telah mencakup OWASP Top 10 sebelum release</t>
  </si>
  <si>
    <t>Pengujian negatif telah dilaksanakan sebagai bagian dari proses QA; namun belum terdapat standar minimum yang menetapkan rasio cakupan negative test case terhadap positive test case, kedalaman skenario pengujian keamanan yang wajib dipenuhi, maupun mekanisme validasi kelengkapan negative testing sebelum aplikasi dinyatakan siap untuk release</t>
  </si>
  <si>
    <r>
      <rPr>
        <b/>
        <sz val="10"/>
        <color theme="1"/>
        <rFont val="Montserrat"/>
      </rPr>
      <t>Rendah</t>
    </r>
    <r>
      <rPr>
        <sz val="10"/>
        <color theme="1"/>
        <rFont val="Montserrat"/>
      </rPr>
      <t xml:space="preserve"> — perusahaan tidak bersedia membiarkan kerentanan berbasis manipulasi input lolos ke production tanpa terdeteksi mengingat dampak langsung pada integritas data nasabah dan keamanan sistem yang dapat dieksploitasi secara aktif</t>
    </r>
  </si>
  <si>
    <t>(1) Lakukan emergency security scan terhadap seluruh input field aplikasi production yang belum divalidasi untuk mengidentifikasi kerentanan aktif; (2) isolasi atau nonaktifkan sementara fitur yang teridentifikasi rentan terhadap SQL Injection atau manipulasi input hingga perbaikan diimplementasikan; (3) koordinasikan dengan tim developer untuk patch darurat pada endpoint yang terekspos; (4) eskalasi temuan kepada manajemen, dokumentasikan scope kerentanan, dan jadwalkan penetration testing menyeluruh sebagai validasi pasca-perbaikan</t>
  </si>
  <si>
    <t xml:space="preserve"> Tetapkan standar minimum cakupan negative testing berbasis OWASP Top 10 sebagai gate release; tingkatkan kompetensi security testing personil QA; implementasi SAST/DAST sebagai safety net otomatis untuk mendeteksi kerentanan yang terlewat</t>
  </si>
  <si>
    <t>Negative testing sudah berjalan sebagian namun tanpa standar minimum cakupan dan masih ada kasus yang lolos, risiko mengalami penurunan parsial namun belum mencapai level yang dapat diterima, status In Progress dan menjadi prioritas untuk segera ditetapkan standar minimum negative testing dan divalidasi kelengkapannya sebagai gate release</t>
  </si>
  <si>
    <t xml:space="preserve"> - Tetapkan standar minimum cakupan negative testing sebagai gate release — definisikan rasio minimum negative test case terhadap positive test case, daftar skenario wajib berbasis OWASP Top 10 yang harus dicakup, dan mekanisme validasi bahwa seluruh skenario telah dieksekusi sebelum aplikasi dinyatakan siap release
 - Selenggarakan pelatihan security testing untuk personil QA — program pelatihan yang mencakup teknik negative testing, skenario SQL Injection, XSS, dan manipulasi input berbasis OWASP Top 10; lengkapi dengan praktik langsung menggunakan tools security testing seperti OWASP ZAP atau Burp Suite
 - Lakukan review retroaktif kerentanan input pada aplikasi production — lakukan security scan terhadap seluruh input field aplikasi yang sudah berjalan untuk mengidentifikasi kerentanan SQL Injection dan XSS yang mungkin sudah ada; susun remediation plan berdasarkan tingkat keparahan temuan
 - Implementasi SAST/DAST sebagai safety net otomatis — integrasikan static dan dynamic application security testing dalam CI/CD pipeline sebagai lapisan deteksi otomatis untuk menangkap kerentanan yang terlewat dalam proses manual QA akibat keterbatasan waktu dan personil</t>
  </si>
  <si>
    <t>Personel Quality Assurance berkoordinasi dengan Personel Security Analyst dan Personel DevSecOps</t>
  </si>
  <si>
    <t>Defect pada fitur baru dan perubahan fungsionalitas bisnis terbaru berpotensi lolos ke production tanpa terdeteksi — akibat test case regression yang statis, tidak pernah diperbarui, dan tidak diselaraskan dengan perkembangan bisnis terkini sehingga kehilangan kemampuan mendeteksi kerentanan baru</t>
  </si>
  <si>
    <t>Tidak adanya mekanisme review dan pembaruan test case regression secara berkala; tidak ada proses penyelarasan antara BA dan QA untuk memastikan test case mencerminkan perubahan arah bisnis terbaru; keterbatasan personil dan proses manual yang tidak menyisakan kapasitas untuk pembaruan test case; tidak ada kebijakan yang mewajibkan review kesesuaian test case terhadap perubahan fungsionalitas</t>
  </si>
  <si>
    <t>Defect pada fitur baru atau perubahan fungsionalitas bisnis lolos ke production karena tidak tercakup dalam test case yang statis; false confidence bahwa sistem sudah teruji padahal test case tidak lagi relevan; pemborosan sumber daya QA untuk mengeksekusi test case yang tidak memberikan nilai deteksi baru; potensi gangguan operasional bisnis akibat defect yang seharusnya dapat dicegah</t>
  </si>
  <si>
    <t>Defect production yang tidak terdeteksi dalam regression testing; false sense of security dari hasil regression yang tidak relevan; gangguan operasional bisnis akibat fitur baru yang tidak teruji secara memadai; akumulasi technical debt pengujian yang semakin sulit diselesaikan</t>
  </si>
  <si>
    <t>Test case regression tidak pernah diperbarui untuk mencerminkan perubahan bisnis; tidak ada mekanisme koordinasi antara BA dan QA untuk penyelarasan test case; proses sepenuhnya manual tanpa otomatisasi yang memungkinkan pembaruan lebih efisien; tidak ada standar frekuensi review dan pembaruan test case</t>
  </si>
  <si>
    <t>Belum terdapat pengendalian formal yang diterapkan. Proses regression testing dilaksanakan secara manual dengan mengeksekusi test case yang sama secara berulang tanpa mekanisme review, pembaruan berkala, maupun penyelarasan dengan perkembangan kebutuhan bisnis dan perubahan fungsionalitas aplikasi terkini</t>
  </si>
  <si>
    <t>A.8.25 – Siklus hidup pengembangan yang aman; 
A.5.37 – Prosedur operasi yang terdokumentasi</t>
  </si>
  <si>
    <r>
      <rPr>
        <b/>
        <sz val="10"/>
        <color theme="1"/>
        <rFont val="Montserrat"/>
      </rPr>
      <t>Sedang</t>
    </r>
    <r>
      <rPr>
        <sz val="10"/>
        <color theme="1"/>
        <rFont val="Montserrat"/>
      </rPr>
      <t xml:space="preserve"> — perusahaan dapat mentolerir keterbatasan proses regression testing dalam jangka pendek selama defect kritis masih dapat terdeteksi, namun tidak bersedia membiarkan test case yang statis dan tidak relevan terus menjadi satu-satunya mekanisme validasi kualitas release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</si>
  <si>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standar minimum cakupan negative testing yang menetapkan rasio dan skenario wajib berbasis OWASP Top 10 sebagai gate release, dan (2) mekanisme validasi kelengkapan negative testing yang diverifikasi sebelum aplikasi dinyatakan siap release</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</si>
  <si>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prosedur review dan pembaruan test case regression yang terjadwal minimal per release atau saat ada perubahan bisnis signifikan, dan (2) mekanisme koordinasi formal antara BA dan QA untuk memastikan test case mencerminkan perubahan fungsionalitas dan arah bisnis terkini sebelum regression testing dieksekusi</t>
    </r>
  </si>
  <si>
    <t>(1) Identifikasi segera seluruh defect production yang terindikasi lolos akibat test case yang tidak mencakup fungsionalitas terbaru; (2) lakukan triage dan kategorisasi defect berdasarkan tingkat keparahan dan dampak operasional untuk menentukan prioritas perbaikan; (3) koordinasikan dengan BA untuk mengidentifikasi perubahan bisnis yang belum tercermin dalam test case dan lakukan pembaruan darurat sebelum regression berikutnya; (4) eskalasi temuan kepada manajemen dan dokumentasikan gap test case sebagai dasar perbaikan sistematis</t>
  </si>
  <si>
    <t>Tetapkan prosedur review dan pembaruan test case regression secara berkala; implementasi mekanisme koordinasi formal antara BA dan QA untuk penyelarasan test case; eksplorasi otomatisasi regression testing untuk meningkatkan efisiensi dan memungkinkan pembaruan lebih cepat</t>
  </si>
  <si>
    <t>Belum ada pengendalian formal yang berjalan terkait pembaruan dan penyelarasan test case regression, proses sepenuhnya manual dan statis, risiko masih terbuka penuh pada level Sedang dengan probabilitas tinggi, status New - Open dan menjadi prioritas untuk segera ditetapkan prosedur review berkala dan mekanisme koordinasi BA-QA</t>
  </si>
  <si>
    <t xml:space="preserve"> - Tetapkan prosedur review dan pembaruan test case regression secara berkala — definisikan frekuensi review minimal per release atau saat ada perubahan bisnis signifikan; tetapkan kriteria test case yang perlu diperbarui, ditambahkan, atau dihapus berdasarkan relevansi terhadap fungsionalitas terkini
 - Implementasi mekanisme koordinasi formal antara BA dan QA — bentuk forum atau checkpoint terjadwal sebelum setiap siklus regression di mana BA menyampaikan perubahan bisnis dan fungsionalitas terbaru yang harus tercermin dalam test case sebelum pengujian dieksekusi
 - Lakukan review dan pembaruan menyeluruh test case existing — identifikasi test case yang sudah tidak relevan, redundan, atau tidak mencerminkan fungsionalitas bisnis terkini; perbarui, tambahkan, atau hapus berdasarkan hasil koordinasi dengan BA sebagai langkah pemulihan kondisi saat ini
 - Susun roadmap otomatisasi regression testing — evaluasi opsi tools otomatisasi yang sesuai dengan kapasitas tim dan anggaran; prioritaskan otomatisasi test case dengan frekuensi eksekusi tinggi untuk membebaskan kapasitas personil QA bagi pembaruan dan pengembangan skenario baru yang lebih bernilai</t>
  </si>
  <si>
    <t>Personel Quality Assurance berkoordinasi dengan Personel Business Analyst dan Personel IT Governance</t>
  </si>
  <si>
    <t>Persetujuan UAT yang tidak valid secara substansif berpotensi meloloskan aplikasi yang tidak memenuhi kebutuhan bisnis sesungguhnya ke production — akibat tidak adanya kebijakan kewenangan persetujuan UAT dan ketiadaan dokumentasi proses bisnis sebagai acuan validasi bagi staf yang melaksanakan pengujian</t>
  </si>
  <si>
    <t>Tidak adanya kebijakan yang menetapkan persyaratan kewenangan dan kompetensi minimum untuk persetujuan UAT; tidak tersedianya dokumentasi proses bisnis yang dapat digunakan sebagai acuan validasi oleh tim bisnis dan QA; user leader yang memiliki konteks dan kewenangan tidak tersedia untuk melaksanakan UAT sehingga mendelegasikan kepada staf junior tanpa konteks memadai</t>
  </si>
  <si>
    <t>Persetujuan UAT diberikan oleh personil yang tidak memiliki kewenangan dan pemahaman konteks bisnis yang memadai; aplikasi yang tidak memenuhi kebutuhan bisnis sesungguhnya lolos ke production; potensi rework besar-besaran setelah release akibat kegagalan fungsi yang baru teridentifikasi saat operasional; pemborosan sumber daya development dan kepercayaan unit bisnis terhadap kualitas delivery IT menurun</t>
  </si>
  <si>
    <t>Aplikasi production yang tidak sesuai kebutuhan bisnis sesungguhnya; defect fungsional kritis yang tidak terdeteksi saat UAT karena kurangnya pemahaman konteks bisnis; rework pasca-production yang mengganggu operasional bisnis; erosi kepercayaan unit bisnis terhadap proses pengembangan IT</t>
  </si>
  <si>
    <t>Tidak ada kebijakan kewenangan persetujuan UAT yang terdokumentasi; tidak ada dokumentasi proses bisnis sebagai acuan validasi; tidak ada mekanisme verifikasi bahwa personil yang melaksanakan UAT memiliki pemahaman konteks yang memadai; delegasi UAT ke staf junior tanpa briefing konteks bisnis yang terstruktur</t>
  </si>
  <si>
    <t>Belum terdapat pengendalian formal yang diterapkan. Tidak ada kebijakan yang mengatur persyaratan kewenangan dan kompetensi minimum personil yang berhak memberikan persetujuan UAT, serta tidak tersedia dokumentasi proses bisnis yang dapat digunakan sebagai acuan validasi oleh tim bisnis maupun Quality Assurance dalam pelaksanaan pengujian penerimaan</t>
  </si>
  <si>
    <t>8.1 – Perencanaan dan pengendalian operasional; 
5.3 – Peran, tanggung jawab, dan wewenang organisasi</t>
  </si>
  <si>
    <t>A.5.2 – Peran dan tanggung jawab keamanan informasi; 
A.5.37 – Prosedur operasi yang terdokumentasi; 
A.8.25 – Siklus hidup pengembangan yang aman</t>
  </si>
  <si>
    <r>
      <rPr>
        <b/>
        <sz val="10"/>
        <color theme="1"/>
        <rFont val="Montserrat"/>
      </rPr>
      <t>Sedang</t>
    </r>
    <r>
      <rPr>
        <sz val="10"/>
        <color theme="1"/>
        <rFont val="Montserrat"/>
      </rPr>
      <t xml:space="preserve"> — perusahaan dapat mentolerir keterbatasan ketersediaan user leader dalam jangka pendek, namun tidak bersedia membiarkan persetujuan UAT diberikan oleh personil tanpa kewenangan dan konteks bisnis yang memadai mengingat dampaknya pada kualitas release dan efisiensi sumber daya</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</si>
  <si>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kebijakan yang menetapkan persyaratan kewenangan minimum personil yang berhak memberikan persetujuan UAT beserta prosedur delegasi yang sah, dan (2) dokumentasi proses bisnis minimal untuk scope fungsionalitas yang diuji sebagai acuan validasi bagi personil yang melaksanakan UAT</t>
    </r>
  </si>
  <si>
    <t>(1) Tunda release yang persetujuan UAT-nya diberikan oleh personil tanpa kewenangan yang jelas hingga validasi ulang oleh pihak yang berwenang dapat dilaksanakan; (2) lakukan sesi review darurat dengan user leader untuk memvalidasi seluruh fungsionalitas yang sudah disetujui staf junior sebelum release dilanjutkan; (3) identifikasi dan dokumentasikan seluruh gap validasi yang berpotensi menyebabkan defect pasca-release; (4) eskalasi insiden kepada manajemen dan dokumentasikan sebagai dasar penyusunan kebijakan kewenangan UAT secara formal</t>
  </si>
  <si>
    <t>Susun kebijakan kewenangan persetujuan UAT yang menetapkan persyaratan minimum dan prosedur delegasi yang sah; buat dokumentasi proses bisnis yang dapat dipahami oleh tim bisnis dan QA sebagai acuan validasi UAT; implementasi mekanisme briefing konteks bisnis sebelum UAT dilaksanakan</t>
  </si>
  <si>
    <t>Belum ada pengendalian formal yang berjalan terkait kewenangan persetujuan UAT dan dokumentasi proses bisnis sebagai acuan validasi, delegasi ke staf junior tanpa konteks sudah terjadi, risiko masih terbuka penuh pada level Sedang, status New - Open dan menjadi prioritas untuk segera disusun kebijakan kewenangan UAT dan dokumentasi proses bisnis minimum</t>
  </si>
  <si>
    <t>Personel Quality Assurance berkoordinasi dengan Personel IT Governance dan Personel Business Analyst</t>
  </si>
  <si>
    <t xml:space="preserve"> - Susun kebijakan kewenangan persetujuan UAT beserta prosedur delegasi yang sah — tetapkan persyaratan minimum jabatan, kompetensi, dan pemahaman proses bisnis yang harus dimiliki oleh personil yang berhak memberikan persetujuan UAT; definisikan prosedur delegasi yang sah jika user leader tidak tersedia, termasuk kewajiban briefing konteks dan dokumentasi persetujuan delegasi
 - Buat dokumentasi proses bisnis minimum sebagai acuan validasi UAT — susun dokumentasi yang menggambarkan alur proses bisnis end-to-end dalam bahasa yang dapat dipahami oleh tim bisnis dan QA; pastikan dokumentasi mencakup skenario kritis yang wajib divalidasi dalam setiap pelaksanaan UAT
 - Implementasi mekanisme briefing konteks bisnis sebelum UAT — tetapkan sesi briefing wajib antara BA dan seluruh personil yang akan melaksanakan UAT sebelum pengujian dimulai untuk memastikan pemahaman scope, fungsionalitas yang diuji, dan kriteria penerimaan yang harus dipenuhi
 - Implementasi sign-off UAT berjenjang untuk fungsionalitas kritis — tetapkan mekanisme persetujuan bertingkat di mana fungsionalitas kritis wajib mendapat sign-off dari minimal dua level kewenangan sebelum dinyatakan lulus UAT, untuk memastikan validasi yang komprehensif meskipun user leader mendelegasikan sebagian pengujian</t>
  </si>
  <si>
    <t>Endpoint API rentan terhadap serangan brute force dan credential stuffing yang memanfaatkan ketiadaan pembatasan jumlah request; enumerasi resource yang memungkinkan penyerang memetakan seluruh data yang dapat diakses; potensi Distributed Denial of Service pada level API yang mengganggu ketersediaan layanan; eksploitasi BOLA/IDOR yang memungkinkan akses data nasabah lain secara tidak terotorisasi</t>
  </si>
  <si>
    <t>Brute force dan credential stuffing pada endpoint autentikasi tanpa pembatasan percobaan; enumerasi resource melalui BOLA/IDOR yang mengekspos data nasabah lintas akun; API abuse yang membebani infrastruktur hingga mengganggu ketersediaan layanan; scraping data massal melalui endpoint yang tidak dibatasi frekuensinya</t>
  </si>
  <si>
    <t>Rate limiting belum diimplementasikan pada API Gateway Kong; validasi otorisasi level resource belum dikonfirmasi mencakup perlindungan BOLA/IDOR; tidak ada kebijakan standar minimum keamanan API yang mewajibkan rate limiting sebagai komponen wajib</t>
  </si>
  <si>
    <t>Mekanisme autentikasi JWT dengan symmetric dan asymmetric key telah diimplementasikan; WAF Coraza open-source telah aktif sebagai lapisan perlindungan aplikasi; API Gateway Kong telah digunakan sebagai titik kontrol terpusat; namun rate limiting belum diimplementasikan sehingga endpoint masih rentan terhadap serangan berbasis volume</t>
  </si>
  <si>
    <t>A.8.20 – Keamanan jaringan; 
A.8.25 – Siklus hidup pengembangan yang aman; 
A.8.26 – Persyaratan keamanan aplikasi; 
A.8.6 – Manajemen kapasitas</t>
  </si>
  <si>
    <r>
      <rPr>
        <b/>
        <sz val="10"/>
        <color theme="1"/>
        <rFont val="Montserrat"/>
      </rPr>
      <t>Rendah</t>
    </r>
    <r>
      <rPr>
        <sz val="10"/>
        <color theme="1"/>
        <rFont val="Montserrat"/>
      </rPr>
      <t xml:space="preserve"> — perusahaan tidak bersedia membiarkan endpoint API beroperasi tanpa rate limiting mengingat ketiadaannya secara langsung membuka celah penyalahgunaan berbasis volume yang dapat berdampak pada kerahasiaan data nasabah dan ketersediaan layanan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</si>
  <si>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konfigurasi rate limiting aktif pada API Gateway Kong untuk seluruh endpoint yang menghadap publik, dan (2) validasi otorisasi level resource yang terkonfirmasi mencakup perlindungan terhadap BOLA/IDOR pada endpoint yang menangani data nasabah</t>
    </r>
  </si>
  <si>
    <t>(1) Identifikasi dan blokir segera IP address atau token yang terdeteksi melakukan pola request abnormal melalui rule WAF Coraza yang sudah aktif sebagai tindakan pembatasan dampak darurat; (2) lakukan review log API Gateway Kong untuk memetakan scope abuse yang sudah terjadi — identifikasi endpoint yang menjadi target, volume request abnormal, dan data yang berpotensi terekspos atau dienumerasi; (3) perkuat rule WAF Coraza secara ad-hoc untuk memblokir pola serangan spesifik yang teridentifikasi dalam log sebagai mitigasi sementara selama rate limiting belum tersedia; (4) eskalasi insiden kepada manajemen, dokumentasikan scope dampak dan data yang berpotensi terdampak, serta jadwalkan implementasi rate limiting sebagai respons korektif dengan prioritas tertinggi.</t>
  </si>
  <si>
    <t>Implementasi rate limiting pada API Gateway Kong menggunakan fitur plugin yang tersedia; lakukan validasi dan dokumentasi perlindungan BOLA/IDOR pada seluruh endpoint yang menangani data nasabah; susun kebijakan standar minimum keamanan API yang mewajibkan rate limiting sebagai komponen wajib</t>
  </si>
  <si>
    <t>JWT, WAF Coraza, dan API Gateway Kong sudah berjalan sebagai lapisan perlindungan autentikasi yang memadai, namun rate limiting belum diimplementasikan sehingga celah penyalahgunaan berbasis volume masih terbuka, risiko mengalami penurunan parsial, status In Progress dan menjadi prioritas untuk segera diaktifkan rate limiting pada API Gateway</t>
  </si>
  <si>
    <t xml:space="preserve"> - Implementasi rate limiting pada API Gateway Kong — aktifkan dan konfigurasi plugin rate limiting Kong untuk seluruh endpoint yang menghadap publik; tetapkan threshold yang sesuai per IP, per token, dan per endpoint berdasarkan pola traffic normal; manfaatkan fitur yang sudah tersedia dalam Kong sebelum mempertimbangkan solusi berbayar
 - Validasi dan dokumentasikan perlindungan BOLA/IDOR — lakukan review menyeluruh terhadap seluruh endpoint yang menangani data spesifik nasabah untuk memastikan validasi otorisasi level resource sudah diimplementasikan; dokumentasikan hasilnya sebagai bukti kepatuhan dan identifikasi endpoint yang masih memerlukan perbaikan
 - Susun kebijakan standar minimum keamanan API — definisikan standar wajib yang harus dipenuhi setiap endpoint API sebelum dapat di-deploy ke production, mencakup autentikasi, otorisasi, rate limiting, dan logging; jadikan sebagai gate wajib dalam proses deployment pipeline
 - Lakukan API security assessment menyeluruh — laksanakan pengujian keamanan berbasis OWASP API Security Top 10 terhadap seluruh endpoint aktif untuk mengidentifikasi kerentanan yang belum tertangani; gunakan temuan sebagai dasar prioritas perbaikan dan penguatan konfigurasi WAF Coraza</t>
  </si>
  <si>
    <t>Rate limiting belum diimplementasikan akibat keterbatasan waktu eksplorasi dan anggaran untuk solusi yang proper; belum ada kebijakan yang menetapkan standar minimum keamanan API termasuk kewajiban rate limiting; validasi otorisasi level resource (BOLA - Broken Object Level Authorization/IDOR - Insecure Direct Object Reference) belum terdokumentasikan sebagai requirement yang wajib diverifikasi</t>
  </si>
  <si>
    <t>Development personnel granted direct read/write access terhadap production database containing real personal data tanpa data masking/anonymization, tanpa Just-In-Time (JIT) access mechanism, dan tanpa column-level restriction berdasarkan business necessity, violating principle of least privilege dan expanding insider threat risk.</t>
  </si>
  <si>
    <t>Meningkatnya kompleksitas ancaman siber yang tidak dapat ditangani secara manual berpotensi melampaui kapasitas tim keamanan — namun membuka peluang implementasi AI-powered Security Operations Center (SOC) yang memanfaatkan Machine Learning untuk deteksi anomali real-time, threat hunting otomatis, dan respons insiden yang lebih cepat dan akurat dari kapabilitas manusia</t>
  </si>
  <si>
    <t>Meningkatnya intensitas serangan siber berbasis identitas dan kredensial yang menargetkan industri asuransi; tekanan regulasi OJK yang mensyaratkan kontrol akses yang semakin granular; keterbatasan paradigma perimeter security konvensional dalam mengakomodasi model kerja hybrid dan akses multi-cloud</t>
  </si>
  <si>
    <t>Peningkatan postur keamanan secara menyeluruh melalui model verifikasi berkelanjutan yang tidak bergantung pada perimeter jaringan; pengurangan eksposur akibat serangan berbasis kredensial yang dicuri; fasilitasi fleksibilitas akses tenaga kerja digital yang mendukung produktivitas; potensi diferensiasi kompetitif di segmen nasabah korporat yang mensyaratkan standar keamanan tinggi</t>
  </si>
  <si>
    <t>Peningkatan serangan identity-based secara global yang memperkuat justifikasi bisnis; regulasi keamanan siber yang semakin ketat mendorong adopsi model zero trust; kompetitor yang mengadopsi ZTA lebih awal berpotensi memenangkan segmen nasabah korporat yang sensitif terhadap keamanan</t>
  </si>
  <si>
    <t>Keterbatasan anggaran untuk investasi solusi ZTA yang komprehensif; gap knowledge internal terkait arsitektur dan implementasi Zero Trust; infrastruktur existing yang memerlukan adaptasi bertahap untuk mendukung model ZTA; tidak adanya roadmap adopsi ZTA yang terdokumentasi</t>
  </si>
  <si>
    <t>Pembatasan akses ke server telah diterapkan sebagai kontrol dasar; implementasi DMZ sudah berjalan sebagai segmentasi jaringan awal; namun paradigma yang digunakan masih berbasis perimeter security konvensional yang belum mencerminkan prinsip Zero Trust</t>
  </si>
  <si>
    <t>5.1 – Kepemimpinan dan komitmen; 
6.1 – Tindakan untuk menangani risiko dan peluang; 
8.1 – Perencanaan dan pengendalian operasional</t>
  </si>
  <si>
    <t>A.5.15 – Manajemen akses; 
A.8.2 – Hak akses istimewa; 
A.8.5 – Autentikasi aman; 
A.8.20 – Keamanan jaringan</t>
  </si>
  <si>
    <r>
      <rPr>
        <b/>
        <sz val="10"/>
        <color theme="1"/>
        <rFont val="Montserrat"/>
      </rPr>
      <t>Tinggi</t>
    </r>
    <r>
      <rPr>
        <sz val="10"/>
        <color theme="1"/>
        <rFont val="Montserrat"/>
      </rPr>
      <t xml:space="preserve"> — perusahaan memiliki ambisi untuk mengkapitalisasi peluang ini secara aktif mengingat dampak strategisnya pada postur keamanan jangka panjang dan potensi diferensiasi kompetitif, meskipun realisasinya perlu dilakukan secara bertahap sesuai kapasitas anggaran dan knowledge yang tersedia</t>
    </r>
  </si>
  <si>
    <r>
      <rPr>
        <b/>
        <sz val="10"/>
        <color theme="1"/>
        <rFont val="Montserrat"/>
      </rPr>
      <t>Sedang</t>
    </r>
    <r>
      <rPr>
        <sz val="10"/>
        <color theme="1"/>
        <rFont val="Montserrat"/>
      </rPr>
      <t xml:space="preserve"> — perusahaan masih dapat menunda realisasi penuh peluang ini selama nilai manfaat yang belum terealisasi ≤ dampak level Sedang; jika ancaman berbasis identitas sudah berdampak aktif pada sistem perusahaan, realisasi peluang ini wajib dieskalasi sebagai prioritas investasi. 
Sebagai syarat minimum untuk mulai mengkapitalisasi peluang, organisasi wajib memastikan telah tersedia: (1) roadmap adopsi ZTA bertahap yang terdokumentasi dan telah mendapat persetujuan manajemen sebagai arah strategis, dan (2) alokasi anggaran pilot project ZTA minimal untuk satu domain prioritas tinggi sebagai proof of concept</t>
    </r>
  </si>
  <si>
    <t>(1) Manfaatkan setiap insiden keamanan berbasis identitas yang terjadi sebagai momentum untuk mempresentasikan justifikasi bisnis ZTA kepada manajemen senior dengan data dampak yang konkret; (2) segera dokumentasikan quick win yang dapat dicapai dari implementasi parsial ZTA pada domain prioritas sebagai bukti nilai untuk mendukung persetujuan anggaran lebih lanjut; (3) jalin komunikasi dengan vendor ZTA yang menawarkan model adopsi bertahap dan berbiaya rendah di awal untuk mengakomodasi keterbatasan anggaran; (4) eskalasi roadmap ZTA ke manajemen senior dengan framing investasi keamanan sebagai enabler bisnis bukan cost center</t>
  </si>
  <si>
    <t>(Peluang) Susun roadmap adopsi ZTA bertahap berbasis kapasitas anggaran dan knowledge internal; mulai dengan implementasi komponen ZTA bernilai tinggi seperti MFA universal dan PAM sebagai fondasi awal; bangun business case ZTA yang mengkuantifikasi potensi penghematan biaya insiden versus investasi</t>
  </si>
  <si>
    <t>Pembatasan akses server dan DMZ sudah berjalan sebagai fondasi awal yang dapat menjadi titik start adopsi ZTA, namun keterbatasan anggaran dan knowledge masih menjadi hambatan utama realisasi, peluang belum dikapitalisasi, status New - Open dan menjadi prioritas strategis untuk segera disusun business case dan roadmap adopsi ZTA sebelum momentum justifikasi dari ancaman yang meningkat terlewatkan</t>
  </si>
  <si>
    <t>Personel CTIO berkoordinasi dengan Personel Security Analyst, Personel IT Governance, dan Personel IT Infra - Sysadmin</t>
  </si>
  <si>
    <t>Meningkatnya volume dan kompleksitas ancaman siber yang melampaui kapasitas penanganan manual tim keamanan; ketersediaan teknologi AI/ML untuk deteksi anomali yang semakin terjangkau dan dapat dikembangkan di atas platform open-source yang sudah ada; tekanan regulasi yang mendorong peningkatan kapabilitas deteksi dan respons insiden secara berkelanjutan</t>
  </si>
  <si>
    <t>Peningkatan Mean Time to Detect dan Mean Time to Respond yang signifikan melalui otomatisasi berbasis AI; kemampuan threat hunting proaktif yang melampaui kapabilitas analisis manual; optimalisasi kapasitas personil keamanan untuk fokus pada investigasi bernilai tinggi; peningkatan postur keamanan organisasi yang terukur dan dapat dilaporkan kepada regulator dan manajemen</t>
  </si>
  <si>
    <t>Peningkatan serangan siber yang tersegmentasi dan menargetkan industri asuransi secara spesifik; shortage analis keamanan global yang membuat rekrutmen personil SOC semakin sulit dan mahal; kompetitor yang mengadopsi AI-powered SOC lebih awal berpotensi memiliki postur keamanan yang lebih unggul</t>
  </si>
  <si>
    <t>Tidak adanya anggaran khusus untuk pengembangan AI-powered SOC; gap kompetensi personil dalam bidang AI/ML untuk aplikasi keamanan; seluruh proses monitoring dan respons masih manual sehingga memerlukan perubahan proses yang signifikan; tidak adanya roadmap pengembangan SOC yang terdokumentasi</t>
  </si>
  <si>
    <t>Kebijakan dan SOP keamanan informasi telah tersedia sebagai kerangka operasional; EDR dan MDR telah diimplementasikan sebagai lapisan perlindungan endpoint; platform SIEM Wazuh telah aktif sebagai fondasi agregasi log; namun seluruh proses monitoring, deteksi, dan respons masih dilaksanakan secara manual tanpa otomatisasi berbasis kecerdasan buatan</t>
  </si>
  <si>
    <t>A.8.15 – Logging; 
A.8.16 – Aktivitas pemantauan; 
A.5.25 – Asesmen dan keputusan terkait peristiwa keamanan informasi; 
A.5.26 – Respons terhadap insiden keamanan informasi</t>
  </si>
  <si>
    <r>
      <rPr>
        <b/>
        <sz val="10"/>
        <color theme="1"/>
        <rFont val="Montserrat"/>
      </rPr>
      <t>Tinggi</t>
    </r>
    <r>
      <rPr>
        <sz val="10"/>
        <color theme="1"/>
        <rFont val="Montserrat"/>
      </rPr>
      <t xml:space="preserve"> — perusahaan memiliki ambisi untuk mengkapitalisasi peluang ini secara aktif mengingat fondasi teknis yang sudah tersedia dapat dijadikan titik awal pengembangan bertahap tanpa memerlukan investasi besar di awal, sementara manfaat strategis yang dihasilkan bersifat jangka panjang dan berkelanjutan</t>
    </r>
  </si>
  <si>
    <r>
      <rPr>
        <b/>
        <sz val="10"/>
        <color theme="1"/>
        <rFont val="Montserrat"/>
      </rPr>
      <t>Sedang</t>
    </r>
    <r>
      <rPr>
        <sz val="10"/>
        <color theme="1"/>
        <rFont val="Montserrat"/>
      </rPr>
      <t xml:space="preserve"> — perusahaan masih dapat menunda realisasi penuh peluang ini selama kapabilitas manual masih dapat menangani volume ancaman yang ada; jika volume ancaman sudah melampaui kapasitas tim secara konsisten, realisasi peluang ini wajib dieskalasi sebagai prioritas investasi. Sebagai syarat minimum untuk mulai mengkapitalisasi peluang, organisasi wajib memastikan telah tersedia: (1) roadmap pengembangan AI-powered SOC bertahap yang terdokumentasi dan mendapat persetujuan manajemen, dan (2) alokasi kapasitas personil atau anggaran untuk pengembangan use case deteksi anomali pertama berbasis Wazuh yang sudah tersedia</t>
    </r>
  </si>
  <si>
    <t>(1) Manfaatkan setiap insiden keamanan yang terjadi sebagai bukti konkret keterbatasan kapasitas manual untuk memperkuat justifikasi bisnis AI-powered SOC kepada manajemen senior; (2) segera demonstrasikan quick win dengan mengembangkan rule deteksi anomali sederhana berbasis ML pada Wazuh yang sudah ada sebagai proof of concept berbiaya rendah; (3) eksplorasi kemitraan dengan MSSP yang menawarkan AI-powered SOC as a Service sebagai opsi bridge sambil membangun kapabilitas internal secara bertahap; (4) eskalasi roadmap AI SOC kepada manajemen dengan framing peningkatan efisiensi operasional dan pengurangan risiko sebagai proposisi nilai utama</t>
  </si>
  <si>
    <t>Susun roadmap pengembangan AI-powered SOC bertahap berbasis fondasi Wazuh yang sudah ada; mulai dengan pengembangan use case deteksi anomali sederhana sebagai quick win; bangun business case yang mengkuantifikasi efisiensi operasional versus investasi</t>
  </si>
  <si>
    <t>Personel Security Analyst berkoordinasi dengan Personel CTIO, Personel IT Governance, dan Personel DevSecOps</t>
  </si>
  <si>
    <t>Wazuh, EDR/MDR, kebijakan dan SOP sudah berjalan sebagai fondasi yang kuat untuk dikembangkan, namun seluruh proses masih manual dan peluang belum dikapitalisasi sama sekali, status New - Open dan menjadi prioritas strategis untuk segera disusun business case dan dimulai proof of concept deteksi anomali berbasis Wazuh sebagai langkah pertama yang berbiaya rendah</t>
  </si>
  <si>
    <t xml:space="preserve"> - Kembangkan proof of concept deteksi anomali berbasis Wazuh — manfaatkan kapabilitas Wazuh yang sudah ada untuk mengembangkan rule deteksi anomali sederhana berbasis pola perilaku; gunakan hasil sebagai demonstrasi nilai AI SOC kepada manajemen tanpa memerlukan investasi tools tambahan di tahap awal
 - Susun business case AI-powered SOC berbasis kuantifikasi kapabilitas vs ancaman — dokumentasikan gap antara volume ancaman aktual dengan kapasitas penanganan manual tim saat ini; kuantifikasi potensi pengurangan MTTR dan efisiensi operasional sebagai justifikasi investasi kepada manajemen senior
 - Evaluasi opsi MSSP AI SOC as a Service sebagai bridge — kaji penyedia layanan Managed SOC berbasis AI yang dapat memberikan kapabilitas segera sambil tim internal membangun kompetensi; bandingkan biaya versus nilai manfaat sebagai opsi akselerasi realisasi peluang dalam keterbatasan anggaran
 - Bangun kompetensi AI/ML untuk keamanan pada personil kunci — identifikasi personil Security Analyst yang memiliki potensi untuk dikembangkan dalam bidang AI untuk keamanan; investasikan dalam pelatihan dan sertifikasi yang relevan sebagai fondasi kapabilitas internal jangka panjang</t>
  </si>
  <si>
    <t>Peningkatan akurasi pengambilan keputusan bisnis dan eliminasi fragmentasi data lintas sistem berpotensi terwujud melalui pengembangan Enterprise Data Platform terpusat — memanfaatkan fondasi DWH yang sudah ada dan dukungan manajemen yang telah terbentuk sebagai modal utama realisasi</t>
  </si>
  <si>
    <t>Kebutuhan laporan lintas sistem yang semakin sering memunculkan inkonsistensi data sebagai pain point nyata; adanya awareness dan dorongan manajemen yang memberikan momentum strategis; perkembangan teknologi data platform yang semakin terjangkau dan dapat diadopsi secara bertahap di atas infrastruktur yang sudah ada</t>
  </si>
  <si>
    <t>Tersedianya single source of truth yang meningkatkan akurasi dan konsistensi seluruh laporan bisnis lintas sistem; percepatan waktu penyediaan laporan analitik yang meningkatkan efisiensi operasional; fondasi data yang kuat untuk pengembangan kapabilitas analitik lanjutan seperti predictive analytics dan AI/ML; peningkatan kepercayaan manajemen terhadap data sebagai dasar pengambilan keputusan strategis</t>
  </si>
  <si>
    <t>Meningkatnya kompleksitas kebutuhan pelaporan regulasi OJK yang mensyaratkan data yang akurat dan konsisten; kompetitor yang sudah mengadopsi Enterprise Data Platform memiliki keunggulan kecepatan analitik dalam pengambilan keputusan bisnis; pertumbuhan volume data yang semakin besar membuat fragmentasi semakin sulit dikelola secara manual</t>
  </si>
  <si>
    <t>Penyebab / Faktor Pendorong</t>
  </si>
  <si>
    <t>Akibat / Manfaat</t>
  </si>
  <si>
    <t>Ancaman / Pendorong Eksternal</t>
  </si>
  <si>
    <t>Kerentanan / Hambatan Realisasi</t>
  </si>
  <si>
    <t>DWH sudah berjalan sebagai fondasi yang kuat dan dukungan manajemen sudah terbentuk sebagai modal utama, namun peluang belum dikapitalisasi secara terstruktur dan roadmap pengembangan belum ada, status New - Open dan menjadi prioritas strategis untuk segera disusun roadmap dan dimulai proof of concept integrasi data prioritas tinggi sebelum momentum dukungan manajemen melemah</t>
  </si>
  <si>
    <t>Keterbatasan kapasitas server yang membatasi ekspansi platform data; keterbatasan anggaran untuk investasi infrastruktur dan tools data platform tambahan; keterbatasan waktu tim untuk eksplorasi dan implementasi arsitektur data yang lebih komprehensif; tidak adanya roadmap pengembangan Enterprise Data Platform yang terdokumentasi</t>
  </si>
  <si>
    <t>Data Warehouse telah diimplementasikan sebagai fondasi pengelolaan data analitik; namun cakupannya belum mencakup seluruh sumber data lintas sistem secara terintegrasi, sehingga kebutuhan laporan lintas sistem masih menghasilkan fragmentasi yang mengurangi akurasi pengambilan keputusan</t>
  </si>
  <si>
    <t>A.8.1 – Perangkat pengguna akhir; 
A.5.37 – Prosedur operasi yang terdokumentasi;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</si>
  <si>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DWH yang sudah tersedia dan dukungan manajemen yang sudah terbentuk menciptakan kondisi paling kondusif untuk memulai pengembangan bertahap tanpa harus membangun dari nol</t>
    </r>
  </si>
  <si>
    <t>Sedang — perusahaan masih dapat menunda realisasi penuh selama fragmentasi data belum berdampak signifikan pada keputusan bisnis kritis; jika inkonsistensi data mulai mempengaruhi pelaporan regulasi atau keputusan strategis secara konsisten, realisasi peluang ini wajib dieskalasi sebagai prioritas investasi. 
Sebagai syarat minimum untuk mulai mengkapitalisasi peluang, organisasi wajib memastikan telah tersedia: (1) roadmap pengembangan Enterprise Data Platform bertahap yang terdokumentasi dan mendapat persetujuan manajemen sebagai komitmen strategis, dan (2) inventarisasi seluruh sumber data lintas sistem yang perlu diintegrasikan sebagai dasar perencanaan arsitektur</t>
  </si>
  <si>
    <t>(1) Manfaatkan setiap permintaan laporan lintas sistem yang tidak dapat dipenuhi secara akurat sebagai dokumentasi pain point konkret untuk memperkuat justifikasi bisnis kepada manajemen; (2) demonstrasikan quick win dengan mengintegrasikan satu sumber data prioritas tinggi ke dalam DWH yang sudah ada sebagai proof of concept berbiaya rendah; (3) manfaatkan momentum dukungan manajemen untuk mengajukan alokasi anggaran pilot project dalam siklus perencanaan anggaran berikutnya; (4) eskalasi roadmap Enterprise Data Platform kepada manajemen dengan framing peningkatan kualitas keputusan bisnis dan efisiensi operasional sebagai proposisi nilai utama</t>
  </si>
  <si>
    <t>Pencegahan / Peluang</t>
  </si>
  <si>
    <t>Susun roadmap pengembangan Enterprise Data Platform bertahap berbasis DWH yang sudah ada; lakukan inventarisasi sumber data lintas sistem yang perlu diintegrasikan; mulai dengan integrasi sumber data prioritas tinggi sebagai quick win; bangun business case yang mengkuantifikasi nilai bisnis single source of truth</t>
  </si>
  <si>
    <t>Personel Data Management</t>
  </si>
  <si>
    <t xml:space="preserve"> - Lakukan inventarisasi menyeluruh sumber data lintas sistem — identifikasi seluruh sistem yang menghasilkan data bisnis kritis, petakan hubungan antar sumber data, dan identifikasi sumber fragmentasi utama yang paling sering menimbulkan inkonsistensi dalam laporan bisnis sebagai dasar prioritas integrasi
 - Susun roadmap Enterprise Data Platform bertahap dan presentasikan ke manajemen — dokumentasikan jalur pengembangan yang dimulai dari perluasan cakupan DWH yang sudah ada; bagi dalam fase yang dapat disesuaikan dengan ketersediaan server dan anggaran; manfaatkan momentum dukungan manajemen untuk mendapatkan komitmen strategis dan alokasi anggaran
 - Demonstrasikan proof of concept integrasi sumber data prioritas tinggi — mulai dengan mengintegrasikan satu atau dua sumber data yang paling sering menyebabkan fragmentasi ke dalam DWH yang sudah ada; gunakan hasil sebagai bukti nilai nyata untuk mendukung perluasan investasi
 - Evaluasi optimasi kapasitas server existing untuk mendukung ekspansi DWH — kaji opsi peningkatan kapasitas yang tersedia dalam keterbatasan anggaran seperti kompresi data, tiered storage, atau arsitektur cloud hybrid sebagai solusi keterbatasan resource tanpa investasi infrastruktur besar di awal</t>
  </si>
  <si>
    <t>Keterbatasan personil yang mendorong kebutuhan otomatisasi sebagai solusi efisiensi kapasitas; fondasi otomatisasi yang sudah terbukti berjalan pada beberapa domain memberikan kepercayaan teknis untuk perluasan; meningkatnya kompleksitas operasional IT yang tidak dapat diselesaikan dengan penambahan personil semata</t>
  </si>
  <si>
    <t>Pengurangan beban kerja manual yang membebaskan kapasitas personil untuk fokus pada tugas bernilai lebih tinggi; eliminasi human error pada proses repetitif yang meningkatkan keandalan operasional; percepatan eksekusi proses operasional yang meningkatkan kecepatan delivery layanan IT; pengurangan biaya operasional jangka panjang yang dapat dialokasikan ke inisiatif strategis bisnis</t>
  </si>
  <si>
    <t>Pertumbuhan kompleksitas operasional IT yang melebihi kapasitas penambahan personil; tekanan efisiensi biaya yang mendorong optimasi proses sebagai prioritas; perkembangan tools otomatisasi open-source yang semakin matang dan dapat diadopsi tanpa investasi lisensi signifikan</t>
  </si>
  <si>
    <t>Belum ada gap analisis menyeluruh yang memetakan seluruh proses yang berpotensi diotomatisasi; keterbatasan personil yang mengerjakan otomatisasi sambil menjalankan operasional harian; prioritas anggaran IT yang lebih diarahkan ke kebutuhan bisnis daripada efisiensi internal; tidak adanya roadmap otomatisasi yang terstruktur sebagai panduan perluasan bertahap</t>
  </si>
  <si>
    <t>Otomatisasi proses telah diimplementasikan pada beberapa domain operasional IT meliputi deployment melalui Jenkins CI/CD pipeline, penjadwalan background scheduler pada aplikasi, dan eksekusi tugas terjadwal melalui cronjob pada sistem administrasi; namun belum terdapat gap analisis menyeluruh yang memetakan potensi perluasan otomatisasi secara strategis</t>
  </si>
  <si>
    <t>A.5.37 – Prosedur operasi yang terdokumentasi; 
A.8.6 – Manajemen kapasitas;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</si>
  <si>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otomatisasi yang sudah terbukti berjalan membuat perluasan dapat dilakukan secara inkremental dengan risiko implementasi yang rendah dan dampak efisiensi yang langsung terukur</t>
    </r>
  </si>
  <si>
    <r>
      <rPr>
        <b/>
        <sz val="10"/>
        <color theme="1"/>
        <rFont val="Montserrat"/>
      </rPr>
      <t>Sedang</t>
    </r>
    <r>
      <rPr>
        <sz val="10"/>
        <color theme="1"/>
        <rFont val="Montserrat"/>
      </rPr>
      <t xml:space="preserve"> — perusahaan masih dapat beroperasi dengan level otomatisasi saat ini selama beban operasional manual masih dapat ditangani oleh personil yang ada; jika volume operasional manual sudah secara konsisten melampaui kapasitas tim, realisasi peluang ini wajib dieskalasi sebagai prioritas. 
Sebagai syarat minimum untuk mulai mengkapitalisasi peluang, organisasi wajib memastikan telah tersedia: (1) gap analisis proses operasional IT yang mengidentifikasi dan memprioritaskan seluruh proses berpotensi diotomatisasi berdasarkan nilai efisiensi dan kompleksitas implementasi, dan (2) roadmap otomatisasi bertahap yang terdokumentasi sebagai panduan perluasan yang terstruktur</t>
    </r>
  </si>
  <si>
    <t>(1) Dokumentasikan setiap insiden human error atau bottleneck operasional yang terjadi sebagai justifikasi konkret untuk memprioritaskan otomatisasi proses terdampak; (2) identifikasi quick win otomatisasi yang dapat diimplementasikan dalam waktu singkat menggunakan tools yang sudah tersedia seperti Jenkins atau cronjob untuk membuktikan nilai tambah secara cepat; (3) presentasikan hasil quick win kepada manajemen sebagai bukti ROI otomatisasi untuk mendapatkan alokasi kapasitas personil atau anggaran yang lebih besar; (4) eskalasi roadmap otomatisasi kepada manajemen dengan framing pengurangan biaya operasional jangka panjang dan peningkatan keandalan layanan IT</t>
  </si>
  <si>
    <t>Lakukan gap analisis menyeluruh untuk mengidentifikasi proses yang belum diotomatisasi; susun roadmap otomatisasi bertahap berbasis prioritas nilai efisiensi; mulai dengan quick win pada proses berulang dan bernilai tinggi menggunakan tools yang sudah tersedia</t>
  </si>
  <si>
    <t>Jenkins, background scheduler, dan cronjob sudah berjalan sebagai fondasi otomatisasi yang terbukti kuat, namun gap analisis menyeluruh dan roadmap perluasan belum ada sehingga potensi efisiensi yang lebih besar belum dikapitalisasi, status New - Open dan menjadi prioritas strategis untuk segera dilakukan gap analisis dan disusun roadmap otomatisasi bertahap</t>
  </si>
  <si>
    <t xml:space="preserve"> - Lakukan gap analisis menyeluruh proses operasional IT — identifikasi dan inventarisasi seluruh proses repetitif yang masih dilakukan secara manual; kategorikan berdasarkan frekuensi eksekusi, potensi human error, dan kompleksitas implementasi otomatisasi; urutkan prioritas berdasarkan rasio nilai efisiensi terhadap effort implementasi
 - Susun roadmap otomatisasi bertahap dan presentasikan ke manajemen — dokumentasikan jalur perluasan otomatisasi yang dapat dieksekusi secara inkremental menggunakan tools yang sudah tersedia; kuantifikasi estimasi penghematan waktu dan pengurangan error per proses sebagai justifikasi bisnis yang terukur
 - Implementasi quick win otomatisasi pada proses prioritas — mulai dengan mengotomatisasi proses yang paling sering dikerjakan manual, bervolume tinggi, dan dapat diselesaikan menggunakan Jenkins atau cronjob yang sudah tersedia; dokumentasikan hasil penghematan sebagai bukti ROI yang konkret
 - Eksplorasi RPA dan low-code automation untuk proses bisnis lintas sistem — evaluasi tools Robotic Process Automation open-source atau low-code yang dapat mengotomatisasi proses yang melibatkan multiple sistem tanpa memerlukan integrasi API penuh; jadikan sebagai investasi jangka menengah setelah quick win pertama berhasil dibuktikan</t>
  </si>
  <si>
    <t>Personel DevSecOps berkoordinasi dengan Personel IT Infra - Sysadmin, Personel IT Governance, dan Personel IT Prod-Support</t>
  </si>
  <si>
    <t>Walaupun sudah ada Gitleaks pada CI/CD tapi cakupan Gitleaks terbatas pada repositori kode sehingga tidak dapat mendeteksi credential yang dibagikan melalui Slack, email, Jira, Trello, atau Google Drive; rendahnya awareness personil terhadap risiko keamanan credential sharing di platform komunikasi dan kolaborasi; tidak adanya kebijakan eksplisit yang melarang pembagian credential melalui channel yang tidak aman</t>
  </si>
  <si>
    <t>Credential yang terekspos dapat dimanfaatkan oleh threat actor untuk akses tidak terotorisasi ke sistem, API, dan layanan cloud; penyalahgunaan layanan cloud menggunakan API key yang bocor yang mengakibatkan kerugian finansial; kesulitan investigasi forensik karena credential exposure di channel kolaborasi tidak meninggalkan jejak audit yang memadai; potensi pelanggaran kepatuhan regulasi akibat akses tidak terotorisasi ke data nasabah</t>
  </si>
  <si>
    <t>Eksploitasi API key atau access token yang ditemukan di Slack, email, atau Google Drive untuk akses tidak terotorisasi; penyalahgunaan database credential untuk ekstrasi data nasabah; cloud service abuse menggunakan credential yang bocor yang mengakibatkan kerugian finansial; insider threat yang memanfaatkan credential yang dibagikan secara tidak aman</t>
  </si>
  <si>
    <t>Secret scanning tidak mencakup channel non-repositori; tidak ada kebijakan eksplisit yang melarang credential sharing di platform komunikasi; rendahnya awareness personil terhadap risiko credential exposure di luar konteks source code; tidak ada mekanisme rotasi credential otomatis jika terdeteksi bocor</t>
  </si>
  <si>
    <t>Secret scanning berbasis Gitleaks telah diintegrasikan ke dalam CI/CD pipeline untuk mendeteksi credential pada source code repositori; namun cakupan terbatas pada repositori kode dan tidak mencakup platform komunikasi, email korporat, platform manajemen proyek, dan layanan berbagi dokumen</t>
  </si>
  <si>
    <t>A.5.17 – Informasi autentikasi; 
A.8.12 – Pencegahan kebocoran data; 
A.6.3 – Kesadaran, pendidikan dan pelatihan keamanan informasi; 
A.8.15 – Logging</t>
  </si>
  <si>
    <r>
      <rPr>
        <b/>
        <sz val="10"/>
        <color theme="1"/>
        <rFont val="Montserrat"/>
      </rPr>
      <t>Rendah</t>
    </r>
    <r>
      <rPr>
        <sz val="10"/>
        <color theme="1"/>
        <rFont val="Montserrat"/>
      </rPr>
      <t xml:space="preserve"> — perusahaan tidak bersedia membiarkan credential terekspos melalui channel komunikasi yang tidak terpantau mengingat dampak langsung terhadap keamanan akses sistem kritis, integritas data nasabah, dan potensi kerugian finansial akibat penyalahgunaan layanan cloud</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</si>
  <si>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kebijakan eksplisit yang melarang pembagian credential melalui channel yang tidak aman beserta panduan alternatif yang aman, dan (2) program awareness yang memastikan seluruh personil memahami risiko credential exposure di channel non-repositori dan cara penanganannya yang benar</t>
    </r>
  </si>
  <si>
    <t>(1) Lakukan rotasi segera terhadap seluruh credential yang teridentifikasi telah dibagikan melalui channel tidak aman — revoke API key, reset password, dan regenerate access token yang terekspos; (2) audit seluruh log akses sistem dan layanan cloud untuk mengidentifikasi apakah credential yang bocor sudah dimanfaatkan oleh pihak tidak berwenang dalam periode teridentifikasi; (3) lakukan pencarian manual pada channel yang teridentifikasi menjadi medium kebocoran untuk memastikan tidak ada credential aktif lain yang masih terekspos; (4) eskalasi insiden kepada manajemen, dokumentasikan scope eksposur, dan tinjau kewajiban pelaporan regulasi jika sistem yang terekspos menangani data nasabah</t>
  </si>
  <si>
    <t>Susun dan sosialisasikan kebijakan eksplisit larangan credential sharing di channel tidak aman; implementasi program awareness credential security; eksplorasi tools DLP atau secret scanning yang dapat menjangkau channel non-repositori; implementasi secret manager sebagai alternatif aman pengganti credential sharing</t>
  </si>
  <si>
    <t>Gitleaks sudah berjalan sebagai kontrol yang memadai untuk repositori kode namun tidak mencakup channel komunikasi dan kolaborasi, credential sharing di channel non-repositori sudah terbukti terjadi dan tidak terdeteksi, risiko masih terbuka pada level Tinggi, status In Progress dan menjadi prioritas untuk segera disusun kebijakan dan diselenggarakan awareness sebelum insiden eksploitasi terjadi</t>
  </si>
  <si>
    <t>Personel DevSecOps berkoordinasi dengan Personel Security Analyst dan Personel IT Governance</t>
  </si>
  <si>
    <t xml:space="preserve"> - Susun dan sosialisasikan kebijakan eksplisit larangan credential sharing di channel tidak aman — tetapkan larangan formal berbagi password, API key, access token, dan database credential melalui Slack, email, Jira, Trello, atau Google Drive; sertakan panduan alternatif yang aman seperti penggunaan secret manager; sosialisasikan kepada seluruh personil IT dengan bukti tanda tangan penerimaan kebijakan
 - Implementasi program awareness credential security — selenggarakan sesi edukasi yang mencakup risiko nyata credential exposure di channel komunikasi, contoh kasus eksploitasi credential yang bocor, dan praktik aman pengelolaan credential; wajibkan seluruh personil yang memiliki akses ke sistem kritis mengikuti program ini
 - Implementasi secret manager sebagai alternatif aman — deploy solusi secret manager seperti HashiCorp Vault atau solusi setara untuk mengelola dan mendistribusikan credential secara aman; eliminasi kebutuhan sharing credential manual dengan menyediakan mekanisme akses credential yang terkontrol dan teraudit
 - Evaluasi dan implementasi DLP atau secret scanning untuk channel non-repositori — kaji tools yang dapat mendeteksi pola credential di platform komunikasi dan kolaborasi yang digunakan; pertimbangkan solusi yang terintegrasi dengan platform yang sudah ada untuk memastikan deteksi otomatis credential exposure di luar scope Gitleaks</t>
  </si>
  <si>
    <t>Peningkatan resiliensi operasional infrastruktur CI/CD dan eliminasi ketergantungan pada personil kunci berpotensi terwujud — melalui implementasi program knowledge transfer terstruktur dan penambahan manpower yang membangun kapabilitas tim yang lebih merata dan tidak bergantung pada individu tunggal</t>
  </si>
  <si>
    <t>Ketergantungan operasional yang signifikan pada satu personil kunci sudah menjadi pain point nyata yang mendorong kebutuhan segera; kompleksitas infrastruktur CI/CD dan otomasi keamanan yang terus berkembang membutuhkan distribusi pengetahuan yang lebih merata; risiko knowledge loss permanen jika personil kunci tidak tersedia mendorong urgensi realisasi peluang ini</t>
  </si>
  <si>
    <t>Eliminasi single point of knowledge yang meningkatkan resiliensi operasional infrastruktur kritis; percepatan onboarding personil baru melalui dokumentasi yang komprehensif; peningkatan kapabilitas tim secara keseluruhan yang memungkinkan distribusi beban kerja lebih merata; fondasi yang lebih kuat untuk pengembangan dan inovasi infrastruktur CI/CD tanpa bergantung pada satu individu</t>
  </si>
  <si>
    <t>Kemungkinan adanya turnover di profesi DevSecOps yang meningkatkan probabilitas kehilangan personil kunci; kompleksitas infrastruktur yang terus bertambah membuat ketergantungan semakin berisiko seiring waktu; tekanan delivery yang meningkat membutuhkan kapabilitas tim yang lebih terdistribusi</t>
  </si>
  <si>
    <t>Tidak ada program knowledge transfer yang terdefinisi dan terjadwal; dokumentasi infrastruktur CI/CD dan otomasi keamanan belum tersedia; keterbatasan waktu personil kunci yang harus menjalankan operasional sambil melakukan transfer pengetahuan; ketersediaan dan alokasi manpower tambahan bergantung pada persetujuan anggaran</t>
  </si>
  <si>
    <t>Belum terdapat program formal knowledge transfer maupun dokumentasi komprehensif terkait infrastruktur CI/CD pipeline dan skrip otomasi keamanan; pengelolaan infrastruktur kritis bergantung secara signifikan pada satu personil kunci tanpa mekanisme redundansi pengetahuan yang memastikan keberlangsungan operasional</t>
  </si>
  <si>
    <t>7.2 – Kompetensi; 7.5 – Informasi terdokumentasi; 
8.1 – Perencanaan dan pengendalian operasional</t>
  </si>
  <si>
    <t>A.6.3 – Kesadaran, pendidikan dan pelatihan keamanan informasi; 
A.5.37 – Prosedur operasi yang terdokumentasi; 
A.6.1 – Penyaringan</t>
  </si>
  <si>
    <r>
      <rPr>
        <b/>
        <sz val="10"/>
        <color theme="1"/>
        <rFont val="Montserrat"/>
      </rPr>
      <t>Tinggi</t>
    </r>
    <r>
      <rPr>
        <sz val="10"/>
        <color theme="1"/>
        <rFont val="Montserrat"/>
      </rPr>
      <t xml:space="preserve"> — perusahaan memiliki ambisi untuk mengkapitalisasi peluang ini secara aktif mengingat knowledge transfer dapat dimulai segera tanpa investasi besar, sementara manfaat resiliensi operasional yang dihasilkan bersifat langsung dan terukur</t>
    </r>
  </si>
  <si>
    <t>Sedang — perusahaan masih dapat beroperasi selama personil kunci tersedia; jika personil kunci tidak tersedia dan operasional terganggu, realisasi peluang ini wajib dieskalasi sebagai prioritas utama. 
Sebagai syarat minimum untuk mulai mengkapitalisasi peluang, organisasi wajib memastikan telah tersedia: (1) program knowledge transfer yang terjadwal dengan sesi reguler antara personil kunci dan minimal satu personil lain yang ditunjuk sebagai penerima transfer, dan (2) dokumentasi minimal infrastruktur CI/CD dan skrip otomasi keamanan yang memungkinkan personil lain memahami dan mengoperasikan sistem tanpa bergantung penuh pada personil kunci</t>
  </si>
  <si>
    <t>(1) Manfaatkan setiap insiden operasional yang terjadi akibat ketidaktersediaan personil kunci sebagai justifikasi konkret untuk memprioritaskan program knowledge transfer kepada manajemen; (2) segera tetapkan personil yang akan menjadi penerima knowledge transfer dan mulai sesi dokumentasi intensif pada domain paling kritis; (3) ajukan kebutuhan penambahan manpower dengan justifikasi berbasis risiko kontinuitas operasional kepada manajemen untuk mendapatkan persetujuan alokasi; (4) eskalasi status single point of knowledge kepada manajemen dengan roadmap resolusi yang konkret dan terukur</t>
  </si>
  <si>
    <t>Tetapkan program knowledge transfer terjadwal dengan personil penerima yang ditunjuk secara formal; mulai dengan dokumentasi domain paling kritis sebagai quick win; susun justifikasi penambahan manpower berbasis risiko kontinuitas untuk persetujuan manajemen</t>
  </si>
  <si>
    <t>Belum ada program knowledge transfer dan dokumentasi infrastruktur CI/CD yang tersedia, ketergantungan pada personil kunci masih penuh tanpa redundansi pengetahuan, peluang belum dikapitalisasi, status New - Open dan menjadi prioritas untuk segera ditunjuk personil penerima transfer dan dimulai sesi dokumentasi domain kritis</t>
  </si>
  <si>
    <t>Personel CTIO berkoordinasi dengan Personel DevSecOps dan Personel IT Governance</t>
  </si>
  <si>
    <t>Tunjuk personil penerima knowledge transfer dan tetapkan jadwal sesi reguler — identifikasi dan tunjuk secara formal minimal satu personil sebagai penerima transfer pengetahuan infrastruktur CI/CD dan otomasi keamanan; tetapkan jadwal sesi reguler yang terlindungi dari gangguan operasional harian sebagai komitmen organisasi
 - Susun dokumentasi komprehensif infrastruktur CI/CD dan skrip otomasi keamanan — buat dokumentasi teknis yang mencakup arsitektur pipeline, konfigurasi kritis, prosedur operasional, dan troubleshooting guide; prioritaskan domain yang paling berisiko jika personil kunci tidak tersedia sebagai quick win dokumentasi pertama
 - Susun justifikasi penambahan manpower berbasis risiko kontinuitas — dokumentasikan dampak operasional yang sudah atau berpotensi terjadi akibat single point of knowledge; kuantifikasi kebutuhan manpower tambahan dan presentasikan kepada manajemen sebagai investasi resiliensi operasional bukan sekadar penambahan biaya
 - Implementasi rotasi tugas dan cross-training berkelanjutan — setelah knowledge transfer awal selesai, tetapkan mekanisme rotasi tugas yang memastikan lebih dari satu personil secara aktif mengoperasikan dan memelihara infrastruktur CI/CD; jadikan sebagai praktik standar yang mencegah akumulasi ketergantungan pada individu di masa mendatang</t>
  </si>
  <si>
    <t>Tidak adanya mekanisme autentikasi dan otorisasi yang diterapkan langsung pada dokumentasi API; tidak ada requirement yang mendefinisikan standar keamanan akses dokumentasi teknis; keterbatasan waktu yang menghambat implementasi kontrol akses pada dokumentasi; tidak ada awareness terhadap risiko eksposur dokumentasi API di jaringan internal</t>
  </si>
  <si>
    <t>Threat actor yang berhasil masuk ke jaringan internal melalui lateral movement atau insider threat dapat mengakses seluruh detail arsitektur API; informasi yang diperoleh memfasilitasi threat modeling yang lebih akurat dan pengembangan eksploitasi yang lebih terarah; peningkatan efektivitas serangan berbasis pengetahuan arsitektur yang menurunkan waktu dan effort yang dibutuhkan attacker; eksposur struktur data internal yang dapat mengungkap cara pengelolaan data nasabah</t>
  </si>
  <si>
    <t>Insider threat yang memanfaatkan akses dokumentasi API untuk memetakan celah eksploitasi; attacker yang sudah berada di jaringan internal melalui lateral movement menggunakan dokumentasi untuk merancang serangan lanjutan; eksposur endpoint dan parameter schema yang memfasilitasi serangan BOLA/IDOR yang lebih terarah</t>
  </si>
  <si>
    <t>Dokumentasi API tidak memiliki mekanisme autentikasi dan otorisasi tersendiri; akses hanya dikontrol di level perimeter firewall tanpa granularitas per pengguna; tidak ada requirement yang mewajibkan proteksi dokumentasi teknis sebagai aset sensitif; tidak ada klasifikasi dokumen yang menandai API specification sebagai informasi yang memerlukan perlindungan akses</t>
  </si>
  <si>
    <t>Akses terhadap dokumentasi teknis API telah dibatasi pada jaringan internal melalui konfigurasi firewall sebagai kontrol perimeter; namun belum terdapat mekanisme autentikasi dan otorisasi yang diterapkan langsung pada dokumentasi API, sehingga seluruh personil di jaringan internal dapat mengakses detail arsitektur tanpa verifikasi identitas dan kewenangan</t>
  </si>
  <si>
    <t>8.1 – Perencanaan dan pengendalian operasional; 
5.15 – Manajemen akses</t>
  </si>
  <si>
    <t>A.5.15 – Manajemen akses; 
A.8.3 – Pembatasan akses informasi; 
A.8.26 – Persyaratan keamanan aplikasi; 
A.5.12 – Klasifikasi informasi</t>
  </si>
  <si>
    <r>
      <rPr>
        <b/>
        <sz val="10"/>
        <color theme="1"/>
        <rFont val="Montserrat"/>
      </rPr>
      <t>Rendah</t>
    </r>
    <r>
      <rPr>
        <sz val="10"/>
        <color theme="1"/>
        <rFont val="Montserrat"/>
      </rPr>
      <t xml:space="preserve"> — perusahaan tidak bersedia membiarkan dokumentasi teknis API yang mengandung detail arsitektur sistem dapat diakses tanpa verifikasi identitas dan kewenangan, mengingat informasi tersebut secara langsung memfasilitasi pengembangan eksploitasi yang lebih terarah terhadap sistem</t>
    </r>
  </si>
  <si>
    <t>Sedang — perusahaan masih dapat beroperasi selama nilai risiko residual ≤ 6; jika residual masih &gt;6, wajib eskalasi ke manajemen. Sebagai syarat minimum toleransi, organisasi wajib memastikan telah tersedia: (1) mekanisme autentikasi yang membatasi akses dokumentasi API hanya kepada personil yang memiliki kebutuhan bisnis yang terdefinisi, dan (2) klasifikasi dokumentasi API sebagai aset informasi sensitif yang memerlukan kontrol akses berbasis identitas</t>
  </si>
  <si>
    <t>(1) Nonaktifkan sementara akses publik dokumentasi API pada jaringan internal hingga mekanisme autentikasi dapat diimplementasikan; distribusikan dokumentasi hanya melalui channel yang terproteksi kepada personil yang membutuhkan; (2) audit log akses untuk mengidentifikasi siapa saja yang sudah mengakses dokumentasi API dalam periode tertentu dan apakah ada pola akses yang tidak wajar; (3) lakukan review terhadap seluruh endpoint yang terdokumentasi untuk mengidentifikasi apakah ada yang sudah dieksploitasi berdasarkan pola akses pada log API Gateway; (4) eskalasi temuan kepada manajemen dan dokumentasikan scope eksposur sebagai dasar prioritas implementasi kontrol akses</t>
  </si>
  <si>
    <t>Implementasi mekanisme autentikasi pada akses dokumentasi API; klasifikasikan API specification sebagai aset informasi sensitif; tetapkan requirement keamanan akses dokumentasi teknis sebagai standar wajib; batasi akses hanya kepada personil dengan kebutuhan bisnis yang terdefinisi</t>
  </si>
  <si>
    <t>Pembatasan firewall internal sudah berjalan sebagai kontrol perimeter yang memberikan perlindungan dasar, namun tidak adanya autentikasi pada dokumentasi API membuat insider threat dan attacker yang sudah berada di jaringan internal dapat mengakses seluruh detail arsitektur tanpa hambatan, risiko belum mengalami penurunan signifikan, status In Progress dan menjadi prioritas untuk segera diimplementasikan autentikasi pada akses dokumentasi API</t>
  </si>
  <si>
    <t>Personel Digital Application Development berkoordinasi dengan Personel Security Analyst dan Personel IT Governance</t>
  </si>
  <si>
    <t xml:space="preserve"> - Implementasi mekanisme autentikasi pada akses dokumentasi API — terapkan kontrol akses berbasis identitas pada seluruh dokumentasi teknis API (Swagger UI, Postman collections, OpenAPI spec) sehingga hanya personil dengan identitas terverifikasi dan kewenangan terdefinisi yang dapat mengaksesnya; manfaatkan IAM yang sudah tersedia sebagai mekanisme autentikasi
 - Klasifikasikan API documentation sebagai aset informasi sensitif — tandai seluruh dokumentasi teknis API sebagai aset dengan klasifikasi confidential yang memerlukan kontrol akses berbasis identitas; integrasikan ke dalam kebijakan klasifikasi informasi yang berlaku dan pastikan penanganannya mengikuti standar perlindungan yang sesuai
 - Tetapkan requirement keamanan akses dokumentasi teknis sebagai standar wajib — definisikan secara formal bahwa seluruh dokumentasi teknis yang mengandung detail arsitektur sistem wajib dilindungi dengan autentikasi; integrasikan sebagai requirement wajib dalam proses pengembangan dan deployment dokumentasi API ke depannya
 - Evaluasi penerapan API documentation portal dengan kontrol akses granular — kaji solusi portal dokumentasi API yang mendukung autentikasi terpusat, kontrol akses berbasis role, dan audit trail akses; pertimbangkan sebagai investasi jangka menengah untuk mengelola akses dokumentasi secara lebih terstruktur dan teraudit</t>
  </si>
  <si>
    <t>Rencana Tinjauan
Q1</t>
  </si>
  <si>
    <t>Rencana Tinjauan
Q3</t>
  </si>
  <si>
    <t>Tinjauan Q1</t>
  </si>
  <si>
    <t>Tinjauan Q2</t>
  </si>
  <si>
    <t>Rencana Tinjauan
Q2</t>
  </si>
  <si>
    <t xml:space="preserve"> Q1 Review</t>
  </si>
  <si>
    <t>Q2 Review</t>
  </si>
  <si>
    <t>Q1 Hasil</t>
  </si>
  <si>
    <t>Q2 Hasil</t>
  </si>
  <si>
    <t>Tinjauan Q3</t>
  </si>
  <si>
    <t>Q3 Review</t>
  </si>
  <si>
    <t>Q3 Hasil</t>
  </si>
  <si>
    <t>Rencana Tinjauan
Q4</t>
  </si>
  <si>
    <t>Q4 Review</t>
  </si>
  <si>
    <t>Q4 Hasil</t>
  </si>
  <si>
    <t>Dokumentasi API specification belum tersedia akibat keterbatasan waktu dan resources untuk penyusunannya; tidak adanya prosedur formal notifikasi perubahan API contract kepada consumer; consumer tidak memiliki referensi formal untuk memvalidasi dan mengantisipasi perubahan yang terjadi pada API yang mereka konsumsi</t>
  </si>
  <si>
    <t>Gangguan layanan pada sistem dependen akibat perubahan field, tipe data, atau validation rule yang tidak diantisipasi; inkonsistensi data pada consumer yang belum melakukan adaptasi terhadap perubahan contract; peningkatan effort debugging dan troubleshooting akibat tidak adanya referensi API spec yang dapat digunakan untuk mengidentifikasi akar masalah; potensi data corruption pada sistem yang memproses response dengan format yang sudah berubah</t>
  </si>
  <si>
    <t>Breaking change yang tidak terdeteksi consumer akibat tidak adanya dokumentasi contract formal; inkonsistensi data yang terakumulasi pada sistem downstream; gangguan layanan yang berdampak pada operasional bisnis akibat integrasi yang gagal setelah perubahan API</t>
  </si>
  <si>
    <t>API specification belum terdokumentasi dan tidak dapat dibagikan kepada consumer; tidak ada prosedur notifikasi perubahan API yang formal; consumer tidak memiliki referensi untuk melakukan contract testing secara mandiri; keterbatasan waktu dan resources yang menghalangi penyusunan dokumentasi API</t>
  </si>
  <si>
    <t>Semantic versioning telah diimplementasikan pada API sebagai mekanisme dasar pengelolaan perubahan; namun dokumentasi API specification yang dapat dibagikan kepada pengguna internal maupun eksternal belum tersedia, sehingga consumer tidak memiliki referensi formal terhadap contract yang berlaku dan tidak dapat menerima notifikasi perubahan secara terstruktur</t>
  </si>
  <si>
    <t>A.5.37 – Prosedur operasi yang terdokumentasi; 
A.8.25 – Siklus hidup pengembangan yang aman; 
A.5.19 – Keamanan informasi dalam hubungan pemasok</t>
  </si>
  <si>
    <r>
      <rPr>
        <b/>
        <sz val="10"/>
        <color theme="1"/>
        <rFont val="Montserrat"/>
      </rPr>
      <t>Sedang</t>
    </r>
    <r>
      <rPr>
        <sz val="10"/>
        <color theme="1"/>
        <rFont val="Montserrat"/>
      </rPr>
      <t xml:space="preserve"> — perusahaan dapat mentolerir ketiadaan API spec dalam jangka pendek selama versioning masih berjalan sebagai kontrol dasar, namun tidak bersedia membiarkan consumer internal maupun eksternal beroperasi tanpa referensi formal contract API mengingat dampaknya pada keandalan integrasi dan konsistensi data</t>
    </r>
  </si>
  <si>
    <t>Sedang — perusahaan masih dapat beroperasi selama nilai risiko residual ≤ 6; jika residual masih &gt;6, wajib eskalasi ke manajemen. 
Sebagai syarat minimum toleransi, organisasi wajib memastikan telah tersedia: (1) dokumentasi API specification minimal untuk endpoint kritis yang dikonsumsi oleh sistem dependen yang paling berdampak pada operasional bisnis, dan (2) prosedur notifikasi perubahan API yang formal kepada seluruh consumer yang teridentifikasi sebelum perubahan diimplementasikan</t>
  </si>
  <si>
    <t>(1) Identifikasi segera sistem dependen yang mengalami gangguan dan koordinasikan dengan tim developer untuk melakukan rollback atau hotfix pada perubahan API yang menyebabkan disruption; (2) komunikasikan perubahan API yang telah terjadi kepada seluruh consumer yang teridentifikasi melalui channel komunikasi yang tersedia sebagai notifikasi darurat; (3) lakukan audit terhadap seluruh sistem dependen untuk mengidentifikasi scope dampak inkonsistensi data yang mungkin sudah terjadi; (4) eskalasi insiden kepada manajemen, dokumentasikan akar masalah, dan jadikan sebagai justifikasi urgensi penyusunan API specification formal</t>
  </si>
  <si>
    <t>Susun dokumentasi API specification minimal untuk endpoint kritis; implementasi prosedur notifikasi perubahan API formal kepada consumer; integrasikan penyusunan API spec sebagai komponen wajib dalam proses pengembangan API baru</t>
  </si>
  <si>
    <t>Versioning sudah berjalan sebagai kontrol dasar yang memadai untuk mencegah breaking change langsung, namun ketiadaan API specification membuat consumer tidak memiliki referensi formal contract dan perubahan tidak dapat dikomunikasikan secara terstruktur, risiko belum mengalami penurunan signifikan, status In Progress dan menjadi prioritas untuk segera disusun API spec endpoint kritis dan ditetapkan prosedur notifikasi perubahan</t>
  </si>
  <si>
    <t>Personel App Development berkoordinasi dengan Personel IT Core Development dan Personel IT Governance dan IT DevSecOps serta QA</t>
  </si>
  <si>
    <t xml:space="preserve"> - Susun dokumentasi API specification untuk endpoint kritis — prioritaskan dokumentasi OpenAPI/Swagger untuk endpoint yang dikonsumsi oleh sistem dependen paling kritis; manfaatkan tools auto-generation dari kode yang sudah ada untuk mempercepat proses tanpa memerlukan effort manual penuh dalam keterbatasan waktu dan resources
 - Tetapkan prosedur notifikasi perubahan API formal kepada consumer — definisikan mekanisme dan channel notifikasi wajib yang harus dijalankan sebelum setiap perubahan API diimplementasikan; sertakan changelog yang menjelaskan perubahan field, tipe data, dan validation rule beserta timeline adaptasi yang diberikan kepada consumer
 - Integrasikan penyusunan API spec sebagai komponen wajib dalam pengembangan API baru — tetapkan bahwa setiap API baru yang dikembangkan wajib disertai dokumentasi OpenAPI specification sebelum dapat di-deploy ke production; jadikan sebagai gate wajib dalam pipeline CI/CD untuk API endpoint baru
 - Implementasi consumer contract testing — eksplorasi tools contract testing seperti Pact atau Spring Cloud Contract yang memungkinkan consumer memvalidasi secara otomatis bahwa perubahan API tidak melanggar contract yang disepakati; jadikan sebagai investasi jangka menengah setelah dokumentasi API spec tersedia</t>
  </si>
  <si>
    <t>Degradasi performa sistem dan kegagalan layanan di bawah beban production yang tidak dapat diantisipasi berpotensi terjadi — akibat tidak konsistennya pendefinisian NFR sebagai target performa terukur dan belum terstandarisasinya cakupan performance testing untuk seluruh sistem</t>
  </si>
  <si>
    <t>NFR belum terdefinisi secara konsisten untuk seluruh sistem akibat tidak adanya standar dan kebijakan yang mewajibkannya; keterbatasan pengetahuan tim terkait jenis-jenis NFR dan cara mendefinisikannya secara terukur; performance testing dilakukan secara ad-hoc tanpa baseline NFR yang dapat digunakan sebagai acuan validasi; cakupan performance testing terbatas pada sistem eksternal tanpa mencakup sistem internal secara menyeluruh</t>
  </si>
  <si>
    <t>Batas kapasitas sistem tidak terdokumentasi sehingga tidak dapat digunakan sebagai dasar capacity planning; degradasi performa yang tidak terprediksi saat sistem menghadapi beban production yang melebihi kapasitas yang tidak diketahui; kegagalan layanan yang berdampak pada pengalaman nasabah dan operasional bisnis; kesulitan troubleshooting performa akibat tidak adanya baseline yang dapat dijadikan referensi perbandingan</t>
  </si>
  <si>
    <t>Kegagalan sistem saat menghadapi lonjakan traffic production yang melebihi kapasitas tidak terdokumentasi; degradasi performa yang tidak terdeteksi hingga berdampak pada nasabah; pelanggaran SLA akibat performa sistem yang tidak tervalidasi di bawah beban nyata; inkonsistensi kapasitas antar sistem yang menimbulkan bottleneck pada integrasi</t>
  </si>
  <si>
    <t>NFR tidak terdefinisi secara konsisten sehingga tidak ada target performa terukur sebagai acuan; performance testing dilakukan tanpa baseline NFR yang valid; cakupan testing terbatas pada sistem eksternal tanpa mencakup seluruh sistem; keterbatasan pengetahuan tim terkait jenis dan cara pendefinisian NFR yang komprehensif</t>
  </si>
  <si>
    <t>Performance testing telah dilaksanakan secara ad-hoc dalam pipeline CI/CD oleh tim DevSecOps dengan fokus pada sistem yang menghadap ke eksternal; namun pelaksanaannya belum terstandarisasi, tidak didasarkan pada target NFR yang terdefinisi, dan tidak mencakup seluruh sistem secara konsisten</t>
  </si>
  <si>
    <t>A.8.6 – Manajemen kapasitas; 
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</si>
  <si>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inkonsistensi NFR dalam jangka pendek selama performance testing ad-hoc masih dijalankan untuk sistem kritis eksternal, namun tidak bersedia membiarkan sistem beroperasi tanpa target performa terukur dan validasi kapasitas yang komprehensif mengingat dampaknya pada keandalan layanan nasabah</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</si>
  <si>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NFR yang terdefinisi dan terdokumentasi minimal untuk seluruh sistem kritis yang menghadap nasabah eksternal sebagai baseline validasi performa, dan (2) standar minimum performance testing yang menetapkan skenario wajib dan threshold kelulusan berbasis NFR yang telah terdefinisi</t>
    </r>
  </si>
  <si>
    <t>(1) Identifikasi segera sistem yang mengalami degradasi performa dan lakukan triage untuk menentukan apakah masalah bersumber dari kapasitas yang terlampaui atau konfigurasi yang tidak optimal; (2) implementasikan scaling darurat atau load balancing adjustment untuk memulihkan layanan dalam waktu sesingkat mungkin; (3) lakukan performance profiling pada sistem terdampak untuk mengidentifikasi bottleneck spesifik dan dokumentasikan batas kapasitas aktual yang teridentifikasi; (4) eskalasi insiden kepada manajemen, dokumentasikan dampak SLA, dan jadikan sebagai justifikasi urgensi pendefinisian NFR dan standarisasi performance testing</t>
  </si>
  <si>
    <t>Tetapkan NFR sebagai komponen wajib dalam BRD untuk seluruh sistem; standarisasi skenario dan threshold performance testing berbasis NFR; perluas cakupan performance testing ke seluruh sistem termasuk internal</t>
  </si>
  <si>
    <t>Performance testing ad-hoc dalam CI/CD sudah berjalan untuk sistem eksternal sebagai kontrol parsial yang memadai, namun NFR belum terdefinisi secara konsisten dan cakupan testing belum menyeluruh, risiko belum mengalami penurunan signifikan, status In Progress dan menjadi prioritas untuk segera ditetapkan NFR sebagai komponen wajib dan distandarisasi skenario performance testing</t>
  </si>
  <si>
    <t>Personel Quality Assurance berkoordinasi dengan Personel Business Analyst, Personel DevSecOps, dan Personel IT Infra - Sysadmin</t>
  </si>
  <si>
    <t xml:space="preserve"> - Tetapkan template NFR standar dan integrasikan sebagai komponen wajib BRD — buat template yang mencakup seluruh kategori NFR yang relevan meliputi performa, kapasitas, ketersediaan, skalabilitas, dan keamanan; lengkapi dengan panduan cara mendefinisikan target yang terukur; jadikan sebagai komponen mandatory yang harus diisi sebelum BRD dapat disetujui
 - Standarisasi skenario dan threshold performance testing berbasis NFR — definisikan skenario wajib performance testing yang mencakup load testing, stress testing, dan spike testing; tetapkan threshold kelulusan yang mengacu pada NFR yang terdefinisi; jadikan sebagai gate wajib dalam pipeline CI/CD untuk seluruh sistem sebelum deployment ke production
 - Perluas cakupan performance testing ke seluruh sistem termasuk internal — identifikasi sistem internal yang belum tercakup dalam performance testing; prioritaskan berdasarkan ketergantungan sistem eksternal pada sistem internal tersebut; jadwalkan pelaksanaan performance testing pertama untuk mengidentifikasi batas kapasitas aktual
 - Selenggarakan pelatihan NFR untuk BA, QA, dan DevSecOps — program pelatihan yang mencakup jenis-jenis NFR, cara mendefinisikan target yang terukur, dan metode validasi melalui performance testing; pastikan seluruh personil yang terlibat dalam SDLC memahami peran NFR dalam memastikan keandalan sistem di production</t>
  </si>
  <si>
    <t>Kegagalan integrasi antar microservice dan inkompatibilitas layanan yang tidak terdeteksi berpotensi lolos ke production dan mengganggu operasional bisnis — akibat skenario pengujian integrasi yang tidak mencakup keseluruhan interaksi antar microservice karena ketiadaan referensi arsitektur dan pemahaman end-to-end yang memadai pada personil BA dan QA</t>
  </si>
  <si>
    <t>Skenario pengujian integrasi disusun terbatas berdasarkan Postman collection per project tanpa referensi arsitektur microservice yang komprehensif; BA dan QA tidak memiliki pemahaman terhadap keseluruhan arsitektur dan pola interaksi antar service sehingga tidak dapat menyusun skenario pengujian yang representatif; tidak adanya API specification per service yang dapat menjadi acuan penyusunan test case integrasi lintas service</t>
  </si>
  <si>
    <t>Skenario pengujian integrasi tidak merepresentasikan keseluruhan interaksi antar microservice yang terjadi di production; kegagalan integrasi dan inkompatibilitas antar service lolos tanpa terdeteksi; peningkatan waktu dan biaya debugging pasca-release akibat kegagalan yang seharusnya dapat dicegah dalam proses pengujian; kesulitan membuktikan bahwa seluruh alur integrasi kritis sudah divalidasi sebelum release</t>
  </si>
  <si>
    <t>Kegagalan layanan production akibat inkompatibilitas microservice yang tidak tercakup dalam skenario pengujian; gangguan cascade pada multiple service yang tidak terantisipasi; peningkatan MTTR akibat tidak adanya skenario pengujian yang dapat direplikasi untuk proses debugging</t>
  </si>
  <si>
    <t>Skenario pengujian integrasi terbatas pada Postman collection per project tanpa cakupan interaksi lintas service; BA dan QA tidak memiliki pemahaman arsitektur keseluruhan sebagai dasar penyusunan test case; tidak ada standar minimum cakupan pengujian integrasi yang mewajibkan skenario lintas service; gap knowledge terhadap seluruh microservice yang ada dan interaksinya</t>
  </si>
  <si>
    <t>Pengujian integrasi dilaksanakan berdasarkan Postman collection yang tersedia secara parsial per project; namun skenario yang ada tidak mencakup interaksi lintas service secara komprehensif karena tidak tersedianya referensi arsitektur microservice dan API specification yang dapat digunakan sebagai acuan penyusunan test case integrasi end-to-end</t>
  </si>
  <si>
    <t>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</si>
  <si>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keterbatasan cakupan skenario pengujian integrasi dalam jangka pendek selama Postman collection masih memberikan validasi dasar per project, namun tidak bersedia membiarkan kegagalan integrasi antar microservice terus berpotensi lolos ke production akibat skenario test case yang tidak merepresentasikan keseluruhan interaksi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</si>
  <si>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skenario test case integrasi yang mencakup alur bisnis kritis lintas microservice yang paling sering digunakan dan paling berisiko jika gagal, dan (2) standar minimum cakupan pengujian integrasi yang mewajibkan skenario lintas service sebagai gate wajib sebelum release</t>
    </r>
  </si>
  <si>
    <t>(1) Identifikasi segera service yang mengalami kegagalan integrasi dan lakukan isolasi untuk mencegah cascade failure ke service lain yang bergantung; (2) lakukan rollback pada deployment terakhir yang menyebabkan inkompatibilitas sambil tim developer mengidentifikasi akar masalah; (3) jadikan kegagalan yang terjadi sebagai skenario pengujian baru yang wajib ditambahkan ke dalam test case integrasi untuk mencegah pengulangan; (4) eskalasi insiden kepada manajemen, dokumentasikan gap skenario pengujian yang menyebabkan kegagalan tidak terdeteksi, dan jadikan sebagai justifikasi urgensi perluasan cakupan test case integrasi</t>
  </si>
  <si>
    <t>Perluas skenario test case untuk mencakup alur integrasi lintas microservice; tetapkan standar minimum cakupan pengujian integrasi sebagai gate release; tingkatkan pemahaman BA dan QA terhadap arsitektur dan interaksi antar microservice sebagai dasar penyusunan skenario yang representatif</t>
  </si>
  <si>
    <t>Personel Quality Assurance berkoordinasi dengan Personel Business Analyst, Personel DevSecOps, dan Personel IT Core Development</t>
  </si>
  <si>
    <t>Postman collection per project sudah berjalan sebagai kontrol pengujian parsial yang terbatas, namun skenario test case tidak mencakup interaksi lintas microservice dan cakupan pengujian integrasi tidak dapat divalidasi secara menyeluruh, risiko belum mengalami penurunan, status In Progress dan menjadi prioritas untuk segera diperluas skenario test case integrasi dan ditetapkan standar minimum cakupan pengujian lintas service</t>
  </si>
  <si>
    <t xml:space="preserve"> - Susun skenario test case integrasi untuk alur bisnis kritis lintas microservice — identifikasi alur bisnis end-to-end yang paling sering digunakan dan paling berisiko jika gagal; kembangkan skenario pengujian yang mensimulasikan interaksi nyata antar service dalam alur tersebut; jadikan sebagai test suite wajib yang dieksekusi sebelum setiap release
 - Tetapkan standar minimum cakupan pengujian integrasi sebagai gate release — definisikan persentase minimum alur integrasi kritis yang harus tercakup dalam skenario test case; jadikan sebagai gate wajib dalam pipeline CI/CD yang mencegah deployment ke production jika cakupan minimum belum terpenuhi
 - Selenggarakan knowledge transfer arsitektur microservice untuk BA dan QA — fasilitasi sesi yang dipandu tim developer untuk menjelaskan arsitektur keseluruhan, pola interaksi antar service, dan titik integrasi kritis; dokumentasikan hasilnya sebagai referensi mandiri yang dapat digunakan dalam penyusunan skenario pengujian berikutnya
 - Perluas dan standarisasi Postman collection untuk pengujian integrasi lintas service — kembangkan collection yang mencakup skenario interaksi antar microservice secara berurutan sesuai alur bisnis nyata; integrasikan ke dalam pipeline CI/CD sebagai bagian dari automated integration testing yang berjalan secara konsisten pada setiap deployment</t>
  </si>
  <si>
    <t>Kerentanan logika bisnis dan celah non-teknis berpotensi lolos ke production akibat kepercayaan diri yang tidak berdasar terhadap hasil automated security testing — disebabkan tidak adanya review aktif terhadap output pipeline dan ketiadaan penetration testing manual sebagai validasi independen</t>
  </si>
  <si>
    <t>Hasil security testing dari pipeline tidak direview secara aktif oleh personil yang kompeten setelah deployment selesai; tidak adanya penetration testing manual yang memvalidasi kerentanan di luar jangkauan automated tools; tekanan waktu release dari user yang mendorong tim melewati review mendalam; keterbatasan personil yang tidak memungkinkan dedicated security reviewer untuk setiap release</t>
  </si>
  <si>
    <t>Kerentanan logika bisnis yang tidak dapat dideteksi automated tools lolos ke production; false confidence bahwa sistem aman hanya berdasarkan status pipeline hijau tanpa validasi independen; eksploitasi celah non-teknis yang seharusnya teridentifikasi melalui penetration testing manual; peningkatan eksposur risiko keamanan yang tidak terukur karena temuan DefectDojo tidak ditindaklanjuti secara konsisten</t>
  </si>
  <si>
    <t>Eksploitasi kerentanan logika bisnis yang lolos dari automated scanning; serangan yang memanfaatkan celah non-teknis seperti broken access control dan business logic bypass yang tidak dapat dideteksi SAST/DAST; akumulasi temuan tidak ditindaklanjuti di DefectDojo yang berpotensi dieksploitasi</t>
  </si>
  <si>
    <t>Hasil security testing pipeline tidak direview secara aktif; tidak ada penetration testing manual sebagai validasi independen; status pipeline hijau dianggap sebagai jaminan keamanan tanpa verifikasi lebih lanjut; tidak ada prosedur tindak lanjut temuan DefectDojo yang terdefinisi dan konsisten dijalankan</t>
  </si>
  <si>
    <t>Pipeline CI/CD telah dilengkapi SAST, DAST, Gitleaks, Checkstyle, dan DefectDojo sebagai rangkaian automated security testing yang komprehensif; namun hasil security testing belum direview secara aktif oleh personil kompeten dan belum terdapat penetration testing manual yang memvalidasi kerentanan logika bisnis serta celah non-teknis</t>
  </si>
  <si>
    <t>A.8.25 – Siklus hidup pengembangan yang aman; 
A.8.26 – Persyaratan keamanan aplikasi; 
A.8.8 – Manajemen kerentanan teknis; 
A.5.25 – Asesmen dan keputusan terkait peristiwa keamanan informasi</t>
  </si>
  <si>
    <r>
      <rPr>
        <b/>
        <sz val="10"/>
        <color theme="1"/>
        <rFont val="Montserrat"/>
      </rPr>
      <t>Rendah</t>
    </r>
    <r>
      <rPr>
        <sz val="10"/>
        <color theme="1"/>
        <rFont val="Montserrat"/>
      </rPr>
      <t xml:space="preserve"> — perusahaan tidak bersedia mengandalkan status pipeline hijau sebagai satu-satunya jaminan keamanan mengingat automated tools memiliki keterbatasan inheren dalam mendeteksi kerentanan logika bisnis dan celah non-teknis yang dapat dieksploitasi secara aktif</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</si>
  <si>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aktif terhadap temuan DefectDojo yang mewajibkan tindak lanjut terdokumentasi sebelum release disetujui, dan (2) jadwal penetration testing manual minimal tahunan atau setelah setiap perubahan arsitektur signifikan sebagai validasi independen terhadap hasil automated security testing</t>
    </r>
  </si>
  <si>
    <t>(1) Lakukan review segera terhadap seluruh temuan yang terakumulasi di DefectDojo yang belum ditindaklanjuti untuk mengidentifikasi kerentanan aktif yang berpotensi sudah ada di production; (2) prioritaskan remediasi temuan dengan severity Critical dan High yang teridentifikasi belum ditangani; (3) jadwalkan penetration testing darurat terfokus pada fitur atau modul yang baru dirilis tanpa review manual sebagai validasi kondisi keamanan aktual; (4) eskalasi temuan kepada manajemen, dokumentasikan gap review yang menyebabkan kondisi ini, dan susun remediation plan dengan timeline yang dapat dipertanggungjawabkan</t>
  </si>
  <si>
    <t>Implementasi prosedur review aktif terhadap temuan DefectDojo sebagai gate release; jadwalkan penetration testing manual secara berkala; tetapkan threshold temuan yang jika terlampaui memblokir release secara otomatis</t>
  </si>
  <si>
    <t>SAST, DAST, Gitleaks, Checkstyle, dan DefectDojo sudah berjalan sebagai fondasi automated security testing yang komprehensif, namun hasil tidak direview secara aktif dan tidak ada penetration testing manual, false confidence dari status pipeline hijau masih berpotensi tinggi, risiko belum mengalami penurunan, status In Progress dan menjadi prioritas untuk segera diimplementasikan prosedur review aktif DefectDojo dan dijadwalkan penetration testing manual</t>
  </si>
  <si>
    <t xml:space="preserve"> - Implementasi prosedur review aktif temuan DefectDojo sebagai gate release — tetapkan kewajiban review dan tindak lanjut terdokumentasi terhadap seluruh temuan DefectDojo sebelum release disetujui; definisikan threshold severity yang jika terlampaui secara otomatis memblokir pipeline hingga remediasi selesai; tunjuk PIC yang bertanggung jawab atas review setiap siklus release
 - Jadwalkan penetration testing manual berkala sebagai validasi independen — tetapkan jadwal penetration testing manual minimal tahunan atau setelah setiap perubahan arsitektur signifikan; fokuskan pada kerentanan logika bisnis dan celah non-teknis yang tidak dapat dideteksi automated tools; dokumentasikan temuan sebagai masukan perbaikan dan update rule SAST/DAST
 - Lakukan review retroaktif seluruh temuan DefectDojo yang belum ditindaklanjuti — audit seluruh temuan yang terakumulasi di DefectDojo sejak tools diimplementasikan; kategorikan berdasarkan severity dan status remediasi; prioritaskan penanganan Critical dan High yang belum diselesaikan sebelum release berikutnya
 - Implementasi security review checklist sebagai komplemen automated testing — buat checklist review manual yang mencakup skenario kerentanan logika bisnis dan celah non-teknis yang wajib diverifikasi secara manual sebelum release; distribusikan tanggung jawab review kepada personil yang tersedia untuk mengatasi keterbatasan dedicated security reviewer</t>
  </si>
  <si>
    <t>Keberhasilan kampanye phishing dan pengiriman malware yang melewati filter email berpotensi terjadi — akibat console mail server yang dapat diakses publik dari internet berpotensi mengekspos detail konfigurasi filtering kepada threat actor yang dapat memanfaatkannya untuk merancang payload yang menghindari deteksi</t>
  </si>
  <si>
    <t>Console mail server dipublish ke internet tanpa pembatasan akses jaringan yang membatasi akses hanya dari jaringan terotorisasi; tidak adanya review berkala terhadap konfigurasi filtering dan log akses console; MFA sebagai satu-satunya kontrol tidak memberikan perlindungan memadai terhadap risiko eksposur konfigurasi jika terjadi kompromi akun</t>
  </si>
  <si>
    <t>Detail konfigurasi antispam, antivirus, dan content filtering terekspos kepada threat actor yang dapat menggunakannya untuk merancang payload yang melewati deteksi; peningkatan efektivitas kampanye phishing yang dirancang khusus untuk melewati filter yang berlaku; potensi pengiriman malware yang berhasil masuk ke inbox personil akibat payload yang disesuaikan dengan aturan filtering; kompromi sistem melalui malware yang berhasil dikirimkan via email</t>
  </si>
  <si>
    <t>Threat actor yang mengakses console untuk mempelajari detail aturan filtering dan merancang payload yang melewatinya; credential stuffing atau brute force terhadap akun console yang dapat diakses dari internet; kampanye phishing bertarget yang dirancang berdasarkan pengetahuan konfigurasi filtering; pengiriman malware yang berhasil melewati antivirus scanning akibat payload yang disesuaikan</t>
  </si>
  <si>
    <t>Console mail server dapat diakses dari internet tanpa pembatasan jaringan; MFA sebagai satu-satunya kontrol rentan terhadap kompromi akun melalui social engineering atau session hijacking; tidak ada review log akses yang dapat mendeteksi upaya reconnaissance terhadap konfigurasi; tidak ada pembatasan tampilan konfigurasi sensitif berdasarkan level kewenangan pengguna</t>
  </si>
  <si>
    <t>Multi-Factor Authentication telah diimplementasikan sebagai kontrol akses pada console mail server; namun console masih dapat diakses publik melalui internet tanpa pembatasan jaringan, dan belum terdapat review berkala terhadap konfigurasi filtering maupun log akses console untuk mendeteksi aktivitas tidak wajar</t>
  </si>
  <si>
    <t>A.8.20 – Keamanan jaringan; 
A.8.21 – Keamanan layanan jaringan; 
A.8.15 – Logging; 
A.8.16 – Aktivitas pemantauan; 
A.5.15 – Manajemen akses</t>
  </si>
  <si>
    <r>
      <rPr>
        <b/>
        <sz val="10"/>
        <color theme="1"/>
        <rFont val="Montserrat"/>
      </rPr>
      <t>Rendah</t>
    </r>
    <r>
      <rPr>
        <sz val="10"/>
        <color theme="1"/>
        <rFont val="Montserrat"/>
      </rPr>
      <t xml:space="preserve"> — perusahaan tidak bersedia membiarkan console mail server dengan detail konfigurasi keamanan filtering dapat diakses publik dari internet tanpa pembatasan jaringan yang memadai, mengingat eksposur konfigurasi tersebut secara langsung meningkatkan efektivitas serangan phishing dan pengiriman malware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</si>
  <si>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pembatasan akses console mail server hanya dari jaringan internal atau VPN yang terotorisasi sehingga tidak dapat diakses langsung dari internet, dan (2) mekanisme review log akses console yang terjadwal untuk mendeteksi upaya akses tidak wajar secara berkala</t>
    </r>
  </si>
  <si>
    <t>(1) Audit segera seluruh log akses console mail server untuk mengidentifikasi apakah sudah ada akses tidak terotorisasi atau aktivitas reconnaissance terhadap konfigurasi filtering dalam periode tertentu; (2) lakukan review terhadap seluruh email yang berhasil melewati filter dalam periode teridentifikasi untuk mendeteksi indikasi payload yang dirancang untuk menghindari deteksi; (3) reset segera seluruh kredensial akses console dan perketat konfigurasi MFA; blokir akses dari IP atau geolokasi yang tidak sesuai pola normal; (4) eskalasi insiden kepada manajemen, dokumentasikan scope potensi eksposur konfigurasi, dan jadwalkan implementasi pembatasan akses jaringan sebagai prioritas segera</t>
  </si>
  <si>
    <t>Batasi akses console mail server hanya dari jaringan internal atau VPN; implementasi review log akses berkala; lakukan hardening konfigurasi tampilan yang membatasi detail filtering hanya kepada pengguna dengan kewenangan yang sesuai</t>
  </si>
  <si>
    <t>Personel IT Infra - Sysadmin berkoordinasi dengan Personel Security Analyst dan Personel IT Governance</t>
  </si>
  <si>
    <t>MFA sudah berjalan sebagai kontrol autentikasi yang memadai namun console masih dapat diakses dari internet tanpa pembatasan jaringan dan tidak ada review log akses, detail konfigurasi filtering berpotensi terekspos kepada threat actor, risiko masih terbuka pada level Tinggi, status In Progress dan menjadi prioritas utama untuk segera dibatasi akses console hanya dari jaringan internal atau VPN</t>
  </si>
  <si>
    <t xml:space="preserve"> - Batasi akses console mail server hanya dari jaringan internal atau VPN — implementasikan firewall rule atau network policy yang memblokir akses console dari internet secara langsung; pastikan seluruh akses wajib melalui VPN yang terautentikasi sebagai lapisan kontrol tambahan di atas MFA yang sudah ada
 - Implementasi review log akses console mail server secara berkala — aktifkan logging seluruh aktivitas akses console dan integrasikan ke Wazuh atau log aggregator yang sudah tersedia; tetapkan jadwal review minimal mingguan untuk mendeteksi pola akses tidak wajar atau upaya reconnaissance terhadap konfigurasi filtering
 - Lakukan hardening konfigurasi tampilan detail filtering — batasi visibilitas detail aturan antispam, antivirus, dan content filtering berdasarkan level kewenangan pengguna; pastikan hanya administrator yang berwenang yang dapat melihat dan memodifikasi konfigurasi sensitif; terapkan prinsip least privilege pada seluruh akun console
 - Jadwalkan review berkala konfigurasi filtering dan efektivitas deteksi — lakukan evaluasi konfigurasi antispam, antivirus, dan content filtering secara berkala untuk memastikan tetap efektif terhadap teknik bypass terbaru; update rule filtering berdasarkan threat intelligence terkini dan temuan dari analisis email yang lolos</t>
  </si>
  <si>
    <t>Postur keamanan operasional yang tidak meningkat secara substansif dan kegagalan saat audit eksternal atau insiden nyata berpotensi terjadi — akibat implementasi ISO 27001 yang masih sebatas kepatuhan terdokumentasi tanpa mekanisme pengawasan yang memvalidasi efektivitas kontrol dalam operasional sehari-hari</t>
  </si>
  <si>
    <t>Tidak adanya mekanisme pengawasan dan validasi yang memastikan kontrol terdokumentasi diimplementasikan secara konsisten; keterbatasan man power dan kepincangan struktur yang mengakibatkan implementasi kontrol tidak menjadi prioritas di tengah banyaknya project per departemen; sosialisasi sudah berjalan namun tanpa mekanisme enforcement yang memastikan kontrol benar-benar dijalankan</t>
  </si>
  <si>
    <t>Gap signifikan antara kepatuhan terdokumentasi dan implementasi aktual yang terekspos saat audit eksternal; postur keamanan operasional tidak meningkat meskipun investasi sertifikasi ISO 27001 sudah dilakukan; insiden keamanan yang seharusnya dicegah oleh kontrol yang terdokumentasi tetap terjadi karena kontrol tidak dijalankan; potensi kehilangan sertifikasi ISO 27001 jika audit surveillance menemukan gap implementasi yang signifikan</t>
  </si>
  <si>
    <t>Temuan major non-conformity saat audit surveillance ISO 27001 yang mengancam keberlanjutan sertifikasi; insiden keamanan yang terjadi akibat kontrol yang terdokumentasi tidak dijalankan; reputasi perusahaan yang terdampak akibat ketidaksesuaian antara klaim kepatuhan dan kondisi aktual; sanksi regulasi akibat kontrol yang disyaratkan tidak diimplementasikan secara efektif</t>
  </si>
  <si>
    <t>Tidak ada mekanisme pengawasan pelaksanaan kontrol yang berjalan secara konsisten; validasi efektivitas kontrol tidak dilakukan secara berkala; man power dan struktur yang tidak memadai untuk memastikan implementasi end-to-end; kontrol hanya dijalankan menjelang audit tanpa kontinuitas dalam operasional sehari-hari</t>
  </si>
  <si>
    <t>Program sosialisasi kebijakan dan SOP telah dilaksanakan; dokumentasi telah tersedia dan dapat diakses melalui platform web aplikasi internal; namun belum terdapat mekanisme pengawasan dan validasi yang memastikan kontrol diimplementasikan secara konsisten dan efektif dalam operasional sehari-hari</t>
  </si>
  <si>
    <t>9.1 – Pemantauan, pengukuran, analisis dan evaluasi; 
9.2 – Audit internal; 
10.1 – Ketidaksesuaian dan tindakan korektif</t>
  </si>
  <si>
    <t>A.5.1 – Kebijakan keamanan informasi; 
A.5.36 – Kepatuhan terhadap kebijakan dan standar keamanan informasi; 
A.5.37 – Prosedur operasi yang terdokumentasi</t>
  </si>
  <si>
    <r>
      <rPr>
        <b/>
        <sz val="10"/>
        <color theme="1"/>
        <rFont val="Montserrat"/>
      </rPr>
      <t>Rendah</t>
    </r>
    <r>
      <rPr>
        <sz val="10"/>
        <color theme="1"/>
        <rFont val="Montserrat"/>
      </rPr>
      <t xml:space="preserve"> — perusahaan tidak bersedia membiarkan gap antara kepatuhan terdokumentasi dan implementasi aktual terus melebar mengingat dampak langsung pada keberlanjutan sertifikasi ISO 27001, efektivitas postur keamanan operasional,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</si>
  <si>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pengawasan pelaksanaan kontrol yang berjalan secara konsisten dengan PIC yang terdefinisi dan laporan berkala kepada manajemen, dan (2) program internal audit atau compliance check berkala yang memvalidasi efektivitas implementasi kontrol secara substansif bukan hanya kelengkapan dokumentasi</t>
    </r>
  </si>
  <si>
    <t>(1) Lakukan gap assessment segera terhadap seluruh kontrol ISO 27001 untuk mengidentifikasi mana yang terdokumentasi namun tidak diimplementasikan secara aktual; (2) prioritaskan remediasi kontrol dengan dampak tertinggi terhadap postur keamanan dan yang paling berpotensi menjadi temuan major non-conformity dalam audit surveillance berikutnya; (3) bentuk tim task force sementara untuk memastikan kontrol kritis diimplementasikan sebelum jadwal audit eksternal berikutnya; (4) eskalasi kondisi kepada manajemen senior dengan laporan gap yang terukur dan remediation plan yang dapat dipertanggungjawabkan</t>
  </si>
  <si>
    <t>Implementasi mekanisme pengawasan pelaksanaan kontrol dengan PIC yang terdefinisi; jadwalkan program internal audit atau compliance check berkala yang memvalidasi efektivitas implementasi secara substansif; tetapkan mekanisme pelaporan kepatuhan berkala kepada manajemen</t>
  </si>
  <si>
    <t>Sosialisasi dan distribusi dokumen sudah berjalan namun tidak ada mekanisme pengawasan yang memastikan kontrol diimplementasikan secara konsisten, gap antara dokumentasi dan implementasi aktual sudah terbukti terjadi, risiko masih terbuka penuh pada level Tinggi dengan probabilitas sangat tinggi, status New - Open dan menjadi prioritas utama untuk segera dilakukan gap assessment dan diimplementasikan mekanisme pengawasan pelaksanaan kontrol</t>
  </si>
  <si>
    <t>Personel IT Governance berkoordinasi dengan Personel CTIO dan seluruh PIC kontrol per domain</t>
  </si>
  <si>
    <t xml:space="preserve"> - Lakukan gap assessment menyeluruh terhadap implementasi kontrol ISO 27001 — identifikasi seluruh kontrol yang terdokumentasi namun tidak diimplementasikan secara konsisten dalam operasional; kategorikan berdasarkan dampak terhadap postur keamanan dan risiko temuan saat audit surveillance; jadikan sebagai baseline prioritas remediasi
 - Implementasi mekanisme pengawasan pelaksanaan kontrol dengan PIC terdefinisi — tetapkan PIC yang bertanggung jawab atas pengawasan implementasi kontrol per domain; definisikan format dan frekuensi pelaporan status implementasi kepada manajemen; pastikan pengawasan berjalan sebagai rutinitas operasional bukan hanya menjelang audit
 - Jadwalkan program internal audit atau compliance check berkala — lakukan validasi efektivitas implementasi kontrol secara substansif minimal semesteran; fokuskan pada verifikasi bahwa kontrol benar-benar dijalankan bukan hanya terdokumentasi; dokumentasikan temuan dan tindakan korektif sebagai bukti continuous improvement kepada auditor eksternal
 - Tetapkan mekanisme pelaporan kepatuhan berkala kepada manajemen — buat dashboard atau laporan ringkasan status implementasi kontrol ISO 27001 yang disampaikan kepada manajemen senior secara triwulanan; gunakan sebagai dasar pengambilan keputusan alokasi man power dan prioritas remediasi gap yang teridentifikasi</t>
  </si>
  <si>
    <t>Ancaman keamanan yang tidak terdeteksi dan insiden yang tidak tertangani secara memadai berpotensi terjadi secara konsisten — akibat tidak adanya personil IT Security Analyst yang dedicated dan seluruh fungsi keamanan dijalankan secara merangkap tanpa kapabilitas yang memadai</t>
  </si>
  <si>
    <t>Tidak adanya personil IT Security Analyst yang ditugaskan secara dedicated untuk menjalankan fungsi keamanan informasi; fungsi keamanan dijalankan oleh personil yang merangkap dengan tanggung jawab operasional lain sehingga tidak mendapat perhatian dan kapabilitas yang memadai; tidak adanya struktur organisasi yang mendefinisikan fungsi IT Security sebagai entitas tersendiri</t>
  </si>
  <si>
    <t>Pemantauan keamanan tidak berjalan secara proaktif dan berkelanjutan; ancaman dan anomali tidak terdeteksi secara dini akibat tidak ada yang secara dedicated memantau; respons insiden terlambat dan tidak terstruktur karena tidak ada PIC dedicated; postur keamanan organisasi tidak meningkat secara substansif karena tidak ada yang bertanggung jawab penuh atas fungsi keamanan</t>
  </si>
  <si>
    <t>Ancaman siber yang tidak terdeteksi akibat tidak ada monitoring dedicated; insiden keamanan yang tidak tertangani tepat waktu karena personil merangkap tidak dapat memprioritaskan respons; akumulasi kerentanan yang tidak ditindaklanjuti karena tidak ada yang bertanggung jawab penuh; kegagalan pemenuhan kewajiban keamanan regulasi akibat fungsi keamanan yang tidak terstruktur</t>
  </si>
  <si>
    <t>Tidak ada personil dedicated IT Security Analyst; fungsi keamanan dijalankan secara merangkap tanpa kapabilitas dan waktu yang memadai; tidak ada struktur organisasi yang mendefinisikan IT Security sebagai fungsi tersendiri; tidak ada program pengembangan kompetensi keamanan yang terstruktur</t>
  </si>
  <si>
    <t>Fungsi keamanan informasi saat ini dijalankan oleh personil yang merangkap dengan tanggung jawab operasional lain secara non-dedicated; belum terdapat personil IT Security Analyst yang ditugaskan secara eksklusif untuk menjalankan fungsi pemantauan keamanan, deteksi ancaman, dan respons insiden secara proaktif</t>
  </si>
  <si>
    <t>7.1 – Sumber daya; 
7.2 – Kompetensi; 
5.3 – Peran, tanggung jawab, dan wewenang organisasi</t>
  </si>
  <si>
    <t>A.5.2 – Peran dan tanggung jawab keamanan informasi; 
A.6.1 – Penyaringan; 
A.6.3 – Kesadaran, pendidikan dan pelatihan keamanan informasi</t>
  </si>
  <si>
    <r>
      <rPr>
        <b/>
        <sz val="10"/>
        <color theme="1"/>
        <rFont val="Montserrat"/>
      </rPr>
      <t>Rendah</t>
    </r>
    <r>
      <rPr>
        <sz val="10"/>
        <color theme="1"/>
        <rFont val="Montserrat"/>
      </rPr>
      <t xml:space="preserve"> — perusahaan tidak bersedia membiarkan fungsi keamanan informasi berjalan tanpa personil dedicated mengingat dampak langsung pada kemampuan deteksi dan respons ancaman yang secara langsung mempengaruhi seluruh postur keamanan organisasi</t>
    </r>
  </si>
  <si>
    <t>Sedang — perusahaan masih dapat beroperasi selama nilai risiko residual ≤ 9; jika residual masih &gt;9, wajib eskalasi ke manajemen senior. 
Sebagai syarat minimum toleransi, organisasi wajib memastikan telah tersedia: (1) minimal satu personil yang ditugaskan secara dedicated untuk menjalankan fungsi IT Security Analyst dengan job description dan KPI yang terdefinisi, dan (2) prosedur eskalasi dan respons insiden yang terdokumentasi dan dapat dijalankan oleh personil yang ditugaskan</t>
  </si>
  <si>
    <t>(1) Aktifkan prosedur respons insiden darurat dengan menugaskan personil yang paling kompeten saat ini sebagai incident commander sementara meskipun merangkap; (2) lakukan triase dan prioritisasi insiden yang sedang terjadi untuk memastikan yang paling berdampak ditangani terlebih dahulu; (3) eskalasi insiden kepada manajemen senior dengan rekomendasi mendesak penugasan personil dedicated sebagai tindakan korektif segera; (4) dokumentasikan seluruh insiden dan gap penanganan sebagai justifikasi urgensi penambahan personil IT Security Analyst dedicated</t>
  </si>
  <si>
    <t>Tetapkan minimal satu personil IT Security Analyst dedicated dengan job description dan KPI yang terdefinisi; susun struktur fungsi IT Security yang jelas dalam organisasi; kembangkan kompetensi keamanan melalui program pelatihan dan sertifikasi yang terstruktur</t>
  </si>
  <si>
    <t>Fungsi keamanan saat ini dijalankan secara merangkap tanpa kapabilitas yang memadai, ancaman tidak dapat dipantau dan direspons secara proaktif, risiko masih terbuka penuh pada level Tinggi, status New - Open dan menjadi prioritas utama untuk segera ditetapkan personil IT Security Analyst dedicated sebelum insiden keamanan yang tidak tertangani terjadi</t>
  </si>
  <si>
    <t>Personel CTIO berkoordinasi dengan Personel IT Governance dan HR</t>
  </si>
  <si>
    <t xml:space="preserve"> - Tetapkan dan tugaskan personil IT Security Analyst dedicated — definisikan job description, scope tanggung jawab, dan KPI yang jelas untuk fungsi IT Security Analyst; lakukan penugasan dari personil internal yang paling kompeten sebagai langkah interim sambil proses rekrutmen eksternal berjalan jika kapasitas internal tidak mencukupi
 - Susun struktur fungsi IT Security sebagai entitas tersendiri — definisikan posisi IT Security dalam struktur organisasi IT dengan garis pelaporan yang jelas; pastikan fungsi ini tidak merangkap dengan tanggung jawab operasional lain yang dapat mengurangi fokus dan efektivitas pengawasan keamanan
 - Dokumentasikan prosedur monitoring dan respons insiden — susun SOP pemantauan keamanan harian, prosedur deteksi anomali, dan panduan respons insiden yang dapat dijalankan oleh personil yang ditugaskan; pastikan prosedur ini dapat dieksekusi secara mandiri tanpa bergantung pada pengetahuan implisit individu
 - Investasikan dalam program pelatihan dan sertifikasi keamanan — identifikasi sertifikasi relevan seperti CompTIA Security+, CEH, atau CISSP; jadwalkan program pelatihan untuk meningkatkan kompetensi personil yang ditugaskan; pertimbangkan kemitraan dengan MSSP sebagai bridge kapabilitas selama pembangunan tim internal berlangsung</t>
  </si>
  <si>
    <t>Ketergantungan penuh pada auditor eksternal untuk seluruh kebutuhan IT audit yang menimbulkan biaya tinggi dan keterbatasan frekuensi; persyaratan ISO 27001 yang mewajibkan program audit internal yang efektif dan berkelanjutan; kebutuhan validasi independen terhadap efektivitas implementasi kontrol keamanan yang tidak dapat dipenuhi secara memadai oleh fungsi yang merangkap</t>
  </si>
  <si>
    <t>Kemandirian dalam melaksanakan validasi efektivitas kontrol IT secara berkala tanpa bergantung penuh pada auditor eksternal; pemenuhan persyaratan audit internal ISO 27001 yang lebih konsisten dan berkelanjutan; identifikasi gap implementasi kontrol lebih dini sebelum terekspos dalam audit eksternal; pengurangan biaya audit eksternal jangka panjang melalui internalisasi sebagian fungsi audit IT</t>
  </si>
  <si>
    <t>Persyaratan ISO 27001 Clause 9.2 yang mewajibkan program audit internal yang efektif; tekanan regulasi OJK yang mensyaratkan fungsi audit internal yang kompeten terhadap risiko teknologi; ketergantungan pada auditor eksternal yang membatasi frekuensi dan kedalaman validasi kontrol</t>
  </si>
  <si>
    <t>Internal Audit tidak memiliki kompetensi IT audit; tidak ada metodologi atau framework IT audit yang diadopsi; tidak ada personil yang pernah menjalankan fungsi IT audit secara formal; pembangunan kapabilitas memerlukan investasi waktu dan anggaran yang tidak dapat direalisasikan secara instan</t>
  </si>
  <si>
    <t>Fungsi Internal Audit telah tersedia dalam struktur organisasi; namun kompetensi belum mencakup domain IT, tidak ada metodologi IT audit yang digunakan, dan seluruh kebutuhan audit IT dipenuhi melalui auditor eksternal tanpa pembangunan kapabilitas internal yang berkelanjutan</t>
  </si>
  <si>
    <t>9.2 – Audit internal; 
5.1 – Kepemimpinan dan komitmen; 
7.2 – Kompetensi</t>
  </si>
  <si>
    <t>A.5.35 – Tinjauan independen keamanan informasi; 
A.5.36 – Kepatuhan terhadap kebijakan dan standar keamanan informasi</t>
  </si>
  <si>
    <r>
      <rPr>
        <b/>
        <sz val="10"/>
        <color theme="1"/>
        <rFont val="Montserrat"/>
      </rPr>
      <t>Tinggi</t>
    </r>
    <r>
      <rPr>
        <sz val="10"/>
        <color theme="1"/>
        <rFont val="Montserrat"/>
      </rPr>
      <t xml:space="preserve"> — perusahaan memiliki ambisi untuk membangun kapabilitas IT Audit Internal secara bertahap mengingat manfaat jangka panjangnya terhadap kemandirian validasi kontrol, efisiensi biaya audit, dan pemenuhan persyaratan ISO 27001 yang berkelanjutan</t>
    </r>
  </si>
  <si>
    <r>
      <rPr>
        <b/>
        <sz val="10"/>
        <color theme="1"/>
        <rFont val="Montserrat"/>
      </rPr>
      <t>Sedang</t>
    </r>
    <r>
      <rPr>
        <sz val="10"/>
        <color theme="1"/>
        <rFont val="Montserrat"/>
      </rPr>
      <t xml:space="preserve"> — perusahaan masih dapat beroperasi dengan ketergantungan pada auditor eksternal dalam jangka pendek; jika temuan audit eksternal menunjukkan gap yang semakin melebar, realisasi peluang ini wajib dieskalasi sebagai prioritas investasi. 
Sebagai syarat minimum untuk mulai mengkapitalisasi peluang, organisasi wajib memastikan telah tersedia: (1) roadmap pembangunan kapabilitas IT Audit Internal yang terdokumentasi dan mendapat persetujuan manajemen, dan (2) minimal satu personil Internal Audit yang mengikuti pelatihan kompetensi IT audit sebagai langkah awal pembangunan kapabilitas</t>
    </r>
  </si>
  <si>
    <t>(1) Manfaatkan setiap temuan audit eksternal sebagai justifikasi konkret untuk memperkuat business case pembangunan IT Audit Internal kepada manajemen; (2) mulai dengan menugaskan personil Internal Audit untuk mengikuti proses audit IT eksternal berikutnya sebagai shadow auditor untuk membangun pemahaman awal tanpa biaya tambahan; (3) eksplorasi kemitraan dengan lembaga pelatihan atau konsultan yang dapat menyediakan program pengembangan kompetensi IT audit dengan biaya yang terukur; (4) eskalasi roadmap IT Audit Internal kepada manajemen dengan framing pengurangan ketergantungan pada auditor eksternal dan peningkatan frekuensi validasi kontrol sebagai proposisi nilai utama</t>
  </si>
  <si>
    <t>Susun roadmap pembangunan kapabilitas IT Audit Internal bertahap; adopsi framework IT audit yang sesuai seperti COBIT atau IIA GTAG; investasikan dalam pelatihan dan sertifikasi kompetensi IT audit untuk personil Internal Audit</t>
  </si>
  <si>
    <t>Personel IT Governance berkoordinasi dengan Personel CTIO, Internal Audit, dan HR</t>
  </si>
  <si>
    <t>Fungsi Internal Audit sudah tersedia sebagai fondasi struktural namun tidak memiliki kompetensi IT audit dan seluruh audit IT bergantung pada eksternal, peluang pembangunan kapabilitas internal belum dikapitalisasi sama sekali, status New - Open dan menjadi prioritas strategis untuk segera disusun roadmap dan dimulai investasi pengembangan kompetensi IT audit internal</t>
  </si>
  <si>
    <t xml:space="preserve"> - Susun business case dan roadmap pembangunan IT Audit Internal — dokumentasikan justifikasi bisnis yang mengkuantifikasi biaya ketergantungan pada auditor eksternal versus investasi pembangunan kapabilitas internal; susun roadmap bertahap yang realistis sesuai kapasitas; presentasikan kepada manajemen untuk mendapatkan komitmen strategis dan alokasi anggaran
 - Adopsi framework IT audit yang sesuai sebagai metodologi standar — evaluasi dan tetapkan framework yang akan digunakan seperti COBIT, IIA GTAG, atau ISACA IT Audit Framework; jadikan sebagai panduan resmi pelaksanaan IT audit internal yang memberikan struktur dan konsistensi metodologi sejak awal pembangunan kapabilitas
 - Investasikan dalam pelatihan dan sertifikasi kompetensi IT audit — identifikasi sertifikasi relevan seperti CISA atau IIA CISM untuk personil Internal Audit; tugaskan personil terpilih sebagai shadow auditor dalam proses audit IT eksternal berikutnya sebagai pembelajaran langsung berbiaya rendah; jadwalkan program pelatihan formal sebagai fondasi kompetensi
 - Mulai dengan pilot IT audit internal pada domain prioritas — laksanakan IT audit internal perdana pada satu domain yang paling terdokumentasi dan paling familiar bagi tim; gunakan hasil sebagai pembelajaran dan penyempurnaan metodologi sebelum diperluas ke seluruh domain IT secara bertahap</t>
  </si>
  <si>
    <t>Eksposur data perusahaan dan nasabah pada tools tidak terotorisasi serta kegagalan tata kelola IT berpotensi terjadi tanpa terdeteksi — akibat praktik shadow IT yang didorong oleh rendahnya awareness unit bisnis dan persepsi bahwa proses pengadaan IT terlalu lambat untuk memenuhi kebutuhan operasional</t>
  </si>
  <si>
    <t>Persepsi unit bisnis bahwa kerangka waktu delivery layanan IT tidak responsif terhadap kebutuhan bisnis yang mendesak; rendahnya awareness terhadap risiko keamanan informasi akibat penggunaan tools di luar standar IT; kontrol aktual terhadap penggunaan tools tidak terotorisasi yang sudah terlanjur diadopsi belum memadai</t>
  </si>
  <si>
    <t>Data perusahaan dan nasabah diproses pada tools SaaS yang tidak melalui review keamanan IT; kontrol keamanan dan tata kelola IT tidak berlaku pada tools shadow IT yang digunakan unit bisnis; potensi kebocoran data melalui tools yang tidak memenuhi standar keamanan dan kepatuhan regulasi; kesulitan audit dan compliance akibat penggunaan tools yang tidak terdaftar dalam inventaris IT resmi</t>
  </si>
  <si>
    <t>Kebocoran data melalui SaaS tidak terotorisasi yang tidak memenuhi standar keamanan; pelanggaran regulasi perlindungan data akibat pemrosesan data nasabah pada platform yang tidak di-review; akumulasi tools shadow IT yang menciptakan attack surface yang tidak terpantau; kegagalan audit akibat penggunaan tools yang tidak terdaftar</t>
  </si>
  <si>
    <t>Kontrol aktual terhadap penggunaan tools tidak terotorisasi masih terbatas meskipun kebijakan sudah ada; awareness unit bisnis terhadap risiko shadow IT masih rendah; tidak ada mekanisme inventarisasi dan deteksi tools yang sudah terlanjur diadopsi di luar proses resmi</t>
  </si>
  <si>
    <t>Mekanisme pengelolaan anggaran terpusat dan sentralisasi pembelian melalui Procurement telah diterapkan; kebijakan yang mewajibkan review IT terhadap pembelian tools teknologi telah tersedia; namun kontrol terhadap tools yang sudah terlanjur diadopsi belum memadai dan awareness unit bisnis masih rendah</t>
  </si>
  <si>
    <t>A.5.9 – Inventaris informasi dan aset terkait lainnya; 
A.5.19 – Keamanan informasi dalam hubungan pemasok; 
A.8.19 – Instalasi perangkat lunak pada sistem operasional</t>
  </si>
  <si>
    <r>
      <rPr>
        <b/>
        <sz val="10"/>
        <color theme="1"/>
        <rFont val="Montserrat"/>
      </rPr>
      <t>Sedang</t>
    </r>
    <r>
      <rPr>
        <sz val="10"/>
        <color theme="1"/>
        <rFont val="Montserrat"/>
      </rPr>
      <t xml:space="preserve"> — perusahaan dapat mentolerir keterbatasan kontrol shadow IT dalam jangka pendek selama mekanisme procurement terpusat dan kebijakan review IT sudah berjalan, namun tidak bersedia membiarkan tools tidak terotorisasi memproses data perusahaan dan nasabah tanpa review keamanan yang memadai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</si>
  <si>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inventarisasi dan deteksi tools yang sudah terlanjur diadopsi di luar proses resmi, dan (2) program awareness shadow IT yang memastikan seluruh unit bisnis memahami risiko dan konsekuensi penggunaan tools di luar standar IT</t>
    </r>
  </si>
  <si>
    <t>(1) Lakukan inventarisasi darurat seluruh tools dan SaaS yang digunakan unit bisnis untuk mengidentifikasi yang diadopsi di luar proses resmi; (2) lakukan asesmen risiko cepat terhadap tools shadow IT yang teridentifikasi untuk menentukan apakah data sensitif sudah diproses dan scope eksposur yang mungkin terjadi; (3) berikan unit bisnis jalur legalisasi tools yang sudah terlanjur digunakan melalui proses review IT yang dipercepat untuk mencegah penghentian operasional mendadak; (4) eskalasi temuan kepada manajemen dan dokumentasikan seluruh tools tidak terotorisasi yang teridentifikasi sebagai dasar perbaikan kontrol</t>
  </si>
  <si>
    <t>Lakukan inventarisasi tools yang sudah terlanjur diadopsi; selenggarakan program awareness shadow IT kepada unit bisnis; tingkatkan responsivitas layanan IT untuk mengurangi insentif bypass procurement</t>
  </si>
  <si>
    <t>Personel IT Governance berkoordinasi dengan Personel CTIO, Procurement, dan seluruh kepala unit bisnis</t>
  </si>
  <si>
    <t>Centralisasi procurement dan kebijakan review IT sudah berjalan sebagai kontrol dasar yang memadai, namun kontrol aktual terhadap tools yang sudah terlanjur diadopsi dan awareness unit bisnis masih lemah, risiko belum mengalami penurunan signifikan, status In Progress dan menjadi prioritas untuk segera dilakukan inventarisasi tools shadow IT dan diselenggarakan program awareness</t>
  </si>
  <si>
    <t xml:space="preserve"> - Lakukan inventarisasi tools yang sudah terlanjur diadopsi di luar proses resmi — audit seluruh unit bisnis untuk mengidentifikasi SaaS dan tools yang digunakan tanpa melalui review IT; kategorikan berdasarkan risiko keamanan dan sensitivitas data yang diproses; berikan jalur legalisasi melalui proses review IT yang dipercepat untuk tools yang memenuhi standar keamanan
 - Selenggarakan program awareness shadow IT kepada seluruh unit bisnis — edukasi mengenai risiko keamanan dan kepatuhan penggunaan tools tidak terotorisasi; jelaskan konsekuensi hukum dan regulasi pemrosesan data nasabah pada platform yang tidak di-review; sampaikan jalur resmi yang tersedia untuk mengajukan kebutuhan tools baru dengan proses yang jelas dan responsif
 - Implementasi mekanisme deteksi shadow IT secara berkelanjutan — manfaatkan tools network monitoring yang sudah ada untuk mendeteksi traffic ke domain SaaS yang tidak terdaftar dalam inventaris IT resmi; tetapkan proses tindak lanjut yang jelas saat shadow IT terdeteksi
 - Evaluasi dan tingkatkan responsivitas proses pengadaan IT — identifikasi bottleneck dalam proses pengadaan yang menyebabkan unit bisnis merasa perlu bypass; implementasi fast-track approval untuk tools dengan risiko rendah dan nilai anggaran kecil; tetapkan SLA yang terukur untuk setiap kategori permintaan pengadaan IT</t>
  </si>
  <si>
    <t>Prosedur penanganan DSAR belum pernah disusun dan terdokumentasi; tidak ada PIC dedicated yang bertanggung jawab atas koordinasi respons DSAR lintas unit; awareness terhadap kewajiban DSAR per UU PDP masih sangat rendah di seluruh unit yang memproses data pribadi; tidak ada mekanisme penerimaan, verifikasi identitas, dan koordinasi respons yang terdefinisi</t>
  </si>
  <si>
    <t>Permintaan DSAR dari subjek data tidak dapat direspons dalam tenggat waktu wajib 3x24 jam; pelanggaran kewajiban UU PDP yang mengakibatkan sanksi administratif dari regulator; tuntutan hukum dari subjek data atas kegagalan pemenuhan hak privasi; kerusakan reputasi perusahaan akibat ketidakpatuhan terhadap regulasi perlindungan data yang bersifat mandatory</t>
  </si>
  <si>
    <t>Sanksi administratif dari regulator akibat kegagalan memenuhi tenggat waktu DSAR; tuntutan hukum dari subjek data yang permintaannya tidak ditangani sesuai ketentuan; audit regulasi yang mengungkap ketiadaan prosedur DSAR sebagai temuan major non-conformity; reputasi perusahaan yang terdampak akibat kegagalan memenuhi hak privasi nasabah</t>
  </si>
  <si>
    <t>Tidak ada prosedur DSAR yang terdokumentasi; tidak ada PIC dedicated untuk penanganan DSAR; tidak ada mekanisme penerimaan dan tracking permintaan DSAR; awareness kewajiban DSAR rendah di seluruh unit pemrosesan data; tidak ada jalur koordinasi lintas unit yang terdefinisi untuk memenuhi tenggat waktu 3x24 jam</t>
  </si>
  <si>
    <t>Register of Processing Activities telah tersedia sebagai dokumentasi aktivitas pemrosesan data pribadi; namun prosedur penanganan DSAR, mekanisme penerimaan permintaan, verifikasi identitas subjek data, koordinasi respons lintas unit, dan pemenuhan tenggat waktu wajib 3x24 jam belum tersedia dan tidak ada personil yang ditugaskan secara khusus</t>
  </si>
  <si>
    <t>A.5.34 – Privasi dan perlindungan informasi pribadi; 
A.5.31 – Persyaratan hukum, undang-undang, peraturan dan kontrak</t>
  </si>
  <si>
    <r>
      <rPr>
        <b/>
        <sz val="10"/>
        <color theme="1"/>
        <rFont val="Montserrat"/>
      </rPr>
      <t>Rendah</t>
    </r>
    <r>
      <rPr>
        <sz val="10"/>
        <color theme="1"/>
        <rFont val="Montserrat"/>
      </rPr>
      <t xml:space="preserve"> — perusahaan tidak bersedia menanggung risiko kegagalan pemenuhan kewajiban DSAR yang bersifat mandatory per UU PDP mengingat sanksi administratif, tuntutan hukum, dan kerusakan reputasi yang dapat ditimbulkan bersifat langsung dan tidak dapat dipulihkan dengan mudah</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</si>
  <si>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penanganan DSAR yang terdokumentasi mencakup mekanisme penerimaan, verifikasi identitas, koordinasi respons lintas unit, dan pemenuhan tenggat waktu 3x24 jam, dan (2) PIC yang ditunjuk secara formal dan bertanggung jawab atas koordinasi seluruh proses penanganan DSAR</t>
    </r>
  </si>
  <si>
    <t>(1) Aktifkan koordinasi darurat lintas unit dengan menunjuk PIC sementara segera setelah permintaan DSAR masuk untuk memastikan tidak ada permintaan yang terlewat; (2) lakukan verifikasi identitas subjek data dan identifikasi seluruh data pribadi yang relevan dari seluruh sistem yang memproses data subjek bersangkutan dalam waktu sesingkat mungkin; (3) koordinasikan penyusunan respons dengan Legal Counsel untuk memastikan konten dan format respons memenuhi ketentuan UU PDP sebelum disampaikan kepada subjek data; (4) dokumentasikan seluruh langkah penanganan sebagai bukti itikad baik kepada regulator dan jadikan insiden sebagai justifikasi urgensi penyusunan prosedur DSAR formal</t>
  </si>
  <si>
    <t>Susun prosedur DSAR yang mencakup seluruh tahapan dari penerimaan hingga respons dalam tenggat waktu 3x24 jam; tunjuk PIC dedicated yang bertanggung jawab atas koordinasi DSAR; sosialisasikan kewajiban DSAR kepada seluruh unit yang memproses data pribadi</t>
  </si>
  <si>
    <t>ROPA sudah tersedia sebagai fondasi dokumentasi pemrosesan data namun prosedur DSAR dan PIC dedicated belum ada sama sekali, kewajiban pemenuhan tenggat waktu 3x24 jam tidak dapat dipenuhi jika ada permintaan masuk saat ini, risiko masih terbuka penuh pada level Tinggi dengan probabilitas sangat tinggi, status New - Open dan menjadi prioritas utama untuk segera ditunjuk PIC dan disusun prosedur DSAR sebelum ada permintaan yang masuk</t>
  </si>
  <si>
    <t xml:space="preserve"> - Tunjuk PIC DSAR secara formal dan tetapkan tanggung jawabnya — tunjuk personil yang bertanggung jawab atas koordinasi seluruh proses penanganan DSAR lintas unit; definisikan scope tanggung jawab, kewenangan koordinasi, dan jalur eskalasi yang jelas; pastikan PIC memahami ketentuan UU PDP terkait hak subjek data dan tenggat waktu respons yang wajib dipenuhi
 - Susun prosedur DSAR yang komprehensif dan terdokumentasi — dokumentasikan seluruh tahapan penanganan DSAR mencakup mekanisme penerimaan permintaan, verifikasi identitas subjek data, koordinasi pengumpulan data dari seluruh sistem yang relevan, review Legal Counsel, penyusunan respons, dan pengiriman dalam tenggat waktu 3x24 jam; sertakan template respons standar untuk setiap jenis permintaan hak subjek data
 - Implementasi mekanisme penerimaan dan tracking permintaan DSAR — tetapkan channel resmi penerimaan permintaan DSAR yang dapat diakses nasabah; implementasi sistem tracking yang memantau status dan tenggat waktu setiap permintaan untuk memastikan tidak ada yang terlewat atau melampaui batas waktu regulasi
 - Sosialisasikan kewajiban DSAR kepada seluruh unit pemrosesan data — edukasi seluruh unit yang memproses data pribadi nasabah mengenai jenis-jenis hak subjek data per UU PDP, kewajiban pemenuhan dalam 3x24 jam, dan prosedur koordinasi dengan PIC DSAR saat menerima permintaan dari nasabah melalui channel manapun</t>
  </si>
  <si>
    <t>Pelanggaran kewajiban regulasi UU PDP dan eksposur terhadap sanksi administratif berpotensi terjadi — akibat tidak tersedianya prosedur DSAR (Data Subject Access Request) yang terdokumentasi dan tidak adanya PIC dedicated, sehingga permintaan hak subjek data tidak dapat direspons dalam tenggat waktu wajib 3x24 jam.
Note: Hak Akses, Hak Koreksi, Hak Penghapusan, Hak Pembatasan Pemrosesan, Hak Keberatan</t>
  </si>
  <si>
    <t>Pelanggaran kewajiban notifikasi regulasi yang memperburuk eksposur sanksi dan tuntutan hukum berpotensi terjadi — akibat kecenderungan menunda pelaporan pelanggaran data hingga mitigasi selesai dan kekhawatiran reputasi yang mengabaikan bahwa kewajiban notifikasi per UU PDP bersifat independen dari status penyelesaian insiden</t>
  </si>
  <si>
    <t>Tidak adanya prosedur yang mendefinisikan kewajiban notifikasi pelanggaran data sebagai tindakan independen yang harus dipenuhi dalam tenggat waktu terlepas dari status mitigasi; kekhawatiran terhadap dampak reputasi yang mendorong penundaan pelaporan; rendahnya pemahaman pemangku kepentingan bahwa penundaan notifikasi justru memperburuk eksposur sanksi regulasi</t>
  </si>
  <si>
    <t>Kegagalan memenuhi tenggat waktu notifikasi wajib kepada regulator dan subjek data terdampak per UU PDP; pelanggaran kewajiban regulasi yang diperburuk akibat penundaan notifikasi di atas sanksi dari insiden pelanggaran data itu sendiri; potensi sanksi berlapis dari regulator akibat dua pelanggaran sekaligus yaitu pelanggaran data dan kegagalan notifikasi; kerusakan reputasi yang justru semakin parah jika penundaan notifikasi terungkap dalam proses investigasi regulasi</t>
  </si>
  <si>
    <t>Sanksi administratif berlapis dari regulator akibat kegagalan notifikasi tepat waktu; tuntutan hukum dari subjek data yang terlambat diberitahu tentang pelanggaran yang mempengaruhi data mereka; investigasi regulasi yang diperluas akibat ditemukannya pola penundaan notifikasi yang disengaja; kerusakan reputasi yang lebih besar akibat terungkapnya upaya penyembunyian insiden</t>
  </si>
  <si>
    <t>Tidak ada prosedur yang memisahkan kewajiban notifikasi dari proses mitigasi; pemahaman pemangku kepentingan terhadap tenggat waktu notifikasi wajib per UU PDP masih rendah; budaya kekhawatiran reputasi yang lebih dominan dari kepatuhan regulasi; tidak ada PIC yang bertanggung jawab memastikan kewajiban notifikasi dipenuhi secara independen</t>
  </si>
  <si>
    <t>Mekanisme pelaporan insiden internal telah berjalan; namun pelaporan kepada otoritas regulasi dan pemberitahuan kepada individu terdampak dilakukan setelah langkah mitigasi tersedia tanpa prosedur yang mendefinisikan kewajiban notifikasi sebagai tindakan independen yang harus dipenuhi dalam tenggat waktu UU PDP</t>
  </si>
  <si>
    <t>A.5.34 – Privasi dan perlindungan informasi pribadi; 
A.5.26 – Respons terhadap insiden keamanan informasi; 
A.5.31 – Persyaratan hukum, undang-undang, peraturan dan kontrak</t>
  </si>
  <si>
    <r>
      <rPr>
        <b/>
        <sz val="10"/>
        <color theme="1"/>
        <rFont val="Montserrat"/>
      </rPr>
      <t>Rendah</t>
    </r>
    <r>
      <rPr>
        <sz val="10"/>
        <color theme="1"/>
        <rFont val="Montserrat"/>
      </rPr>
      <t xml:space="preserve"> — perusahaan tidak bersedia menanggung risiko kegagalan notifikasi yang memperburuk eksposur sanksi regulasi, mengingat penundaan notifikasi justru menambah pelanggaran di atas insiden awal dan berpotensi mengakibatkan sanksi berlapis yang lebih merugikan dari insiden itu sendiri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</si>
  <si>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yang secara eksplisit mendefinisikan kewajiban notifikasi pelanggaran data sebagai tindakan independen dengan tenggat waktu yang terdokumentasi terlepas dari status mitigasi, dan (2) pemahaman yang tervalidasi dari seluruh pemangku kepentingan kunci bahwa penundaan notifikasi memperburuk eksposur sanksi bukan melindungi reputasi</t>
    </r>
  </si>
  <si>
    <t>(1) Aktifkan kewajiban notifikasi segera setelah pelanggaran data dikonfirmasi tanpa menunggu mitigasi selesai — notifikasi kepada regulator dan subjek data terdampak adalah tindakan paralel bukan sekuensial terhadap mitigasi; (2) engajemen Legal Counsel segera untuk memvalidasi konten notifikasi, mengidentifikasi regulator yang harus diberitahu, dan memastikan format serta tenggat waktu notifikasi memenuhi ketentuan UU PDP; (3) dokumentasikan seluruh timeline notifikasi sebagai bukti itikad baik kepada regulator bahwa kewajiban notifikasi dipenuhi sesuai ketentuan; (4) eskalasi kepada manajemen senior dengan penjelasan bahwa transparansi dan notifikasi tepat waktu justru memitigasi risiko sanksi berlapis yang jauh lebih merugikan dari dampak reputasi notifikasi itu sendiri</t>
  </si>
  <si>
    <t>Susun prosedur notifikasi pelanggaran data yang mendefinisikan kewajiban notifikasi sebagai tindakan independen dari mitigasi; sosialisasikan kepada manajemen bahwa penundaan notifikasi memperburuk eksposur sanksi; tunjuk PIC yang bertanggung jawab memastikan kewajiban notifikasi terpenuhi tepat waktu</t>
  </si>
  <si>
    <t>Pelaporan insiden internal sudah berjalan namun dengan kebiasaan menunggu mitigasi yang berpotensi melewati tenggat waktu notifikasi wajib, pemahaman terhadap kewajiban notifikasi independen masih rendah, risiko belum mengalami penurunan, status In Progress dan menjadi prioritas untuk segera disusun prosedur notifikasi dan disosialisasikan kepada manajemen bahwa penundaan notifikasi memperburuk eksposur sanksi</t>
  </si>
  <si>
    <t>Personel IT Governance berkoordinasi dengan Legal Counsel dan Personel CTIO</t>
  </si>
  <si>
    <t xml:space="preserve"> - Susun prosedur notifikasi pelanggaran data yang mendefinisikan kewajiban notifikasi sebagai tindakan independen — dokumentasikan prosedur yang secara eksplisit menetapkan bahwa notifikasi kepada regulator dan subjek data terdampak adalah kewajiban yang harus dipenuhi dalam tenggat waktu UU PDP terlepas dari status penyelesaian mitigasi; sertakan decision tree yang memandu kapan kewajiban notifikasi dipicu dan siapa yang harus diberitahu
 - Sosialisasikan kepada manajemen bahwa transparansi dan ketepatan notifikasi memitigasi sanksi — sampaikan secara terstruktur bahwa penundaan notifikasi untuk melindungi reputasi justru menambah pelanggaran dan memperburuk sanksi; gunakan studi kasus regulasi aktual sebagai ilustrasi konsekuensi penundaan versus manfaat notifikasi tepat waktu yang dapat menunjukkan itikad baik kepada regulator
 - Tunjuk PIC notifikasi dan integrasikan ke dalam prosedur respons insiden — tetapkan personil yang bertanggung jawab memastikan kewajiban notifikasi terpenuhi tepat waktu dalam setiap skenario pelanggaran data; integrasikan peran ini ke dalam prosedur incident response yang sudah ada sehingga notifikasi berjalan paralel dengan mitigasi bukan menunggu selesainya mitigasi
 - Jadwalkan tabletop exercise skenario notifikasi pelanggaran data — simulasikan skenario pelanggaran data nyata yang mencakup seluruh tahapan dari deteksi, notifikasi regulator, pemberitahuan subjek data, hingga koordinasi Legal Counsel; gunakan hasil simulasi untuk mengidentifikasi gap prosedur dan memastikan seluruh pemangku kepentingan memahami peran dan tenggat waktu masing-masing</t>
  </si>
  <si>
    <t>Gangguan operasional infrastruktur IT yang berkepanjangan dan tidak dapat dipulihkan secara mandiri berpotensi terjadi kapan saja — akibat seluruh pengetahuan teknis hanya tersimpan pada key person tanpa dokumentasi yang dapat diakses personil lain sehingga menciptakan single point of knowledge yang kritis</t>
  </si>
  <si>
    <t>Tidak adanya kebijakan dan rutinitas yang mewajibkan dokumentasi teknis sebagai bagian dari proses kerja operasional; keterbatasan personil yang menyebabkan seluruh kapasitas terserap pada pekerjaan operasional harian tanpa alokasi waktu untuk dokumentasi; knowledge spesialis yang bersifat sangat teknis dan tidak memiliki backup personil yang dapat memahami dan mewarisi pengetahuan tersebut</t>
  </si>
  <si>
    <t>Gangguan operasional yang tidak dapat ditangani jika key person tidak tersedia akibat sakit, cuti, atau resign; peningkatan Mean Time to Resolve yang signifikan akibat tidak ada referensi penanganan insiden yang dapat digunakan personil lain; knowledge loss permanen jika key person mengundurkan diri tanpa sempat melakukan transfer pengetahuan; ketergantungan ekstrem yang membatasi kemampuan organisasi dalam merespons insiden infrastruktur secara tepat waktu</t>
  </si>
  <si>
    <t>Knowledge loss permanen akibat resign atau ketidaktersediaan mendadak key person; gangguan layanan berkepanjangan yang tidak dapat ditangani tanpa key person; eskalasi insiden yang tidak dapat diselesaikan akibat tidak ada personil lain yang memahami infrastruktur; peningkatan ketergantungan pada vendor eksternal yang mahal akibat tidak ada kapabilitas internal</t>
  </si>
  <si>
    <t>Tidak ada dokumentasi teknis operasional infrastruktur; tidak ada instruksi kerja yang dapat digunakan personil lain; tidak ada knowledge base penanganan insiden; tidak ada backup personil yang memahami infrastruktur; tidak ada rutinitas knowledge transfer yang terstruktur</t>
  </si>
  <si>
    <t>Pengelolaan infrastruktur IT sepenuhnya mengandalkan pengetahuan implisit personil kunci yang tidak terdokumentasi; belum tersedia instruksi kerja operasional, knowledge base penanganan insiden, maupun dokumentasi teknis konfigurasi yang dapat diakses personil lain sebagai referensi mandiri</t>
  </si>
  <si>
    <t>7.5 – Informasi terdokumentasi; 
7.2 – Kompetensi; 
8.1 – Perencanaan dan pengendalian operasional</t>
  </si>
  <si>
    <r>
      <rPr>
        <b/>
        <sz val="10"/>
        <color theme="1"/>
        <rFont val="Montserrat"/>
      </rPr>
      <t>Rendah</t>
    </r>
    <r>
      <rPr>
        <sz val="10"/>
        <color theme="1"/>
        <rFont val="Montserrat"/>
      </rPr>
      <t xml:space="preserve"> — perusahaan tidak bersedia membiarkan seluruh operasional infrastruktur IT bergantung pada pengetahuan implisit satu atau beberapa individu tanpa dokumentasi mengingat dampak langsung pada keberlangsungan layanan dan kerentanan terhadap knowledge loss permanen yang tidak dapat dipulihkan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</si>
  <si>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dokumentasi teknis minimal untuk proses dan konfigurasi infrastruktur yang paling kritis yang memungkinkan personil lain melakukan penanganan dasar secara mandiri, dan (2) minimal satu sesi knowledge transfer yang terdokumentasi dari key person kepada backup personil untuk domain infrastruktur yang paling berisiko</t>
    </r>
  </si>
  <si>
    <t>(1) Aktifkan eskalasi darurat kepada key person melalui seluruh channel yang tersedia termasuk di luar jam kerja; jika key person tidak dapat dihubungi, aktifkan keterlibatan vendor atau konsultan eksternal sebagai contingency; (2) lakukan triase insiden untuk mengidentifikasi dampak layanan yang terdampak dan prioritaskan pemulihan berdasarkan kritikal bisnis; (3) dokumentasikan seluruh langkah penanganan yang dilakukan selama insiden sebagai knowledge capture darurat yang dapat dijadikan referensi di masa mendatang; (4) eskalasi kepada manajemen dengan laporan bahwa insiden terjadi akibat single point of knowledge dan jadikan sebagai justifikasi urgensi program dokumentasi dan knowledge transfer segera</t>
  </si>
  <si>
    <t>Susun dokumentasi teknis untuk proses dan konfigurasi infrastruktur kritis; laksanakan program knowledge transfer dari key person kepada backup personil; tetapkan kebijakan yang mewajibkan dokumentasi sebagai bagian dari proses kerja operasional</t>
  </si>
  <si>
    <t>Tidak ada dokumentasi teknis sama sekali dan operasional sepenuhnya bergantung pada key person tanpa backup, risiko knowledge loss permanen sangat tinggi dan dapat terjadi kapan saja, status New - Open dan menjadi prioritas utama untuk segera dilakukan knowledge capture dari key person sebelum terjadi knowledge loss yang tidak dapat dipulihkan</t>
  </si>
  <si>
    <t xml:space="preserve"> - Lakukan knowledge capture segera dari seluruh key person per domain infrastruktur — jadwalkan sesi dokumentasi intensif dengan key person untuk mengekstrak pengetahuan teknis kritis ke dalam format yang dapat diakses; prioritaskan domain yang paling berisiko jika key person tidak tersedia; jadikan ini sebagai tindakan darurat mengingat probabilitas kejadian yang sangat tinggi
 - Susun dokumentasi teknis infrastruktur kritis — buat instruksi kerja step-by-step untuk proses operasional rutin, prosedur penanganan insiden yang paling sering terjadi, dan dokumentasi konfigurasi sistem kritis; simpan di platform yang dapat diakses seluruh tim IT secara terpusat
 - Tetapkan kebijakan dokumentasi sebagai komponen wajib proses kerja — buat kebijakan yang mewajibkan setiap penanganan insiden dan perubahan konfigurasi didokumentasikan sebelum dianggap selesai; integrasikan ke dalam closure tiket helpdesk sebagai syarat penyelesaian
 - Laksanakan program knowledge transfer kepada backup personil — identifikasi personil yang akan menjadi backup untuk setiap domain infrastruktur kritis; jadwalkan sesi transfer pengetahuan terstruktur dan validasi pemahaman backup personil melalui simulasi penanganan insiden terpandu</t>
  </si>
  <si>
    <t>Personel IT Infra - Sysadmin berkoordinasi dengan Personel IT Governance dan Personel CTIO</t>
  </si>
  <si>
    <t>Ancaman siber yang masuk dan beroperasi di dalam jaringan berpotensi tidak terdeteksi dalam waktu yang sangat lama — akibat tidak tersedianya SIEM terpusat dengan kapabilitas agregasi log lintas sumber, deteksi intrusi jaringan, dan alert otomatis yang memungkinkan organisasi mendeteksi aktivitas ancaman secara real-time</t>
  </si>
  <si>
    <t>Keterbatasan anggaran yang menghambat implementasi dan pengembangan SIEM terpusat; Wazuh yang tersedia baru dimanfaatkan untuk SCA tanpa pengembangan kapabilitas SIEM secara penuh; tidak ada integrasi sumber log lintas infrastruktur, tidak ada integrasi Suricata untuk deteksi intrusi jaringan, dan tidak ada koneksi ke platform threat intelligence</t>
  </si>
  <si>
    <t>Ancaman siber yang masuk ke jaringan tidak terdeteksi secara real-time; waktu hunian ancaman yang sangat panjang memungkinkan threat actor melakukan reconnaissance, lateral movement, dan eksfiltrasi data tanpa diketahui; tidak tersedianya audit trail yang memadai untuk investigasi forensik jika insiden teridentifikasi; kegagalan pemenuhan persyaratan monitoring regulasi yang mensyaratkan kemampuan deteksi ancaman yang memadai</t>
  </si>
  <si>
    <t>Threat actor yang beroperasi dalam jaringan tanpa terdeteksi dalam waktu lama; serangan APT yang memanfaatkan ketiadaan monitoring untuk bergerak lateral secara bebas; eksfiltrasi data yang tidak terdeteksi akibat tidak ada monitoring traffic anomali; ransomware yang menyebar di jaringan tanpa peringatan sebelum mengenkripsi data</t>
  </si>
  <si>
    <t>Tidak ada SIEM terpusat yang mengagregasi dan mengkorelasikan log lintas sumber; tidak ada integrasi Suricata untuk deteksi intrusi jaringan; tidak ada koneksi ke threat intelligence platform seperti MISP; tidak ada konfigurasi alert otomatis yang memperingatkan tim saat anomali terdeteksi; Wazuh hanya digunakan untuk SCA tanpa pengembangan kapabilitas monitoring penuh</t>
  </si>
  <si>
    <t>Wazuh telah diimplementasikan dan digunakan untuk Security Configuration Assessment berbasis CIS Control pada server; namun kapabilitas belum dikembangkan sebagai SIEM terpusat, belum terintegrasi dengan Suricata, belum terhubung ke MISP, dan belum menghasilkan alert otomatis sehingga tidak ada visibilitas real-time terhadap ancaman aktif</t>
  </si>
  <si>
    <r>
      <rPr>
        <b/>
        <sz val="10"/>
        <color theme="1"/>
        <rFont val="Montserrat"/>
      </rPr>
      <t>Rendah</t>
    </r>
    <r>
      <rPr>
        <sz val="10"/>
        <color theme="1"/>
        <rFont val="Montserrat"/>
      </rPr>
      <t xml:space="preserve"> — perusahaan tidak bersedia membiarkan lingkungan IT beroperasi dalam kondisi zero visibility terhadap ancaman siber mengingat ketiadaan deteksi real-time secara langsung memungkinkan threat actor beroperasi tanpa hambatan dan mengakibatkan dampak yang jauh lebih besar dari yang seharusnya</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</si>
  <si>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Wazuh dikembangkan minimal sebagai SIEM dasar dengan agregasi log dari sumber kritis dan konfigurasi alert otomatis untuk anomali prioritas tinggi, dan (2) integrasi Suricata untuk deteksi intrusi jaringan sebagai lapisan visibilitas tambahan terhadap aktivitas ancaman di level network</t>
    </r>
  </si>
  <si>
    <t>(1) Lakukan investigasi manual segera terhadap log yang tersedia di Wazuh dan perangkat jaringan untuk mengidentifikasi indikasi kompromi yang mungkin sudah terjadi tanpa terdeteksi; (2) manfaatkan SCA yang sudah berjalan di Wazuh untuk mengidentifikasi konfigurasi yang menyimpang sebagai indikator awal potensi kompromi; (3) aktifkan monitoring manual yang lebih intensif pada titik-titik kritis jaringan sebagai kompensasi sementara selama SIEM belum tersedia; (4) eskalasi kondisi zero visibility kepada manajemen dengan justifikasi urgensi pengembangan SIEM dan alokasi anggaran sebagai prioritas keamanan</t>
  </si>
  <si>
    <t>Kembangkan Wazuh menjadi SIEM dasar dengan agregasi log lintas sumber dan alert otomatis; integrasikan Suricata untuk deteksi intrusi jaringan; susun roadmap pengembangan SIEM bertahap berbasis kapasitas anggaran yang tersedia</t>
  </si>
  <si>
    <t>Wazuh sudah berjalan untuk SCA namun kapabilitas SIEM terpusat, alert otomatis, dan integrasi sumber log belum ada sehingga organisasi beroperasi dalam kondisi zero visibility terhadap ancaman aktif, risiko masih terbuka penuh pada level Tinggi dengan probabilitas sangat tinggi, status New - Open dan menjadi prioritas utama untuk segera dikembangkan Wazuh sebagai SIEM dasar dengan alert otomatis</t>
  </si>
  <si>
    <t>Personel Security Analyst berkoordinasi dengan Personel DevSecOps, Personel IT Infra - Sysadmin, dan Personel IT Infra - Network</t>
  </si>
  <si>
    <t xml:space="preserve"> - Kembangkan Wazuh menjadi SIEM dasar dengan agregasi log lintas sumber — manfaatkan kapabilitas Wazuh yang sudah tersedia untuk mengagregasi log dari server, endpoint, firewall, dan perangkat jaringan kritis; konfigurasikan korelasi event dasar untuk mendeteksi pola anomali yang mengindikasikan aktivitas ancaman; ini tidak memerlukan anggaran tambahan dan dapat dimulai segera
 - Konfigurasi alert otomatis untuk anomali prioritas tinggi di Wazuh — tetapkan rule deteksi dan threshold untuk aktivitas mencurigakan seperti failed login berulang, privilege escalation, akses di luar jam kerja, dan perubahan konfigurasi tidak terotorisasi; integrasikan notifikasi ke channel komunikasi tim yang sudah ada
 - Integrasikan Suricata sebagai Network Intrusion Detection System — deploy Suricata pada titik strategis jaringan dan integrasikan alert-nya ke Wazuh untuk memberikan visibilitas terhadap aktivitas ancaman di level network; Suricata bersifat open-source sehingga tidak memerlukan anggaran lisensi
 - Susun roadmap pengembangan SIEM lanjutan termasuk integrasi MISP — dokumentasikan jalur pengembangan bertahap dari SIEM dasar menuju kapabilitas threat intelligence yang terintegrasi; jadikan sebagai justifikasi investasi anggaran kepada manajemen dengan kuantifikasi risiko kondisi zero visibility yang sedang berlangsung</t>
  </si>
  <si>
    <r>
      <t xml:space="preserve">Insiden operasional dan ancaman keamanan yang sesungguhnya berpotensi tidak terdeteksi dan tidak ditindaklanjuti — akibat kondisi </t>
    </r>
    <r>
      <rPr>
        <b/>
        <sz val="10"/>
        <color theme="1"/>
        <rFont val="Montserrat"/>
      </rPr>
      <t>alert fatigue</t>
    </r>
    <r>
      <rPr>
        <sz val="10"/>
        <color theme="1"/>
        <rFont val="Montserrat"/>
      </rPr>
      <t xml:space="preserve"> pada PRTG dimana volume false positive yang berlebihan menyebabkan seluruh alert diabaikan tanpa mekanisme triase, eskalasi, dan monitoring dedicated yang memadai</t>
    </r>
  </si>
  <si>
    <t>Konfigurasi threshold alert PRTG yang belum dioptimalkan sehingga menghasilkan volume false positive yang berlebihan; tidak adanya personil dedicated yang bertugas memonitor dan menindaklanjuti alert secara konsisten; kurangnya awareness terhadap dampak alert fatigue pada efektivitas monitoring; Wazuh belum dikonfigurasi untuk menghasilkan alert sehingga tidak berkontribusi pada kapabilitas deteksi</t>
  </si>
  <si>
    <t>Insiden operasional nyata yang tersembunyi di balik noise false positive tidak terdeteksi tepat waktu; ancaman keamanan yang menghasilkan alert genuine diabaikan bersama dengan false positive; peningkatan Mean Time to Detect yang signifikan akibat seluruh alert dianggap tidak relevan; kegagalan monitoring yang seharusnya menjadi mekanisme deteksi dini justru menciptakan false sense of security</t>
  </si>
  <si>
    <t>Insiden infrastruktur kritis yang tidak tertangani karena alertnya diabaikan bersama false positive; ancaman keamanan yang memanfaatkan kondisi alert fatigue untuk beroperasi tanpa terdeteksi; degradasi performa layanan yang tidak teridentifikasi akibat alert yang relevan tenggelam dalam noise; eskalasi insiden yang terlambat karena tidak ada triase alert yang efektif</t>
  </si>
  <si>
    <t>Threshold alert PRTG belum dioptimalkan sehingga menghasilkan false positive berlebihan; tidak ada mekanisme triase alert yang memisahkan genuine alert dari false positive; tidak ada personil dedicated monitoring; Wazuh belum dikonfigurasi untuk alert sehingga potensi deteksi tambahan tidak termanfaatkan; tidak ada prosedur eskalasi yang terdefinisi saat alert genuine teridentifikasi</t>
  </si>
  <si>
    <t>PRTG aktif dengan konfigurasi alert yang berjalan namun menghasilkan false positive berlebihan yang menyebabkan alert fatigue; Wazuh sudah tersedia namun baru digunakan untuk SCA tanpa konfigurasi alert; tidak ada personil dedicated yang memonitor dan menindaklanjuti alert secara konsisten</t>
  </si>
  <si>
    <t>A.8.16 – Aktivitas pemantauan; 
A.8.15 – Logging; 
A.5.25 – Asesmen dan keputusan terkait peristiwa keamanan informasi</t>
  </si>
  <si>
    <r>
      <rPr>
        <b/>
        <sz val="10"/>
        <color theme="1"/>
        <rFont val="Montserrat"/>
      </rPr>
      <t>Rendah</t>
    </r>
    <r>
      <rPr>
        <sz val="10"/>
        <color theme="1"/>
        <rFont val="Montserrat"/>
      </rPr>
      <t xml:space="preserve"> — perusahaan tidak bersedia membiarkan platform monitoring beroperasi dalam kondisi alert fatigue yang mengakibatkan seluruh alert diabaikan, mengingat kondisi ini menghilangkan nilai seluruh investasi monitoring dan menciptakan false sense of security yang lebih berbahaya dari tidak memiliki monitoring sama sekali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</si>
  <si>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konfigurasi threshold PRTG yang telah dioptimalkan untuk meminimalkan false positive sehingga alert yang tersisa memiliki tingkat relevansi yang memadai untuk ditindaklanjuti, dan (2) prosedur triase dan eskalasi alert yang terdokumentasi dengan PIC yang terdefinisi untuk menindaklanjuti alert genuine</t>
    </r>
  </si>
  <si>
    <t>(1) Lakukan audit segera terhadap seluruh alert PRTG yang aktif untuk mengidentifikasi apakah ada genuine alert yang sudah diabaikan dalam periode tertentu dan belum ditindaklanjuti; (2) triage manual terhadap seluruh alert yang terakumulasi untuk memisahkan yang genuine dari false positive dan prioritaskan penanganan yang berdampak pada layanan kritis; (3) nonaktifkan sementara alert yang sudah terbukti false positive secara konsisten sambil konfigurasi threshold diperbaiki untuk mengurangi noise segera; (4) eskalasi kondisi alert fatigue kepada manajemen dan dokumentasikan potensi insiden yang mungkin sudah terlewat sebagai justifikasi urgensi optimasi konfigurasi</t>
  </si>
  <si>
    <t>Optimasi konfigurasi threshold PRTG untuk meminimalkan false positive; tetapkan prosedur triase dan eskalasi alert dengan PIC yang terdefinisi; konfigurasi Wazuh untuk menghasilkan alert yang terintegrasi dengan PRTG sebagai sumber deteksi tambahan</t>
  </si>
  <si>
    <t>PRTG sudah berjalan dengan alert namun kondisi alert fatigue sudah terjadi dan genuine alert berpotensi diabaikan bersama false positive, tidak ada personil dedicated monitoring dan Wazuh belum menghasilkan alert, risiko belum mengalami penurunan, status In Progress dan menjadi prioritas untuk segera dioptimasi konfigurasi threshold PRTG dan ditetapkan prosedur triase alert</t>
  </si>
  <si>
    <t>Personel IT Infra - Sysadmin berkoordinasi dengan Personel Security Analyst dan Personel IT Infra - Network</t>
  </si>
  <si>
    <t xml:space="preserve"> - Optimasi konfigurasi threshold PRTG untuk meminimalkan false positive — review dan sesuaikan threshold seluruh sensor PRTG berdasarkan baseline performa aktual; nonaktifkan sensor yang secara konsisten menghasilkan false positive tanpa nilai deteksi; terapkan kategorisasi alert berdasarkan severity sehingga hanya alert Critical dan High yang memerlukan respons segera
 - Tetapkan prosedur triase dan eskalasi alert dengan PIC terdefinisi — dokumentasikan prosedur yang mendefinisikan siapa yang bertanggung jawab memonitor alert, bagaimana cara membedakan genuine alert dari false positive, dan jalur eskalasi yang harus dijalankan saat genuine alert teridentifikasi; tetapkan jadwal review alert harian minimal untuk memastikan tidak ada yang terlewat
 - Konfigurasi alert Wazuh dan integrasikan dengan mekanisme notifikasi — aktifkan rule deteksi Wazuh untuk anomali keamanan prioritas tinggi dan integrasikan notifikasinya ke channel komunikasi tim yang sudah ada; manfaatkan kapabilitas Wazuh sebagai sumber alert keamanan yang melengkapi monitoring infrastruktur PRTG
 - Implementasi dashboard monitoring terpusat yang mengkonsolidasikan alert — buat tampilan terpusat yang mengagregasi alert dari PRTG dan Wazuh dengan kategorisasi severity yang jelas; memungkinkan tim melihat kondisi keseluruhan infrastruktur dan keamanan dalam satu tampilan tanpa harus memeriksa masing-masing platform secara terpisah</t>
  </si>
  <si>
    <t>Kekhawatiran gangguan operasional yang menunda penerapan patch pada perangkat jaringan kritis; tidak adanya jadwal patch management yang terstruktur dan prosedur penilaian risiko sebelum penerapan patch; keterbatasan personil dan knowledge teknis yang menghambat pelaksanaan patch secara mandiri; perangkat yang sudah obsolete dan tidak lagi mendapat dukungan patch dari vendor</t>
  </si>
  <si>
    <t>Jendela eksploitasi yang diperpanjang pada kerentanan yang sudah diketahui publik di perangkat VPN dan firewall; kompromi infrastruktur jaringan kritis yang dapat mengakibatkan akses tidak terotorisasi ke seluruh jaringan; pelanggaran kepatuhan regulasi akibat tidak terpenuhinya standar patch management untuk infrastruktur kritis; pada perangkat obsolete, jendela eksploitasi bersifat permanen karena tidak ada patch yang dapat diterapkan</t>
  </si>
  <si>
    <t>Eksploitasi CVE publik pada firmware VPN dan firewall yang belum di-patch; serangan yang memanfaatkan kerentanan yang diketahui pada perangkat obsolete tanpa patch tersedia; compromise perimeter jaringan yang membuka akses ke seluruh infrastruktur internal; supply chain attack melalui firmware yang tidak terbarui</t>
  </si>
  <si>
    <t>Patch management tidak terstruktur dan bersifat reaktif; perangkat obsolete yang tidak mendapat dukungan patch vendor; keterbatasan personil dan knowledge yang menghambat penerapan patch mandiri; tidak ada mekanisme pemantauan status patch seluruh perangkat secara terpusat; tidak ada prosedur rollback yang terdokumentasi yang menyebabkan kekhawatiran berlebihan terhadap penerapan patch</t>
  </si>
  <si>
    <t>Dukungan vendor tersedia untuk membantu penanganan kendala teknis dan pelaksanaan patch; namun belum terdapat jadwal patch management terstruktur, prosedur penilaian risiko sebelum patch, maupun monitoring status patch terpusat sehingga penerapan masih bersifat reaktif dan berpotensi terlambat</t>
  </si>
  <si>
    <t>A.8.8 – Manajemen kerentanan teknis; 
A.8.20 – Keamanan jaringan; 
A.8.9 – Manajemen konfigurasi</t>
  </si>
  <si>
    <r>
      <rPr>
        <b/>
        <sz val="10"/>
        <color theme="1"/>
        <rFont val="Montserrat"/>
      </rPr>
      <t>Rendah</t>
    </r>
    <r>
      <rPr>
        <sz val="10"/>
        <color theme="1"/>
        <rFont val="Montserrat"/>
      </rPr>
      <t xml:space="preserve"> — perusahaan tidak bersedia membiarkan perangkat jaringan kritis beroperasi dengan kerentanan yang diketahui dalam jendela waktu yang diperpanjang mengingat perangkat jaringan seperti VPN dan firewall merupakan garis pertahanan pertama yang jika terkompromi membuka akses ke seluruh infrastruktur internal</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</si>
  <si>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jadwal patch management terstruktur yang menetapkan SLA penerapan patch berdasarkan severity CVE untuk seluruh perangkat jaringan kritis, dan (2) inventarisasi status patch seluruh perangkat jaringan yang diperbarui secara berkala sebagai dasar prioritasi penerapan patch</t>
    </r>
  </si>
  <si>
    <t>(1) Identifikasi segera CVE aktif yang mempengaruhi perangkat VPN dan firewall yang belum di-patch dan asesmen tingkat keparahan serta kemudahan eksploitasinya; (2) koordinasikan dengan vendor untuk penerapan patch darurat pada CVE Critical dalam waktu sesingkat mungkin dengan prosedur rollback yang disiapkan terlebih dahulu untuk mengatasi kekhawatiran gangguan operasional; (3) implementasikan kompensasi kontrol sementara seperti pengetatan rule firewall atau pembatasan akses pada perangkat yang belum dapat di-patch; (4) eskalasi kepada manajemen dan dokumentasikan seluruh CVE yang belum tertangani sebagai justifikasi urgensi jadwal patch management terstruktur</t>
  </si>
  <si>
    <t>Tetapkan jadwal patch management terstruktur dengan SLA per severity CVE; susun prosedur rollback terdokumentasi untuk mengatasi kekhawatiran gangguan operasional; inventarisasi perangkat obsolete dan susun roadmap penggantian; manfaatkan vendor untuk pelaksanaan patch terjadwal</t>
  </si>
  <si>
    <t>Dukungan vendor sudah tersedia sebagai kontrol reaktif yang memadai, namun penundaan patch sudah terbukti terjadi dan perangkat obsolete tidak dapat di-patch, risiko masih berada pada level Sedang, status In Progress dan menjadi prioritas untuk segera disusun jadwal patch management terstruktur dan diinventarisasi CVE aktif pada perangkat yang belum tertangani</t>
  </si>
  <si>
    <t>Personel IT Infra - Network berkoordinasi dengan vendor dan Personel IT Governance dan Personel IT Security Analyst</t>
  </si>
  <si>
    <r>
      <t xml:space="preserve">Eksploitasi kerentanan yang diketahui pada perangkat jaringan kritis berpotensi terjadi dalam jendela waktu yang diperpanjang — akibat </t>
    </r>
    <r>
      <rPr>
        <b/>
        <sz val="10"/>
        <color theme="1"/>
        <rFont val="Montserrat"/>
      </rPr>
      <t>penerapan patch</t>
    </r>
    <r>
      <rPr>
        <sz val="10"/>
        <color theme="1"/>
        <rFont val="Montserrat"/>
      </rPr>
      <t xml:space="preserve"> yang tertunda karena kekhawatiran gangguan operasional, keterbatasan personil dan knowledge, serta perangkat yang sudah obsolete dan tidak dapat menerima patch dari vendor</t>
    </r>
  </si>
  <si>
    <t xml:space="preserve"> -  Tetapkan jadwal patch management terstruktur dengan SLA per severity CVE — definisikan tenggat waktu wajib penerapan patch berdasarkan tingkat keparahan: Critical ≤ 7 hari, High ≤ 14 hari, Medium ≤ 30 hari; koordinasikan jadwal dengan vendor untuk pelaksanaan patch terjadwal; pastikan setiap patch memiliki change request yang terdokumentasi melalui prosedur change management
 - Susun prosedur rollback terdokumentasi sebagai mitigasi kekhawatiran gangguan operasional — buat panduan rollback step-by-step untuk setiap kategori patch perangkat jaringan kritis; lakukan backup konfigurasi sebelum setiap penerapan patch; jadikan prosedur rollback sebagai syarat wajib sebelum patch dapat dieksekusi untuk memberikan jaminan pemulihan jika terjadi gangguan
 - Inventarisasi status patch dan identifikasi CVE aktif pada seluruh perangkat jaringan — petakan seluruh perangkat jaringan beserta versi firmware yang berjalan; identifikasi CVE yang mempengaruhi setiap perangkat dan status penerapan patch-nya; kategorikan perangkat obsolete yang tidak dapat menerima patch sebagai prioritas penggantian dalam perencanaan anggaran
 - Susun roadmap penggantian perangkat obsolete — identifikasi seluruh perangkat yang sudah melampaui batas dukungan vendor; susun justifikasi penggantian berbasis risiko CVE permanen yang tidak dapat dimitigasi melalui patch; integrasikan ke dalam perencanaan anggaran IT sebagai investasi keamanan yang dapat dipertanggungjawabkan
</t>
  </si>
  <si>
    <t>Container Docker API yang berpotensi berjalan dengan privilege root sehingga kompromi container dapat memberikan akses penuh ke host; penetration testing belum pernah dilaksanakan sehingga efektivitas kontrol segmentasi tidak tervalidasi; keterbatasan knowledge dan man power yang menghambat pelaksanaan uji keamanan internal secara mandiri</t>
  </si>
  <si>
    <t>Lateral movement dari environment integrasi pihak ketiga yang terkompromi ke production environment yang mengandung data nasabah dan transaction ledger; akses tidak terotorisasi terhadap data klaim, data medis, dan data transaksi nasabah; potensi manipulasi transaction ledger yang mengakibatkan kerugian finansial; pelanggaran kepatuhan regulasi akibat eksposur data nasabah melalui jalur integrasi pihak ketiga yang tidak tervalidasi keamanannya</t>
  </si>
  <si>
    <t>Lateral movement melalui kompromi TPA, healthcare provider portal, atau broker integration platform yang memiliki koneksi langsung ke core system; container escape dari Docker container yang berjalan sebagai root untuk mendapatkan akses ke host dan jaringan internal; eksploitasi celah segmentasi yang belum teridentifikasi akibat tidak adanya pentest</t>
  </si>
  <si>
    <t>Container Docker API berpotensi berjalan dengan privilege root yang memperbesar dampak kompromi; tidak ada penetration testing yang memvalidasi efektivitas kontrol segmentasi dan kemampuan mencegah lateral movement; keterbatasan knowledge internal untuk melakukan uji keamanan mandiri; efektivitas kontrol DMZ dan geolocation belum tervalidasi terhadap skenario serangan nyata</t>
  </si>
  <si>
    <t>Pembatasan akses berbasis kebijakan telah diterapkan pada titik integrasi pihak ketiga; segmentasi jaringan melalui DMZ telah diimplementasikan; pembatasan geolokasi aktif sebagai kontrol tambahan; namun container Docker API berpotensi berjalan sebagai root dan penetration testing belum pernah dilaksanakan untuk memvalidasi efektivitas kontrol yang ada</t>
  </si>
  <si>
    <t>A.8.20 – Keamanan jaringan; 
A.8.22 – Segregasi jaringan; 
A.8.25 – Siklus hidup pengembangan yang aman; 
A.5.19 – Keamanan informasi dalam hubungan pemasok</t>
  </si>
  <si>
    <r>
      <rPr>
        <b/>
        <sz val="10"/>
        <color theme="1"/>
        <rFont val="Montserrat"/>
      </rPr>
      <t>Rendah</t>
    </r>
    <r>
      <rPr>
        <sz val="10"/>
        <color theme="1"/>
        <rFont val="Montserrat"/>
      </rPr>
      <t xml:space="preserve"> — perusahaan tidak bersedia membiarkan jalur integrasi pihak ketiga yang memiliki koneksi langsung ke core system beroperasi tanpa validasi keamanan melalui penetration testing mengingat potensi lateral movement yang dapat mengekspos seluruh data nasabah dan transaction ledger</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</si>
  <si>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seluruh container Docker API yang digunakan untuk integrasi pihak ketiga sudah dijalankan dengan non-root user sebagai hardening dasar, dan (2) penetration testing telah dilaksanakan minimal terhadap jalur integrasi pihak ketiga yang memiliki koneksi langsung ke core system untuk memvalidasi efektivitas kontrol segmentasi</t>
    </r>
  </si>
  <si>
    <t>(1) Isolasi segera seluruh jalur integrasi pihak ketiga yang terindikasi terkompromi melalui pemutusan koneksi network pada firewall untuk mencegah lateral movement lebih lanjut ke core system; (2) lakukan audit log akses terhadap seluruh API endpoint yang terekspos ke pihak ketiga untuk mengidentifikasi scope data yang berpotensi terekspos dan timeline akses tidak terotorisasi; (3) koordinasikan dengan pihak ketiga yang terkompromi untuk asesmen scope kompromi dan langkah pemulihan di sisi mereka; (4) eskalasi insiden kepada manajemen dan Legal Counsel untuk asesmen kewajiban notifikasi regulasi jika data nasabah terdampak</t>
  </si>
  <si>
    <t>Hardening container Docker dengan menjalankan seluruh API sebagai non-root user; laksanakan penetration testing terhadap environment jaringan dan jalur integrasi pihak ketiga; validasi efektivitas kontrol DMZ terhadap skenario lateral movement</t>
  </si>
  <si>
    <t>Pembatasan akses, DMZ, dan geolocation sudah berjalan sebagai kontrol dasar yang memadai, namun container Docker berpotensi berjalan sebagai root dan penetration testing belum pernah dilaksanakan sehingga efektivitas kontrol tidak tervalidasi, risiko masih berada pada level Sedang, status In Progress dan menjadi prioritas untuk segera dilakukan hardening container dan dijadwalkan penetration testing</t>
  </si>
  <si>
    <t xml:space="preserve"> Personel App Dev berkoordinasi dengan Personel Security Analyst dan Personel IT Infra - Network, Personel IT Infra Sysadmin dan DevSecOps</t>
  </si>
  <si>
    <t xml:space="preserve"> - Hardening seluruh container Docker API ke non-root user — audit seluruh container yang digunakan untuk integrasi pihak ketiga; implementasikan non-root user pada seluruh Dockerfile dan docker-compose yang masih menggunakan root; terapkan prinsip least privilege pada level container untuk memastikan kompromi container tidak memberikan akses ke host
 - Jadwalkan dan laksanakan penetration testing terhadap jalur integrasi pihak ketiga — definisikan scope pentest yang mencakup seluruh titik integrasi TPA, healthcare provider portal, dan broker platform; gunakan vendor pentest eksternal mengingat keterbatasan kapabilitas internal; fokuskan pada skenario lateral movement dari environment pihak ketiga ke core system
 - Validasi dan perkuat efektivitas kontrol segmentasi DMZ — review konfigurasi DMZ dan firewall rules yang mengatur traffic antara environment integrasi pihak ketiga dengan core system; pastikan tidak ada jalur komunikasi yang tidak terotorisasi; terapkan whitelist komunikasi yang hanya mengizinkan traffic yang benar-benar diperlukan
 - Implementasi monitoring anomali pada jalur integrasi pihak ketiga — aktifkan logging dan monitoring terhadap seluruh traffic API dari integrasi pihak ketiga; konfigurasi alert untuk pola akses yang tidak wajar seperti volume request abnormal, akses di luar jam operasional, atau enumerasi endpoint; integrasikan ke Wazuh sebagai bagian dari monitoring terpusat</t>
  </si>
  <si>
    <t>Kebijakan retensi data digital belum terdefinisi dan hanya tersedia untuk arsip fisik; data owner belum ditetapkan sehingga tidak ada yang bertanggung jawab atas pengelolaan siklus hidup data digital; klasifikasi data belum tersedia sehingga tingkat sensitivitas dan ketentuan retensi per kategori data tidak dapat ditetapkan; tidak ada mekanisme teknis yang menegakkan batas waktu penyimpanan dan prosedur penghapusan data secara otomatis</t>
  </si>
  <si>
    <t>Data pribadi nasabah dari polis yang sudah berakhir disimpan indefinitely melampaui persyaratan retensi regulasi; pelanggaran prinsip storage limitation UU PDP yang mengakibatkan eksposur terhadap sanksi administratif; perluasan permukaan risiko pelanggaran data akibat volume data yang terus bertambah tanpa penghapusan; potensi tuntutan hukum dari nasabah atas penyimpanan data yang melampaui tujuan dan batas waktu yang diizinkan</t>
  </si>
  <si>
    <t>Sanksi administratif dari regulator atas pelanggaran prinsip storage limitation UU PDP; tuntutan hukum dari nasabah atas penyimpanan data pribadi yang melampaui batas waktu yang diizinkan; peningkatan dampak pelanggaran data akibat volume data yang tidak perlu tersimpan dalam sistem; audit regulasi yang mengungkap ketiadaan data retention policy digital sebagai temuan major non-conformity</t>
  </si>
  <si>
    <t>Tidak ada kebijakan retensi data digital yang terdefinisi dan dapat ditegakkan secara teknis; tidak ada data owner yang bertanggung jawab atas siklus hidup data; tidak ada klasifikasi data yang menjadi dasar penetapan ketentuan retensi per kategori; tidak ada mekanisme otomatis untuk penghapusan data yang melampaui batas waktu retensi</t>
  </si>
  <si>
    <t>Kebijakan retensi data telah tersedia untuk pengelolaan arsip fisik; namun kebijakan retensi data digital belum terdefinisi, data owner belum ditetapkan, dan klasifikasi data belum tersedia, sehingga tidak ada mekanisme yang mengatur batas waktu penyimpanan dan prosedur penghapusan data pribadi digital sesuai ketentuan UU PDP</t>
  </si>
  <si>
    <t>A.5.34 – Privasi dan perlindungan informasi pribadi; 
A.8.10 – Penghapusan informasi; 
A.5.12 – Klasifikasi informasi; 
A.5.31 – Persyaratan hukum, undang-undang, peraturan dan kontrak</t>
  </si>
  <si>
    <r>
      <rPr>
        <b/>
        <sz val="10"/>
        <color theme="1"/>
        <rFont val="Montserrat"/>
      </rPr>
      <t>Rendah</t>
    </r>
    <r>
      <rPr>
        <sz val="10"/>
        <color theme="1"/>
        <rFont val="Montserrat"/>
      </rPr>
      <t xml:space="preserve"> — perusahaan tidak bersedia membiarkan data pribadi nasabah disimpan tanpa batas waktu yang jelas mengingat pelanggaran prinsip storage limitation UU PDP bersifat mandatory dan membawa konsekuensi sanksi administratif serta tuntutan hukum yang tidak dapat dihindari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</si>
  <si>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kebijakan retensi data digital yang mendefinisikan batas waktu penyimpanan per kategori data sesuai ketentuan regulasi yang berlaku, dan (2) data owner yang ditetapkan secara formal dan bertanggung jawab atas kepatuhan siklus hidup data pada domain masing-masing</t>
    </r>
  </si>
  <si>
    <t>(1) Lakukan inventarisasi segera terhadap kategori data digital yang paling berisiko — prioritaskan data nasabah dari polis berakhir yang sudah tersimpan melampaui perkiraan batas waktu yang seharusnya berlaku; (2) engajemen Legal Counsel untuk asesmen eksposur regulasi akibat penyimpanan data yang sudah terjadi dan opsi remediasi yang tersedia; (3) susun kebijakan retensi data digital darurat sebagai dokumen interim yang dapat segera diterapkan sambil proses formal penyusunan berlangsung; (4) eskalasi kepada manajemen senior dengan laporan scope data yang berpotensi melanggar prinsip storage limitation sebagai justifikasi urgensi implementasi</t>
  </si>
  <si>
    <t>Susun kebijakan retensi data digital yang mendefinisikan batas waktu penyimpanan per kategori data; tetapkan data owner per domain data; implementasi klasifikasi data sebagai fondasi penetapan ketentuan retensi; kembangkan mekanisme teknis penghapusan data otomatis pada core system</t>
  </si>
  <si>
    <t>Retensi data fisik sudah ada namun kebijakan retensi data digital, data owner, dan klasifikasi data belum ada sama sekali sehingga data pribadi nasabah disimpan indefinitely tanpa batas waktu yang sesuai regulasi, risiko masih terbuka penuh pada level Tinggi dengan probabilitas sangat tinggi, status New - Open dan menjadi prioritas utama untuk segera ditetapkan data owner dan disusun kebijakan retensi data digital</t>
  </si>
  <si>
    <t>Personel Pengembang Aplikasi Core berkoordinasi dengan Legal Counsel, Personel IT Governance, dan Personel DBA</t>
  </si>
  <si>
    <t xml:space="preserve"> - Tetapkan data owner secara formal per domain data — identifikasi dan tunjuk personil yang bertanggung jawab atas kepatuhan siklus hidup data untuk setiap domain data kritis; definisikan scope tanggung jawab, kewenangan, dan akuntabilitas data owner terhadap pemenuhan ketentuan retensi dan penghapusan data sesuai UU PDP
 - Susun kebijakan retensi data digital per kategori data — definisikan batas waktu penyimpanan untuk setiap kategori data digital berdasarkan persyaratan regulasi yang berlaku, termasuk data nasabah aktif, data polis berakhir, data klaim, dan data medis; koordinasikan dengan Legal Counsel untuk memastikan ketentuan retensi selaras dengan seluruh regulasi yang berlaku
 - Implementasi klasifikasi data sebagai fondasi penetapan retensi — kategorikan seluruh data digital berdasarkan tingkat sensitivitas dan ketentuan regulasi yang mengatur penyimpanannya; jadikan klasifikasi sebagai dasar penetapan kebijakan retensi dan prosedur penghapusan yang berbeda per kategori
 - Kembangkan mekanisme teknis penghapusan data otomatis pada core system — koordinasikan dengan tim DBA dan pengembangan untuk mengimplementasikan mekanisme yang secara otomatis mengidentifikasi dan menghapus atau mengarsip data yang telah melampaui batas waktu retensi; pastikan proses penghapusan terdokumentasi sebagai audit trail kepatuhan</t>
  </si>
  <si>
    <t>Seluruh core system menggunakan teknologi yang sudah melampaui batas dukungan vendor sehingga tidak ada security update yang tersedia; arsitektur teknologi lama tidak kompatibel dengan implementasi modern security controls seperti MFA, TLS versi terkini, dan algoritma enkripsi modern; developer yang memahami sistem sudah pensiun atau resign sementara rekrutmen developer baru yang memahami teknologi legacy sangat sulit; revamp sistem membutuhkan waktu dan investasi yang signifikan sementara kebutuhan bisnis terus berlanjut</t>
  </si>
  <si>
    <t>Kerentanan keamanan pada core system tidak dapat diperbaiki melalui patch karena vendor sudah tidak memberikan dukungan; modern security controls tidak dapat diimplementasikan sehingga sistem tidak dapat memenuhi standar keamanan minimum yang ditetapkan regulasi; risiko eksploitasi kerentanan yang diketahui publik pada teknologi lama terus meningkat seiring waktu; ketergantungan pada personil yang semakin berkurang menciptakan risiko knowledge loss yang dapat menghentikan operasional sistem</t>
  </si>
  <si>
    <t>Eksploitasi kerentanan CVE publik pada teknologi legacy yang tidak dapat di-patch; serangan yang memanfaatkan ketidakmampuan sistem menerapkan MFA sehingga credential compromise lebih mudah terjadi; intersepsi komunikasi akibat TLS versi lama yang rentan terhadap known attack; knowledge loss permanen jika personil yang tersisa tidak lagi tersedia</t>
  </si>
  <si>
    <t>Tidak ada vendor security update untuk sistem EOL; arsitektur tidak kompatibel dengan modern security controls; personil yang memahami sistem semakin terbatas dan tidak ada backup yang memadai; tidak ada roadmap modernisasi yang terdefinisi dan disetujui sebagai solusi jangka panjang</t>
  </si>
  <si>
    <t>Core system vendor dikelola melalui keterlibatan vendor sebagai dukungan pemeliharaan; core system internal menjalankan program sharing knowledge yang terbatas cakupannya; namun tidak ada vendor security update dan modern security controls tidak dapat diimplementasikan akibat ketidakkompatibilan teknologi</t>
  </si>
  <si>
    <t>8.1 – Perencanaan dan pengendalian operasional; 
5.1 – Kepemimpinan dan komitmen; 
6.1 – Tindakan untuk menangani risiko dan peluang</t>
  </si>
  <si>
    <t>A.8.8 – Manajemen kerentanan teknis; 
A.8.25 – Siklus hidup pengembangan yang aman; 
A.5.30 – Kesiapan ICT untuk keberlangsungan bisnis; 
A.6.3 – Kesadaran, pendidikan dan pelatihan keamanan informasi</t>
  </si>
  <si>
    <r>
      <rPr>
        <b/>
        <sz val="10"/>
        <color theme="1"/>
        <rFont val="Montserrat"/>
      </rPr>
      <t>Rendah</t>
    </r>
    <r>
      <rPr>
        <sz val="10"/>
        <color theme="1"/>
        <rFont val="Montserrat"/>
      </rPr>
      <t xml:space="preserve"> — perusahaan tidak bersedia membiarkan sistem inti bisnis beroperasi dalam kondisi EOL tanpa security update dan tanpa kemampuan menerapkan modern security controls dalam jangka panjang mengingat eksposur kerentanan yang tidak dapat dimitigasi terus meningkat seiring waktu</t>
    </r>
  </si>
  <si>
    <r>
      <rPr>
        <b/>
        <sz val="10"/>
        <color theme="1"/>
        <rFont val="Montserrat"/>
      </rPr>
      <t>Sedang</t>
    </r>
    <r>
      <rPr>
        <sz val="10"/>
        <color theme="1"/>
        <rFont val="Montserrat"/>
      </rPr>
      <t xml:space="preserve"> — perusahaan masih dapat beroperasi dengan core system legacy selama kompensasi kontrol pada lapisan perimeter masih efektif; jika eksploitasi aktif teridentifikasi atau kompensasi kontrol tidak lagi memadai, realisasi modernisasi wajib dieskalasi sebagai prioritas investasi segera. 
Sebagai syarat minimum toleransi, organisasi wajib memastikan telah tersedia: (1) kompensasi kontrol keamanan pada lapisan perimeter dan akses yang mengkompensasi ketidakmampuan sistem menerapkan modern security controls secara langsung, dan (2) roadmap modernisasi core system yang terdokumentasi dan mendapat persetujuan manajemen sebagai komitmen strategis jangka panjang</t>
    </r>
  </si>
  <si>
    <t>(1) Isolasi segera modul atau komponen core system yang teridentifikasi tereksploitasi untuk membatasi dampak lateral movement ke komponen lain; (2) aktifkan kompensasi kontrol darurat pada lapisan perimeter seperti pengetatan firewall rules dan pembatasan akses untuk meminimalkan attack surface sementara perbaikan teknis diupayakan; (3) koordinasikan dengan vendor core system untuk asesmen opsi darurat yang tersedia termasuk hotfix atau workaround yang dapat diterapkan tanpa upgrade penuh; (4) eskalasi kepada manajemen senior dengan laporan bahwa insiden terjadi pada sistem EOL yang tidak dapat di-patch sebagai justifikasi urgensi percepatan roadmap modernisasi</t>
  </si>
  <si>
    <t>Implementasi kompensasi kontrol keamanan pada lapisan perimeter untuk mengkompensasi ketidakmampuan sistem menerapkan modern security controls; susun roadmap modernisasi core system bertahap; akselerasi program sharing knowledge untuk mencegah knowledge loss</t>
  </si>
  <si>
    <t>Dukungan vendor dan sharing knowledge sudah berjalan sebagai kontrol parsial yang terbatas, namun seluruh core system sudah EOL tanpa security update dan tidak kompatibel dengan modern security controls, risiko eksposur kerentanan tidak dapat dimitigasi secara teknis langsung, status In Progress dan menjadi prioritas strategis untuk segera disusun roadmap modernisasi dan diimplementasikan kompensasi kontrol pada lapisan perimeter</t>
  </si>
  <si>
    <t>Personel CTIO berkoordinasi dengan Personel IT Core Development, Personel IT Governance, dan vendor core system</t>
  </si>
  <si>
    <t xml:space="preserve"> - Implementasi kompensasi kontrol keamanan pada lapisan perimeter dan akses — terapkan kontrol yang mengkompensasi ketidakmampuan sistem menerapkan MFA, TLS terkini, dan enkripsi modern secara langsung; contoh: implementasi MFA pada lapisan VPN/gateway sebelum akses ke core system, enkripsi komunikasi pada level network melalui TLS termination di load balancer, dan pembatasan akses berbasis IP dan role yang ketat
 - Susun dan presentasikan roadmap modernisasi core system bertahap — dokumentasikan jalur modernisasi yang realistis dengan mempertimbangkan ketergantungan bisnis, ketersediaan developer, dan keterbatasan anggaran; pecah menjadi fase yang dapat dieksekusi secara inkremental tanpa menghentikan operasional; presentasikan kepada manajemen untuk mendapatkan komitmen strategis dan alokasi anggaran
 - Akselerasi program sharing knowledge untuk mencegah knowledge loss — tingkatkan intensitas dan cakupan sharing knowledge dengan target minimal 2 personil memahami setiap modul kritis; dokumentasikan seluruh pengetahuan teknis yang diekstrak dalam knowledge base yang dapat diakses; pertimbangkan keterlibatan konsultan eksternal yang memahami teknologi legacy sebagai bridging resource
 - Evaluasi opsi modernisasi bertahap berbasis strangler fig pattern — kaji pendekatan modernisasi inkremental yang mengganti komponen sistem legacy satu per satu tanpa menghentikan operasional; mulai dengan modul yang paling kritikal dari perspektif keamanan dan paling feasible untuk dimodernisasi; jadikan sebagai strategi jangka menengah yang dapat dimulai sambil roadmap penuh dipersiapkan</t>
  </si>
  <si>
    <r>
      <t xml:space="preserve">Aktivitas tidak terotorisasi atau berbahaya oleh administrator yang tidak dapat dideteksi dan diinvestigasi berpotensi terjadi — akibat </t>
    </r>
    <r>
      <rPr>
        <b/>
        <sz val="10"/>
        <color theme="1"/>
        <rFont val="Montserrat"/>
      </rPr>
      <t>shared administrative credentials</t>
    </r>
    <r>
      <rPr>
        <sz val="10"/>
        <color theme="1"/>
        <rFont val="Montserrat"/>
      </rPr>
      <t xml:space="preserve"> yang digunakan bergantian tanpa individual accountability, MFA enforcement, dan PAM system yang menghilangkan seluruh audit trail yang dapat diatribusikan per individu</t>
    </r>
  </si>
  <si>
    <t>Shared administrative credentials digunakan bergantian oleh multiple personil tanpa individual accountability; PAM system belum diimplementasikan akibat keterbatasan investasi; MFA belum diterapkan pada akun administrator; password administrator yang standar dan hampir sama di seluruh environment meningkatkan risiko kompromi lateral jika satu environment terekspos</t>
  </si>
  <si>
    <t>Aktivitas administrator tidak dapat diatribusikan kepada individu yang bertanggung jawab akibat penggunaan shared credentials; audit trail yang bermakna tidak tersedia untuk keperluan investigasi forensik; insider threat melalui akses administrator tidak dapat terdeteksi dan dibuktikan; potensi kompromi seluruh environment jika satu set shared credentials terekspos akibat kesamaan password</t>
  </si>
  <si>
    <t>Insider threat yang memanfaatkan shared credentials untuk aktivitas berbahaya tanpa dapat diidentifikasi; kompromi seluruh environment akibat kesamaan password administrator yang memungkinkan lateral movement; penyalahgunaan akses administrator yang tidak dapat dibuktikan akibat tidak adanya individual audit trail; credential stuffing yang memanfaatkan password standar yang dapat ditebak</t>
  </si>
  <si>
    <t>Shared administrative credentials tanpa individual accountability; password administrator standar dan hampir sama di seluruh environment; PAM system belum ada; MFA belum diterapkan pada akun administrator; audit trail tidak dapat diatribusikan per individu</t>
  </si>
  <si>
    <t>Kebijakan pengelolaan akses istimewa telah tersedia; segregasi environment container dan non-container telah diterapkan; review hak akses istimewa dilaksanakan berkala; Guacamole tersedia sebagai platform remote access terpusat; namun PAM belum diimplementasikan, shared credentials masih digunakan, dan MFA belum diterapkan pada akun administrator</t>
  </si>
  <si>
    <t>A.8.2 – Hak akses istimewa; 
A.5.17 – Informasi autentikasi; 
A.5.15 – Manajemen akses; 
A.8.15 – Logging</t>
  </si>
  <si>
    <r>
      <rPr>
        <b/>
        <sz val="10"/>
        <color theme="1"/>
        <rFont val="Montserrat"/>
      </rPr>
      <t>Rendah</t>
    </r>
    <r>
      <rPr>
        <sz val="10"/>
        <color theme="1"/>
        <rFont val="Montserrat"/>
      </rPr>
      <t xml:space="preserve"> — perusahaan tidak bersedia membiarkan akses administrator dijalankan tanpa individual accountability dan audit trail mengingat ketiadaan atribusi individual secara langsung memungkinkan insider threat dan aktivitas berbahaya beroperasi tanpa dapat dideteksi maupun diinvestigasi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</si>
  <si>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akun administrator individual per personil yang menggantikan shared credentials minimal pada environment produksi yang paling kritis, dan (2) session recording melalui Guacamole yang aktif untuk seluruh sesi akses administrator sebagai audit trail sementara PAM belum tersedia</t>
    </r>
  </si>
  <si>
    <t>(1) Lakukan rotasi segera seluruh shared administrative credentials di seluruh environment untuk memutus potensi akses tidak terotorisasi yang sedang berlangsung; (2) review manual log Guacamole dan log sistem yang tersedia untuk mengidentifikasi aktivitas administrator yang mencurigakan dalam periode teridentifikasi; (3) batasi akses administrator hanya melalui Guacamole sebagai satu-satunya jalur yang dapat di-log sementara investigasi berlangsung; (4) eskalasi insiden kepada manajemen senior dengan laporan ketidakmampuan mengidentifikasi pelaku akibat shared credentials sebagai justifikasi urgensi implementasi akun individual dan PAM</t>
  </si>
  <si>
    <t>Buat akun administrator individual per personil sebagai pengganti shared credentials; aktifkan session recording di Guacamole sebagai audit trail sementara; susun roadmap implementasi PAM bertahap; terapkan MFA pada seluruh akses administrator</t>
  </si>
  <si>
    <t>Kebijakan, segregasi environment, review hak akses, dan Guacamole sudah berjalan sebagai kontrol dasar yang memadai, namun shared credentials masih digunakan, PAM belum ada, dan MFA belum diterapkan sehingga individual accountability dan audit trail tidak tersedia, risiko masih terbuka pada level Tinggi, status In Progress dan menjadi prioritas utama untuk segera dibuat akun individual dan diaktifkan session recording Guacamole</t>
  </si>
  <si>
    <t xml:space="preserve"> - Buat akun administrator individual per personil dan nonaktifkan shared credentials — buat akun administrator terpisah untuk setiap personil yang memerlukan akses istimewa; mulai dari environment produksi kritis; nonaktifkan shared credentials secara bertahap setelah akun individual aktif; pastikan setiap akun individual memiliki level privilege minimum sesuai kebutuhan tugasnya
 - Aktifkan session recording di Guacamole untuk seluruh sesi administrator — konfigurasi Guacamole untuk merekam seluruh sesi remote access administrator sebagai audit trail yang dapat diatribusikan per individu; manfaatkan kapabilitas ini sebagai kompensasi kontrol sementara PAM belum tersedia; pastikan rekaman tersimpan dengan retensi yang memadai untuk keperluan investigasi
 - Terapkan MFA pada seluruh akun administrator — implementasikan MFA untuk seluruh akses administrator baik langsung maupun melalui Guacamole; manfaatkan FortiToken yang sudah tersedia sebagai mekanisme MFA; pastikan tidak ada jalur akses administrator yang dapat dilakukan tanpa MFA
 - Susun roadmap implementasi PAM bertahap berbasis kapasitas investasi — evaluasi solusi PAM open-source seperti Teleport atau solusi komersial yang dapat diadopsi secara bertahap; dokumentasikan roadmap implementasi yang dimulai dari environment paling kritis; jadikan sebagai justifikasi investasi kepada manajemen dengan kuantifikasi risiko shared credentials yang sedang berlangsung</t>
  </si>
  <si>
    <r>
      <t xml:space="preserve">Penyalahgunaan endpoint API melalui serangan brute force, credential stuffing, dan enumerasi resource berpotensi terjadi tanpa hambatan teknis — akibat belum diimplementasikannya </t>
    </r>
    <r>
      <rPr>
        <b/>
        <sz val="10"/>
        <color theme="1"/>
        <rFont val="Montserrat"/>
      </rPr>
      <t>rate limiting</t>
    </r>
    <r>
      <rPr>
        <sz val="10"/>
        <color theme="1"/>
        <rFont val="Montserrat"/>
      </rPr>
      <t xml:space="preserve"> pada API Gateway yang meninggalkan celah penyalahgunaan berbasis volume.</t>
    </r>
  </si>
  <si>
    <r>
      <t xml:space="preserve">Eksposur detail arsitektur sistem dan pemetaan endpoint kepada pihak tidak berwenang yang dapat memfasilitasi threat modeling dan pengembangan eksploitasi berpotensi terjadi — akibat dokumentasi teknis API yang dapat diakses tanpa autentikasi dari seluruh jaringan internal dan tidak adanya </t>
    </r>
    <r>
      <rPr>
        <b/>
        <sz val="10"/>
        <color theme="1"/>
        <rFont val="Montserrat"/>
      </rPr>
      <t>requirement keamanan</t>
    </r>
    <r>
      <rPr>
        <sz val="10"/>
        <color theme="1"/>
        <rFont val="Montserrat"/>
      </rPr>
      <t xml:space="preserve"> yang mengatur proteksi dokumentasi</t>
    </r>
  </si>
  <si>
    <r>
      <t xml:space="preserve">Gangguan layanan pada sistem dependen dan inkonsistensi data akibat perubahan API contract yang tidak terkomunikasi berpotensi terjadi — akibat tidak tersedianya </t>
    </r>
    <r>
      <rPr>
        <b/>
        <sz val="10"/>
        <color theme="1"/>
        <rFont val="Montserrat"/>
      </rPr>
      <t>dokumentasi API specification</t>
    </r>
    <r>
      <rPr>
        <sz val="10"/>
        <color theme="1"/>
        <rFont val="Montserrat"/>
      </rPr>
      <t xml:space="preserve"> sebagai referensi formal contract bagi consumer internal maupun eksternal meskipun versioning sudah berjalan</t>
    </r>
  </si>
  <si>
    <r>
      <t xml:space="preserve">Lateral movement dari kompromi integrasi pihak ketiga ke production environment dan akses tidak terotorisasi terhadap data nasabah berpotensi terjadi — akibat container Docker API yang berjalan dengan </t>
    </r>
    <r>
      <rPr>
        <b/>
        <sz val="10"/>
        <color theme="1"/>
        <rFont val="Montserrat"/>
      </rPr>
      <t>privilege root</t>
    </r>
    <r>
      <rPr>
        <sz val="10"/>
        <color theme="1"/>
        <rFont val="Montserrat"/>
      </rPr>
      <t xml:space="preserve"> dan belum pernah dilaksanakannya penetration testing untuk memvalidasi efektivitas kontrol segmentasi jaringan yang ada</t>
    </r>
  </si>
  <si>
    <r>
      <t xml:space="preserve">Pelanggaran prinsip pembatasan penyimpanan UU PDP dan perluasan permukaan risiko pelanggaran data berpotensi terjadi — akibat tidak terdefinisinya </t>
    </r>
    <r>
      <rPr>
        <b/>
        <sz val="10"/>
        <color theme="1"/>
        <rFont val="Montserrat"/>
      </rPr>
      <t>kebijakan retensi data digital</t>
    </r>
    <r>
      <rPr>
        <sz val="10"/>
        <color theme="1"/>
        <rFont val="Montserrat"/>
      </rPr>
      <t xml:space="preserve"> yang dapat ditegakkan secara teknis sehingga data pribadi nasabah dari polis berakhir disimpan indefinitely tanpa batas waktu yang sesuai ketentuan regulasi</t>
    </r>
  </si>
  <si>
    <r>
      <t>Eksposur kerentanan yang tidak dapat dimitigasi secara teknis pada sistem inti bisnis berpotensi berlangsung dalam jangka panjang — akibat seluruh core system yang sudah</t>
    </r>
    <r>
      <rPr>
        <b/>
        <sz val="10"/>
        <color theme="1"/>
        <rFont val="Montserrat"/>
      </rPr>
      <t xml:space="preserve"> end-of-life</t>
    </r>
    <r>
      <rPr>
        <sz val="10"/>
        <color theme="1"/>
        <rFont val="Montserrat"/>
      </rPr>
      <t xml:space="preserve"> tidak mendapat vendor security update dan tidak kompatibel dengan MFA, TLS terkini, dan enkripsi modern, sementara personil yang memahami sistem semakin berkurang</t>
    </r>
  </si>
  <si>
    <r>
      <t xml:space="preserve">Meningkatnya serangan siber yang menargetkan identitas dan kredensial pengguna berpotensi mengekspos sistem kritis perusahaan — namun membuka peluang implementasi </t>
    </r>
    <r>
      <rPr>
        <b/>
        <sz val="10"/>
        <color theme="1"/>
        <rFont val="Montserrat"/>
      </rPr>
      <t>Zero Trust Architecture</t>
    </r>
    <r>
      <rPr>
        <sz val="10"/>
        <color theme="1"/>
        <rFont val="Montserrat"/>
      </rPr>
      <t xml:space="preserve"> yang menggantikan paradigma perimeter security konvensional dengan model verifikasi berkelanjutan, meningkatkan postur keamanan secara menyeluruh sambil memfasilitasi fleksibilitas akses tenaga kerja digital</t>
    </r>
  </si>
  <si>
    <r>
      <t xml:space="preserve">Credential leakage via non-repository channels (Slack, email, Jira, Trello, Google Drive, public document sharing) beyond scope dari automated secret scanning automation memungkinkan threat actor memperoleh </t>
    </r>
    <r>
      <rPr>
        <b/>
        <sz val="10"/>
        <color theme="1"/>
        <rFont val="Montserrat"/>
      </rPr>
      <t>API keys, access tokens, database credentials</t>
    </r>
    <r>
      <rPr>
        <sz val="10"/>
        <color theme="1"/>
        <rFont val="Montserrat"/>
      </rPr>
      <t xml:space="preserve"> untuk unauthorized API access dan cloud service abuse.</t>
    </r>
  </si>
  <si>
    <t>Tidak adanya prosedur out-of-band verification untuk permintaan mendadak yang diterima melalui channel digital; materi pelatihan security awareness belum mencakup modus penipuan berbasis AI seperti voice cloning dan deepfake video call; tidak adanya kebijakan yang mewajibkan verifikasi ulang untuk permintaan transfer dana, reset kredensial, atau pemberian akses yang diterima melalui telepon atau video call</t>
  </si>
  <si>
    <t>Transfer dana tidak terotorisasi yang disetujui berdasarkan instruksi dari pihak yang menyamar sebagai pejabat senior; akses sistem atau reset kredensial diberikan kepada pihak tidak berwenang yang menyamar sebagai personil IT; perubahan data nasabah atau polis yang tidak sah melalui proses verifikasi yang tertipu; kerugian finansial langsung dan potensi kebocoran data yang berdampak pada reputasi dan kepercayaan nasabah</t>
  </si>
  <si>
    <t>Telepon atau video call dari "direktur" atau "manajer senior" menggunakan suara atau wajah yang dimanipulasi AI yang meminta transfer dana mendadak atau persetujuan transaksi besar; telepon ke IT Helpdesk menggunakan suara mirip atasan yang meminta reset password atau pemberian akses darurat; pesan suara WhatsApp dari "pimpinan" yang meminta data sensitif atau tindakan segera tanpa prosedur formal</t>
  </si>
  <si>
    <t>Tidak ada prosedur verifikasi identitas untuk permintaan mendadak melalui channel digital; personil tidak memiliki awareness terhadap modus penipuan berbasis AI; tidak ada kebijakan yang mewajibkan konfirmasi melalui channel terpisah untuk permintaan sensitif; kepercayaan implisit terhadap suara atau wajah yang familiar tanpa verifikasi tambahan</t>
  </si>
  <si>
    <t>Program pelatihan security awareness telah dilaksanakan secara rutin kepada seluruh personil; namun materi belum mencakup modus penipuan berbasis AI seperti voice cloning dan deepfake, dan belum terdapat prosedur out-of-band verification untuk permintaan sensitif yang diterima melalui channel digital</t>
  </si>
  <si>
    <t>8.1 – Perencanaan dan pengendalian operasional; 
6.1 – Tindakan untuk menangani risiko dan peluang</t>
  </si>
  <si>
    <t>A.8.5 – Autentikasi aman; 
A.5.15 – Manajemen akses; 
A.6.3 – Kesadaran, pendidikan dan pelatihan keamanan informasi; 
A.5.25 – Asesmen dan keputusan terkait peristiwa keamanan informasi</t>
  </si>
  <si>
    <r>
      <rPr>
        <b/>
        <sz val="10"/>
        <color theme="1"/>
        <rFont val="Montserrat"/>
      </rPr>
      <t>Rendah</t>
    </r>
    <r>
      <rPr>
        <sz val="10"/>
        <color theme="1"/>
        <rFont val="Montserrat"/>
      </rPr>
      <t xml:space="preserve"> — perusahaan tidak bersedia membiarkan proses transfer dana, pemberian akses, dan verifikasi identitas bergantung pada kepercayaan implisit terhadap channel digital tanpa prosedur verifikasi tambahan, mengingat modus penipuan berbasis AI semakin mudah diakses dan semakin sulit dibedakan dari komunikasi asli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</si>
  <si>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materi pelatihan security awareness yang sudah diperbarui mencakup modus penipuan berbasis AI dengan contoh kasus konkret yang relevan bagi seluruh personil, dan (2) prosedur out-of-band verification yang terdokumentasi dan wajib dijalankan untuk setiap permintaan transfer dana, reset kredensial, dan pemberian akses yang diterima melalui telepon atau video call tanpa pengajuan formal</t>
    </r>
  </si>
  <si>
    <t>(1) Bekukan segera transaksi, akses, atau perubahan yang terindikasi dilakukan berdasarkan instruksi dari pihak yang identitasnya diragukan; hubungi pihak yang diklaim sebagai pemberi instruksi melalui nomor resmi yang sudah terdaftar untuk konfirmasi; (2) kumpulkan dan amankan seluruh bukti komunikasi — rekaman telepon, video call, pesan — untuk keperluan investigasi forensik dan pelaporan; (3) laporkan insiden kepada manajemen senior segera dan koordinasikan dengan tim keamanan untuk analisis modus serangan yang digunakan; (4) eskalasi kepada Legal Counsel jika terjadi kerugian finansial dan dokumentasikan seluruh langkah penanganan sebagai bukti itikad baik kepada regulator</t>
  </si>
  <si>
    <t>Perbarui materi pelatihan security awareness dengan modul khusus modus penipuan berbasis AI; implementasi prosedur out-of-band verification wajib untuk permintaan sensitif; tetapkan kebijakan zero-trust untuk instruksi mendadak melalui channel digital</t>
  </si>
  <si>
    <t>Pelatihan security awareness rutin sudah berjalan sebagai fondasi yang baik namun belum mencakup modus penipuan berbasis AI dan tidak ada prosedur out-of-band verification, personil rentan tertipu instruksi tidak terotorisasi melalui channel digital, status In Progress dan menjadi prioritas untuk segera diperbarui materi pelatihan dan ditetapkan prosedur verifikasi wajib</t>
  </si>
  <si>
    <t>Personel Security Analyst berkoordinasi dengan Personel IT Governance dan seluruh kepala unit yang menjalankan proses transfer dana, pengelolaan akses, dan verifikasi identitas</t>
  </si>
  <si>
    <t xml:space="preserve"> - Perbarui materi pelatihan security awareness dengan modul modus penipuan berbasis AI — tambahkan contoh konkret seperti skenario "bos telepon minta transfer", "IT diminta reset password via telepon", dan "video call CEO palsu"; gunakan contoh kasus nyata dari industri keuangan dan asuransi global; wajibkan seluruh personil yang mengelola dana, akses sistem, dan data nasabah mengikuti pelatihan ini
 - Implementasi prosedur out-of-band verification wajib untuk permintaan sensitif — tetapkan kebijakan bahwa setiap permintaan transfer dana, reset kredensial, pemberian akses darurat, dan perubahan data nasabah yang diterima melalui telepon, video call, atau pesan digital wajib dikonfirmasi melalui nomor atau channel resmi yang sudah terdaftar sebelumnya — bukan melalui nomor yang menelepon
 - Tetapkan kebijakan zero-trust untuk instruksi mendadak melalui channel tidak resmi — tidak ada instruksi yang diterima melalui channel di luar prosedur formal yang dapat langsung dieksekusi tanpa verifikasi; sosialisasikan bahwa menolak instruksi mendadak tanpa verifikasi adalah tindakan yang benar dan didukung kebijakan perusahaan
 - Jadwalkan simulasi tabletop exercise skenario AI-based social engineering — simulasikan skenario nyata voice cloning dan deepfake video call yang menargetkan personil finance, IT helpdesk, dan unit bisnis; gunakan hasil simulasi untuk mengidentifikasi gap awareness dan memperkuat prosedur yang ada</t>
  </si>
  <si>
    <t>Tidak adanya prosedur review code yang mewajibkan validasi keamanan terhadap kode yang dihasilkan AI sebelum digunakan dalam aplikasi; belum ada governance yang mengatur penggunaan AI code generation tools secara aman; tidak ada personil dedicated yang bertanggung jawab atas validasi keamanan kode; penanganan yang sepenuhnya reaktif tanpa mekanisme deteksi proaktif</t>
  </si>
  <si>
    <t>Dependency berbahaya atau typosquatting package masuk ke aplikasi tanpa terdeteksi; celah keamanan dalam logika kode yang dihasilkan AI dieksploitasi di production; supply chain attack melalui malicious package yang direkomendasikan AI; peningkatan technical debt keamanan akibat akumulasi kode tidak tervalidasi yang semakin sulit diaudit</t>
  </si>
  <si>
    <t>Typosquatting package yang direkomendasikan AI code generation tools yang mengandung malware; hidden security flaws dalam logika kode yang dihasilkan AI yang dapat dieksploitasi; insecure library recommendations yang membawa kerentanan ke aplikasi production; supply chain attack melalui dependency yang tidak tervalidasi</t>
  </si>
  <si>
    <t>Tidak ada review code yang mewajibkan validasi keamanan kode AI-generated; tidak ada governance penggunaan AI tools dalam pengembangan; tidak ada personil dedicated untuk security code review; tidak ada dependency scanning yang mendeteksi typosquatting dan malicious package secara proaktif; penanganan sepenuhnya reaktif tanpa mekanisme deteksi dini</t>
  </si>
  <si>
    <t>Penanganan permasalahan kode dilaksanakan secara reaktif berdasarkan kendala yang ditemukan saat operasional; belum terdapat prosedur review code terstruktur, governance AI tools, personil dedicated validasi keamanan, maupun mekanisme proaktif untuk mendeteksi dependency berbahaya sebelum masuk ke production</t>
  </si>
  <si>
    <t>A.8.25 – Siklus hidup pengembangan yang aman; 
A.8.26 – Persyaratan keamanan aplikasi; 
A.8.8 – Manajemen kerentanan teknis; 
A.5.19 – Keamanan informasi dalam hubungan pemasok</t>
  </si>
  <si>
    <r>
      <rPr>
        <b/>
        <sz val="10"/>
        <color theme="1"/>
        <rFont val="Montserrat"/>
      </rPr>
      <t>Rendah</t>
    </r>
    <r>
      <rPr>
        <sz val="10"/>
        <color theme="1"/>
        <rFont val="Montserrat"/>
      </rPr>
      <t xml:space="preserve"> — perusahaan tidak bersedia membiarkan kode yang dihasilkan AI masuk ke aplikasi production tanpa validasi keamanan mengingat potensi hidden security flaws dan dependency berbahaya yang tidak terdeteksi dapat dieksploitasi secara aktif dan sulit diidentifikasi setelah terakumulasi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</si>
  <si>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code yang mewajibkan validasi keamanan terhadap kode AI-generated sebelum dapat di-merge ke branch utama, dan (2) dependency scanning otomatis yang aktif dalam CI/CD pipeline untuk mendeteksi typosquatting dan malicious package sebelum deployment</t>
    </r>
  </si>
  <si>
    <t>(1) Lakukan audit segera terhadap seluruh dependency yang ditambahkan dalam periode penggunaan AI code generation untuk mengidentifikasi package yang mencurigakan atau tidak dikenal; (2) jalankan dependency scanning manual terhadap seluruh aplikasi yang aktif untuk mengidentifikasi typosquatting package atau malicious library yang mungkin sudah masuk ke production; (3) isolasi dan rollback komponen yang teridentifikasi mengandung dependency berbahaya atau celah keamanan kritis; (4) eskalasi temuan kepada manajemen dan dokumentasikan scope potensi eksposur sebagai justifikasi urgensi implementasi governance AI dan review code yang terstruktur</t>
  </si>
  <si>
    <t>Susun kebijakan governance penggunaan AI code generation tools; implementasi prosedur review code wajib untuk kode AI-generated; aktifkan dependency scanning otomatis dalam CI/CD pipeline; tingkatkan awareness developer terhadap risiko AI-generated code</t>
  </si>
  <si>
    <t>Penanganan masih sepenuhnya reaktif tanpa review code, governance AI, dan dependency scanning proaktif, kode AI-generated masuk ke aplikasi tanpa validasi keamanan, risiko masih terbuka penuh pada level Tinggi, status New - Open dan menjadi prioritas untuk segera disusun governance AI dan diaktifkan dependency scanning dalam CI/CD pipeline</t>
  </si>
  <si>
    <t>Personel DevSecOps berkoordinasi dengan Personel IT Core Development dan Personel IT Governance dan Personel IT Digital Development dan Personel IT Security Analyst</t>
  </si>
  <si>
    <t xml:space="preserve"> - Susun kebijakan governance penggunaan AI code generation tools — tetapkan tools AI yang diizinkan secara resmi, batasan penggunaannya, kewajiban review sebelum kode digunakan, dan larangan penggunaan AI untuk komponen yang menangani data nasabah sensitif tanpa review keamanan; sosialisasikan kepada seluruh developer sebagai kebijakan yang mengikat
 - Implementasi prosedur review code wajib untuk kode AI-generated — tetapkan bahwa seluruh kode yang dihasilkan AI wajib melalui security-focused code review oleh personil yang kompeten sebelum dapat di-merge; gunakan checklist review yang mencakup validasi dependency, logika akses data, dan potensi injection vulnerability
 - Aktifkan dependency scanning otomatis dalam CI/CD pipeline — implementasikan tools seperti OWASP Dependency-Check atau Dependabot untuk mendeteksi typosquatting package, malicious library, dan dependency dengan CVE yang diketahui secara otomatis sebelum deployment; jadikan sebagai gate wajib yang memblokir build jika dependency berbahaya terdeteksi
 - Selenggarakan awareness training untuk developer tentang risiko AI-generated code — edukasi developer mengenai risiko spesifik penggunaan AI code generation seperti typosquatting, hidden logic flaws, dan insecure library recommendations; sertakan panduan cara memvalidasi kode dan dependency yang dihasilkan AI sebelum digunakan</t>
  </si>
  <si>
    <r>
      <t xml:space="preserve">Eksposur terhadap social engineering dan pencurian kredensial melalui personil outsource yang tidak </t>
    </r>
    <r>
      <rPr>
        <b/>
        <sz val="10"/>
        <color theme="1"/>
        <rFont val="Montserrat"/>
      </rPr>
      <t>terverifikasi latar belakangnya</t>
    </r>
    <r>
      <rPr>
        <sz val="10"/>
        <color theme="1"/>
        <rFont val="Montserrat"/>
      </rPr>
      <t xml:space="preserve"> berpotensi terjadi — akibat tidak adanya persyaratan background check yang diwajibkan dalam PKS dengan vendor outsource, sehingga profil risiko personil yang ditempatkan tidak dapat diverifikasi secara independen oleh perusahaan.</t>
    </r>
  </si>
  <si>
    <t>Persyaratan background check dan verifikasi latar belakang personil outsource belum pernah ditetapkan sebagai klausul wajib dalam PKS dengan vendor; Human Capital hanya melakukan background check untuk pegawai internal tanpa cakupan terhadap personil outsource; tidak ada mekanisme verifikasi independen oleh perusahaan terhadap kualitas proses seleksi yang dilakukan vendor</t>
  </si>
  <si>
    <t>Personil outsource dengan profil risiko tidak terverifikasi mendapatkan akses ke sistem dan data perusahaan; eksposur terhadap insider threat yang tidak terdeteksi akibat tidak adanya verifikasi latar belakang; personil outsource yang menjadi target social engineering lebih rentan memberikan akses atau informasi sensitif; ketidakmampuan perusahaan membuktikan due diligence terhadap personil yang ditempatkan jika terjadi insiden</t>
  </si>
  <si>
    <t>Insider threat dari personil outsource yang memiliki riwayat atau motivasi yang tidak terverifikasi; social engineering yang menargetkan personil outsource untuk mendapatkan akses atau kredensial; pencurian data atau sabotase sistem oleh personil outsource yang lolos tanpa verifikasi latar belakang yang memadai</t>
  </si>
  <si>
    <t>Background check tidak diwajibkan dalam PKS vendor; standar seleksi personil outsource sepenuhnya bergantung pada vendor tanpa verifikasi independen; tidak ada mekanisme audit kepatuhan vendor terhadap standar seleksi personil; personil outsource berpotensi memiliki profil risiko yang lebih tinggi dari pegawai internal tanpa diketahui</t>
  </si>
  <si>
    <t>Prinsip least privilege telah diterapkan pada seluruh akses personil outsource; personil outsource dilibatkan dalam program security awareness training perusahaan; namun background check belum diwajibkan dalam PKS dan verifikasi latar belakang bergantung sepenuhnya pada standar internal vendor</t>
  </si>
  <si>
    <t>6.1 – Tindakan untuk menangani risiko dan peluang; 
7.1 – Sumber daya; 
8.1 – Perencanaan dan pengendalian operasional</t>
  </si>
  <si>
    <t>A.6.1 – Penyaringan; 
A.5.19 – Keamanan informasi dalam hubungan pemasok; 
A.5.20 – Persyaratan keamanan informasi dalam perjanjian pemasok; 
A.6.2 – Syarat dan ketentuan kepegawaian</t>
  </si>
  <si>
    <r>
      <rPr>
        <b/>
        <sz val="10"/>
        <color theme="1"/>
        <rFont val="Montserrat"/>
      </rPr>
      <t>Sedang</t>
    </r>
    <r>
      <rPr>
        <sz val="10"/>
        <color theme="1"/>
        <rFont val="Montserrat"/>
      </rPr>
      <t xml:space="preserve"> — perusahaan dapat mentolerir keterbatasan verifikasi personil outsource dalam jangka pendek selama least privilege dan awareness training sudah berjalan, namun tidak bersedia membiarkan personil dengan akses ke sistem dan data perusahaan ditempatkan tanpa standar verifikasi latar belakang yang terdefinisi dan dapat diaudit</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</si>
  <si>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klausul kewajiban background check personil outsource yang telah ditambahkan dalam template PKS dan diterapkan pada seluruh vendor aktif melalui addendum, dan (2) mekanisme verifikasi bahwa vendor telah melaksanakan background check sebelum personil ditempatkan di lingkungan perusahaan</t>
    </r>
  </si>
  <si>
    <t>(1) Cabut segera akses personil outsource yang terindikasi terlibat dalam insiden dan lakukan audit terhadap seluruh aktivitas yang dilakukan selama periode penugasan; (2) koordinasikan dengan vendor untuk mendapatkan informasi latar belakang personil yang relevan sebagai bahan investigasi; (3) review seluruh data dan sistem yang dapat diakses oleh personil terdampak untuk mengidentifikasi scope potensi eksposur atau manipulasi; (4) eskalasi insiden kepada manajemen dan Legal Counsel untuk asesmen kewajiban perusahaan dan opsi tindak lanjut terhadap vendor</t>
  </si>
  <si>
    <t>Tambahkan klausul kewajiban background check personil outsource dalam template PKS; lakukan addendum untuk seluruh PKS vendor aktif yang belum memuat klausul tersebut; implementasi mekanisme verifikasi kepatuhan vendor sebelum personil ditempatkan</t>
  </si>
  <si>
    <t>Least privilege dan awareness training sudah berjalan sebagai kontrol yang memadai namun background check belum diwajibkan dalam PKS dan verifikasi latar belakang tidak dapat diaudit, profil risiko personil outsource tidak dapat diverifikasi secara independen, status In Progress dan menjadi prioritas untuk segera ditambahkan klausul background check dalam PKS dan dilakukan addendum untuk vendor aktif</t>
  </si>
  <si>
    <t>Personel IT Vendor/Supplier Management berkoordinasi dengan Legal Counsel dan Human Capital</t>
  </si>
  <si>
    <t xml:space="preserve"> - Tambahkan klausul kewajiban background check dalam template PKS standar — definisikan secara eksplisit persyaratan minimum verifikasi latar belakang yang harus dilakukan vendor sebelum menempatkan personil, mencakup verifikasi identitas, riwayat pekerjaan, dan pemeriksaan catatan kriminal; jadikan sebagai klausul non-negotiable dalam setiap PKS baru
 - Lakukan addendum PKS untuk seluruh vendor outsource aktif — negosiasikan dan tandatangani addendum yang menambahkan klausul background check kepada seluruh vendor yang PKS-nya belum memuat persyaratan tersebut; tetapkan batas waktu kepatuhan yang jelas dan konsekuensi jika vendor tidak dapat memenuhi persyaratan
 - Implementasi mekanisme verifikasi kepatuhan vendor sebelum penempatan personil — tetapkan prosedur yang mewajibkan vendor menyerahkan bukti pelaksanaan background check sebelum personil diizinkan ditempatkan; verifikasi dokumen yang diserahkan sebelum akses diberikan kepada personil baru
 - Jadwalkan audit kepatuhan vendor secara berkala — lakukan evaluasi berkala terhadap kepatuhan vendor dalam menjalankan persyaratan background check; sertakan sebagai bagian dari vendor review yang sudah berjalan; dokumentasikan hasil audit sebagai bukti due diligence perusahaan</t>
  </si>
  <si>
    <r>
      <t xml:space="preserve">Kewajiban pengungkapan kode sumber proprietary kepada domain publik dan hilangnya perlindungan kekayaan intelektual berpotensi terjadi secara tidak disadari — akibat penggunaan library </t>
    </r>
    <r>
      <rPr>
        <b/>
        <sz val="10"/>
        <color theme="1"/>
        <rFont val="Montserrat"/>
      </rPr>
      <t>open-source berlisensi</t>
    </r>
    <r>
      <rPr>
        <sz val="10"/>
        <color theme="1"/>
        <rFont val="Montserrat"/>
      </rPr>
      <t xml:space="preserve"> copyleft tanpa review kepatuhan lisensi dan inventarisasi dependency yang memadai</t>
    </r>
  </si>
  <si>
    <t>Tidak adanya awareness developer terhadap perbedaan jenis lisensi open-source dan konsekuensi hukum lisensi copyleft; tidak ada proses review kepatuhan lisensi dalam siklus pengembangan; tidak ada inventarisasi dependency beserta informasi lisensinya; tidak ada kebijakan yang menetapkan kategori lisensi yang diizinkan dan dilarang dalam aplikasi proprietary; keterbatasan pengetahuan Legal Counsel terhadap aspek teknis lisensi perangkat lunak</t>
  </si>
  <si>
    <t>Kewajiban hukum untuk mengungkapkan seluruh kode sumber aplikasi proprietary kepada publik akibat sifat viral lisensi copyleft; hilangnya perlindungan kekayaan intelektual atas kode proprietary yang menjadi aset strategis perusahaan; kerugian kompetitif akibat kode proprietary yang harus dipublikasikan dapat diakses dan digunakan oleh kompetitor; potensi tuntutan hukum dari pemegang lisensi jika kewajiban pengungkapan tidak dipenuhi</t>
  </si>
  <si>
    <t>Tuntutan hukum dari komunitas open-source atau pemegang lisensi atas pelanggaran ketentuan lisensi copyleft; kewajiban paksa untuk mempublikasikan kode proprietary sebagai konsekuensi penggunaan library GPL/AGPL; audit lisensi oleh pihak ketiga yang mengungkap pelanggaran yang sudah terjadi; kerugian kompetitif permanen akibat kode yang harus dipublikasikan</t>
  </si>
  <si>
    <t>Tidak ada awareness terhadap implikasi lisensi copyleft; tidak ada proses review lisensi dalam SDLC; tidak ada inventarisasi dependency beserta informasi lisensinya; tidak ada kebijakan penggunaan library open-source yang terdefinisi; library copyleft berpotensi sudah digunakan dalam aplikasi proprietary tanpa diketahui</t>
  </si>
  <si>
    <t>Belum terdapat pengendalian formal yang diterapkan. Tidak tersedia kebijakan penggunaan library open-source, prosedur review kepatuhan lisensi, inventarisasi dependency beserta informasi lisensi, maupun program awareness yang mengedukasi personil pengembangan terhadap konsekuensi hukum lisensi copyleft dalam aplikasi proprietary</t>
  </si>
  <si>
    <t>A.5.32 – Hak kekayaan intelektual; 
A.8.25 – Siklus hidup pengembangan yang aman; 
A.5.31 – Persyaratan hukum, undang-undang, peraturan dan kontrak</t>
  </si>
  <si>
    <r>
      <rPr>
        <b/>
        <sz val="10"/>
        <color theme="1"/>
        <rFont val="Montserrat"/>
      </rPr>
      <t>Rendah</t>
    </r>
    <r>
      <rPr>
        <sz val="10"/>
        <color theme="1"/>
        <rFont val="Montserrat"/>
      </rPr>
      <t xml:space="preserve"> — perusahaan tidak bersedia menanggung risiko kewajiban pengungkapan kode proprietary akibat pelanggaran lisensi copyleft yang tidak disadari mengingat dampaknya langsung pada hilangnya perlindungan kekayaan intelektual yang merupakan aset strategis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</si>
  <si>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inventarisasi seluruh dependency open-source yang digunakan beserta jenis lisensinya untuk mengidentifikasi library copyleft yang sudah ada dalam aplikasi, dan (2) kebijakan yang menetapkan kategori lisensi yang diizinkan dan dilarang dalam aplikasi proprietary sebagai panduan wajib bagi seluruh developer</t>
    </r>
  </si>
  <si>
    <t>(1) Engajemen Legal Counsel segera untuk asesmen eksposur hukum akibat penggunaan library copyleft yang teridentifikasi dan opsi remediasi yang tersedia; (2) lakukan audit menyeluruh terhadap seluruh dependency aplikasi untuk memetakan library mana yang berlisensi copyleft dan sudah terintegrasi dalam kode proprietary; (3) evaluasi opsi teknis untuk mengganti library copyleft dengan alternatif berlisensi permisif seperti MIT atau Apache 2.0 yang tidak memiliki kewajiban viral; (4) dokumentasikan seluruh temuan dan langkah remediasi sebagai bukti itikad baik kepada pihak yang berkepentingan</t>
  </si>
  <si>
    <t>Lakukan inventarisasi seluruh dependency beserta informasi lisensinya; susun kebijakan penggunaan library open-source yang menetapkan lisensi yang diizinkan dan dilarang; implementasi Software Composition Analysis dalam CI/CD pipeline; selenggarakan awareness training untuk developer</t>
  </si>
  <si>
    <t>Belum ada pengendalian yang berjalan sama sekali terkait review kepatuhan lisensi dan inventarisasi dependency, library copyleft berpotensi sudah digunakan dalam aplikasi proprietary tanpa disadari, risiko masih terbuka penuh pada level Tinggi, status New - Open dan menjadi prioritas untuk segera dilakukan inventarisasi dependency dan disusun kebijakan penggunaan library open-source</t>
  </si>
  <si>
    <t>Personel IT Governance berkoordinasi dengan Legal Counsel dan Personel DevSecOps</t>
  </si>
  <si>
    <t xml:space="preserve"> - Lakukan inventarisasi seluruh dependency open-source beserta jenis lisensinya — audit seluruh aplikasi untuk memetakan library open-source yang digunakan, identifikasi yang berlisensi copyleft seperti GPL dan AGPL, dan kategorikan berdasarkan tingkat risiko hukum yang ditimbulkan; jadikan sebagai dasar prioritas remediasi
 - Susun kebijakan penggunaan library open-source — tetapkan whitelist lisensi yang diizinkan seperti MIT, Apache 2.0, BSD dan blacklist lisensi yang dilarang seperti GPL, AGPL untuk digunakan dalam aplikasi proprietary; sosialisasikan kepada seluruh developer sebagai panduan wajib dalam pemilihan library
 - Implementasi Software Composition Analysis dalam CI/CD pipeline — integrasikan tools SCA seperti FOSSA, Black Duck, atau OWASP Dependency-Check untuk mendeteksi secara otomatis library berlisensi copyleft sebelum masuk ke production; jadikan sebagai gate wajib yang memperingatkan atau memblokir penggunaan library yang melanggar kebijakan lisensi
 - Selenggarakan awareness training untuk developer dan Legal Counsel — edukasi developer mengenai perbedaan jenis lisensi open-source, konsekuensi hukum lisensi copyleft, dan cara memilih alternatif yang aman; berikan pemahaman teknis kepada Legal Counsel agar dapat memberikan asesmen hukum yang akurat terhadap isu lisensi perangkat lunak</t>
  </si>
  <si>
    <r>
      <t xml:space="preserve">Kerugian finansial dan pembocoran akses sistem berpotensi terjadi akibat personil yang </t>
    </r>
    <r>
      <rPr>
        <b/>
        <sz val="10"/>
        <color theme="1"/>
        <rFont val="Montserrat"/>
      </rPr>
      <t>tertipu permintaan tidak terotorisasi</t>
    </r>
    <r>
      <rPr>
        <sz val="10"/>
        <color theme="1"/>
        <rFont val="Montserrat"/>
      </rPr>
      <t xml:space="preserve"> dari pihak yang menyamar sebagai pejabat senior atau nasabah </t>
    </r>
    <r>
      <rPr>
        <b/>
        <sz val="10"/>
        <color theme="1"/>
        <rFont val="Montserrat"/>
      </rPr>
      <t>menggunakan A</t>
    </r>
    <r>
      <rPr>
        <sz val="10"/>
        <color theme="1"/>
        <rFont val="Montserrat"/>
      </rPr>
      <t>I — akibat tidak adanya prosedur verifikasi identitas untuk permintaan mendadak melalui channel digital dan belum adanya awareness personil terhadap modus penipuan berbasis AI</t>
    </r>
  </si>
  <si>
    <r>
      <t xml:space="preserve">Reverse engineering aplikasi mobile, ekstraksi API key tertanam, dan eksploitasi kerentanan logika bisnis berpotensi dilakukan oleh attacker — akibat tidak memadainya implementasi </t>
    </r>
    <r>
      <rPr>
        <b/>
        <sz val="10"/>
        <color theme="1"/>
        <rFont val="Montserrat"/>
      </rPr>
      <t>mobile security controls</t>
    </r>
    <r>
      <rPr>
        <sz val="10"/>
        <color theme="1"/>
        <rFont val="Montserrat"/>
      </rPr>
      <t xml:space="preserve"> dalam proses pengembangan dan keterbatasan knowledge mobile security pada tim pengembangan yang merangkap</t>
    </r>
  </si>
  <si>
    <t>Tim pengembangan mobile merangkap dengan pengembangan web sehingga tidak memiliki fokus dan knowledge yang memadai terhadap aspek keamanan spesifik mobile; tidak ada personil dedicated mobile security dalam tim; implementasi mobile security controls seperti obfuscation, anti-debugging, dan root detection tidak menjadi standar wajib dalam proses pengembangan</t>
  </si>
  <si>
    <t>Attacker dapat melakukan reverse engineering terhadap binary aplikasi untuk mengekstrak logika bisnis dan API key yang tertanam; kredensial dan token yang hardcoded dalam aplikasi dapat disalahgunakan untuk akses tidak terotorisasi ke backend sistem; kerentanan logika bisnis yang teridentifikasi melalui reverse engineering dapat dieksploitasi untuk fraud atau manipulasi transaksi; reputasi perusahaan terdampak akibat aplikasi mobile yang rentan menjadi vektor serangan</t>
  </si>
  <si>
    <t>Reverse engineering binary aplikasi untuk mengekstrak API key dan logika bisnis proprietary; penggunaan API key yang diekstrak untuk akses tidak terotorisasi ke backend; eksploitasi aplikasi pada perangkat yang di-root atau jailbreak yang melewati kontrol keamanan; debugging session yang digunakan untuk memanipulasi alur aplikasi dan melewati validasi</t>
  </si>
  <si>
    <t>Code obfuscation belum dikonfirmasi diimplementasikan secara memadai; anti-debugging controls belum menjadi standar pengembangan; root/jailbreak detection belum terkonfirmasi aktif; hardcoded credential protection belum divalidasi; knowledge mobile security terbatas pada tim pengembangan</t>
  </si>
  <si>
    <t>Penetration testing aplikasi mobile dilaksanakan secara tahunan melalui vendor pentest eksternal; namun implementasi mobile security controls proaktif dalam pengembangan belum dapat dikonfirmasi memadai akibat keterbatasan personil dan knowledge mobile security</t>
  </si>
  <si>
    <t>A.8.25 – Siklus hidup pengembangan yang aman; 
A.8.26 – Persyaratan keamanan aplikasi; 
A.5.17 – Informasi autentikasi; 
A.8.8 – Manajemen kerentanan teknis</t>
  </si>
  <si>
    <r>
      <rPr>
        <b/>
        <sz val="10"/>
        <color theme="1"/>
        <rFont val="Montserrat"/>
      </rPr>
      <t>Rendah</t>
    </r>
    <r>
      <rPr>
        <sz val="10"/>
        <color theme="1"/>
        <rFont val="Montserrat"/>
      </rPr>
      <t xml:space="preserve"> — perusahaan tidak bersedia membiarkan aplikasi mobile yang diakses nasabah beroperasi tanpa mobile security controls yang memadai mengingat aplikasi mobile merupakan titik akses langsung nasabah yang jika berhasil di-reverse engineer dapat mengekspos seluruh arsitektur backend dan data transaksi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</si>
  <si>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code obfuscation aktif diterapkan pada binary aplikasi mobile yang dirilis ke publik, dan (2) seluruh API key dan credential yang tertanam dalam aplikasi sudah dieliminasi dan digantikan dengan mekanisme dynamic credential retrieval yang aman</t>
    </r>
  </si>
  <si>
    <t>(1) Rotasi segera seluruh API key dan credential yang berpotensi sudah diekstrak dari binary aplikasi yang beredar; (2) lakukan analisis forensik terhadap log API untuk mengidentifikasi pola akses tidak wajar yang mengindikasikan penggunaan credential yang diekstrak dari reverse engineering; (3) koordinasikan dengan tim pengembangan untuk penerbitan patch darurat yang mengimplementasikan obfuscation dan menghapus hardcoded credential pada versi berikutnya; (4) eskalasi kepada manajemen dan dokumentasikan scope potensi eksposur sebagai justifikasi urgensi implementasi mobile security controls secara komprehensif</t>
  </si>
  <si>
    <t>Implementasi code obfuscation pada binary aplikasi mobile; eliminasi hardcoded credential dan API key; implementasi root/jailbreak detection dan anti-debugging; tingkatkan kompetensi mobile security tim pengembangan</t>
  </si>
  <si>
    <t>Pentest tahunan sudah berjalan sebagai kontrol validasi berkala yang memadai, namun mobile security controls proaktif dalam pengembangan belum terkonfirmasi memadai dan knowledge mobile security terbatas, risiko masih berada pada level Sedang, status In Progress dan menjadi prioritas untuk segera dilakukan audit hardcoded credential dan diimplementasikan code obfuscation pada binary yang beredar</t>
  </si>
  <si>
    <t>Personel Digital Application Development berkoordinasi dengan Personel DevSecOps dan Personel Security Analyst</t>
  </si>
  <si>
    <t xml:space="preserve"> - Audit dan eliminasi hardcoded credential serta API key dari binary aplikasi — lakukan scanning terhadap seluruh kode sumber dan binary aplikasi mobile untuk mengidentifikasi API key, token, dan credential yang tertanam; gantikan dengan mekanisme dynamic credential retrieval yang aman menggunakan secret manager atau certificate pinning
 - Implementasi code obfuscation pada build aplikasi mobile — terapkan obfuscation tools seperti ProGuard atau R8 untuk Android dan obfuscator untuk iOS pada setiap build yang dirilis ke publik; jadikan sebagai komponen wajib dalam CI/CD pipeline mobile yang tidak dapat dilewati sebelum binary dirilis
 - Implementasi root/jailbreak detection dan anti-debugging — tambahkan kontrol yang mendeteksi perangkat yang di-root atau jailbreak dan membatasi fungsionalitas aplikasi pada kondisi tersebut; implementasi anti-debugging yang mencegah analisis runtime aplikasi; jadikan sebagai bagian dari mobile security baseline yang wajib dipenuhi sebelum release
 - Tingkatkan kompetensi mobile security tim pengembangan — selenggarakan pelatihan mobile security khusus mencakup OWASP Mobile Security Testing Guide; pertimbangkan penugasan developer dedicated untuk mobile atau alokasi waktu khusus untuk pengembangan kompetensi mobile security; manfaatkan hasil temuan pentest tahunan sebagai materi pembelajaran praktis</t>
  </si>
  <si>
    <r>
      <t>Investigasi regulasi yang dipicu oleh pelaporan anonim dari personil internal atau mantan karyawan berpotensi terjadi — akibat gap</t>
    </r>
    <r>
      <rPr>
        <b/>
        <sz val="10"/>
        <color theme="1"/>
        <rFont val="Montserrat"/>
      </rPr>
      <t xml:space="preserve"> implementasi kontrol PDP</t>
    </r>
    <r>
      <rPr>
        <sz val="10"/>
        <color theme="1"/>
        <rFont val="Montserrat"/>
      </rPr>
      <t xml:space="preserve"> yang konkret masih terbuka dan terlihat oleh personil yang memiliki motivasi untuk melaporkannya kepada otoritas regulasi sebagai bukti ketidakpatuhan</t>
    </r>
  </si>
  <si>
    <t>Gap implementasi kontrol PDP yang konkret dan dapat dibuktikan masih terbuka termasuk data masking yang tidak memadai; DPO belum ditunjuk secara individual dengan kompetensi dan sertifikasi yang memadai; personil IT memiliki visibilitas langsung terhadap kondisi aktual gap kepatuhan yang belum diselesaikan; tidak adanya program pemenuhan PDP yang terstruktur dan memiliki timeline yang jelas</t>
  </si>
  <si>
    <t>Investigasi regulasi yang dipicu pelaporan anonim yang dapat mengekspos seluruh gap kepatuhan PDP secara menyeluruh; sanksi administratif dari regulator akibat temuan gap yang terungkap dalam investigasi; kewajiban remediasi dalam batas waktu yang ditetapkan regulator yang lebih ketat dari perencanaan internal; kerusakan reputasi perusahaan akibat investigasi regulasi yang menjadi perhatian publik</t>
  </si>
  <si>
    <t>Pelaporan anonim ke Kominfo atau OJK oleh personil aktif atau mantan karyawan dengan bukti konkret gap kepatuhan; investigasi regulasi yang dipicu secara eksternal tanpa kendali perusahaan terhadap timing dan scope; temuan investigasi yang mengekspos gap lebih luas dari yang sudah diidentifikasi internal; sanksi berlapis akibat multiple gap yang terungkap sekaligus</t>
  </si>
  <si>
    <t>Gap implementasi kontrol PDP yang konkret dan terlihat oleh personil internal; DPO kolektif tanpa kompetensi individu yang memadai untuk merespons investigasi; tidak ada program pemenuhan PDP dengan timeline yang memberikan bukti kemajuan kepada regulator jika investigasi terjadi; personil yang tidak puas berpotensi termotivasi untuk melaporkan kondisi yang mereka ketahui</t>
  </si>
  <si>
    <t>ROPA telah tersedia; DPO kolektif telah dibentuk; namun DPO tunggal dengan kompetensi memadai belum ditunjuk dan implementasi kontrol PDP secara menyeluruh termasuk data masking belum terpenuhi, sehingga gap yang konkret masih terbuka dan terlihat oleh personil internal</t>
  </si>
  <si>
    <t>5.1 – Kepemimpinan dan komitmen; 
6.1 – Tindakan untuk menangani risiko dan peluang; 
10.1 – Ketidaksesuaian dan tindakan korektif</t>
  </si>
  <si>
    <t>A.5.34 – Privasi dan perlindungan informasi pribadi; 
A.5.31 – Persyaratan hukum, undang-undang, peraturan dan kontrak; 
A.5.36 – Kepatuhan terhadap kebijakan dan standar keamanan informasi</t>
  </si>
  <si>
    <r>
      <rPr>
        <b/>
        <sz val="10"/>
        <color theme="1"/>
        <rFont val="Montserrat"/>
      </rPr>
      <t>Rendah</t>
    </r>
    <r>
      <rPr>
        <sz val="10"/>
        <color theme="1"/>
        <rFont val="Montserrat"/>
      </rPr>
      <t xml:space="preserve"> — perusahaan tidak bersedia membiarkan gap implementasi PDP yang konkret terus terbuka dan terlihat oleh personil internal mengingat potensi investigasi regulasi yang dipicu secara eksternal dapat mengekspos seluruh kondisi ketidakpatuhan sekaligus tanpa kendali perusahaan terhadap timing dan scope</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</si>
  <si>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DPO tunggal yang ditunjuk secara formal dengan kompetensi yang memadai untuk merespons investigasi regulasi dan memimpin program pemenuhan PDP, dan (2) roadmap pemenuhan PDP yang terdokumentasi dengan timeline yang jelas sebagai bukti itikad baik kepada regulator jika investigasi terjadi</t>
    </r>
  </si>
  <si>
    <t>(1) Engajemen Legal Counsel segera untuk mempersiapkan respons terhadap investigasi regulasi dan memastikan seluruh komunikasi dengan regulator dilakukan melalui jalur yang tepat; (2) lakukan self-assessment menyeluruh terhadap seluruh gap kepatuhan PDP yang berpotensi menjadi fokus investigasi dan susun remediation plan dengan timeline yang dapat dipertanggungjawabkan; (3) pastikan DPO atau perwakilan yang kompeten tersedia untuk berinteraksi dengan regulator selama proses investigasi berlangsung; (4) dokumentasikan seluruh langkah pemenuhan yang sudah dilakukan sebagai bukti itikad baik dan kemajuan yang dapat disampaikan kepada regulator</t>
  </si>
  <si>
    <t>Tunjuk DPO tunggal dengan kompetensi dan sertifikasi yang memadai; susun roadmap pemenuhan PDP dengan timeline yang jelas; akselerasi implementasi kontrol PDP prioritas tinggi untuk mengurangi gap yang konkret dan terlihat; bangun budaya kepatuhan yang proaktif</t>
  </si>
  <si>
    <t>ROPA dan DPO kolektif sudah ada sebagai langkah awal yang positif namun DPO individual yang kompeten belum ditunjuk dan gap PDP yang konkret masih terbuka serta terlihat oleh personil, risiko investigasi regulasi yang dipicu eksternal masih nyata, status In Progress dan menjadi prioritas untuk segera ditunjuk DPO yang kompeten dan disusun roadmap pemenuhan PDP dengan timeline yang memberikan bukti kemajuan</t>
  </si>
  <si>
    <t>Personel IT Governance berkoordinasi dengan Legal Counsel, Personel CTIO, dan Human Capital</t>
  </si>
  <si>
    <t xml:space="preserve"> - Tunjuk DPO tunggal dengan kompetensi dan sertifikasi yang memadai — tetapkan satu personil sebagai DPO dengan tanggung jawab penuh atas program pemenuhan PDP; pastikan memiliki kompetensi teknis dan hukum yang memadai melalui sertifikasi relevan seperti CIPM atau CIPP; DPO harus siap menjadi titik kontak resmi jika investigasi regulasi terjadi
 - Susun roadmap pemenuhan PDP dengan timeline yang terukur — dokumentasikan seluruh gap kepatuhan PDP yang teridentifikasi beserta rencana pemenuhan, PIC, dan target penyelesaian yang realistis; gunakan roadmap ini sebagai bukti itikad baik kepada regulator jika investigasi dipicu sebelum seluruh gap tertutup
 - Akselerasi implementasi kontrol PDP prioritas tinggi — identifikasi gap yang paling konkret dan paling berpotensi dijadikan bukti pelaporan seperti data masking yang tidak memadai; prioritaskan implementasi kontrol pada gap tersebut untuk mengurangi material yang dapat digunakan sebagai bukti ketidakpatuhan
 - Bangun mekanisme internal reporting yang konstruktif — sediakan saluran pelaporan internal yang aman dan terpercaya bagi personil yang memiliki kekhawatiran terhadap kondisi kepatuhan; tangani setiap kekhawatiran secara serius dan transparan sehingga motivasi pelaporan eksternal dapat dikurangi melalui penyelesaian internal yang efektif</t>
  </si>
  <si>
    <t xml:space="preserve"> Microservices architecture dengan excessive inter-service dependency dan synchronous request chaining mengakibatkan performance degradation, cascading latency amplification, dan increased vulnerability  terhadap request-level attacks seperti timing attacks atau request smuggling.</t>
  </si>
  <si>
    <r>
      <t xml:space="preserve">Eksfiltrasi data internal dan data pribadi nasabah yang tidak terdeteksi melalui copy-paste ke WhatsApp Web, email pribadi, penyimpanan cloud, atau USB berpotensi terjadi secara konsisten — akibat tidak tersedianya </t>
    </r>
    <r>
      <rPr>
        <b/>
        <sz val="10"/>
        <color theme="1"/>
        <rFont val="Montserrat"/>
      </rPr>
      <t>DLP</t>
    </r>
    <r>
      <rPr>
        <sz val="10"/>
        <color theme="1"/>
        <rFont val="Montserrat"/>
      </rPr>
      <t xml:space="preserve"> yang dapat menginspeksi konten dan kapabilitas monitoring yang ada hanya terbatas pada nama file</t>
    </r>
  </si>
  <si>
    <t>Tidak tersedianya solusi DLP yang dapat menginspeksi konten dan mengenali pola data sensitif; kapabilitas CrowdStrike Falcon yang ada hanya dapat memonitor berdasarkan nama file tanpa kemampuan content inspection; tidak ada personil dedicated yang memonitor aktivitas transfer data; tidak ada kontrol teknis yang memblokir channel eksfiltrasi seperti USB, cloud pribadi, dan email pribadi</t>
  </si>
  <si>
    <t>Eksfiltrasi data internal perusahaan dan data pribadi nasabah melalui channel tidak terotorisasi tanpa dapat terdeteksi; pelanggaran kewajiban UU PDP akibat data pribadi nasabah yang keluar tanpa kontrol; kerugian kompetitif akibat data strategis perusahaan yang bocor; ketidakmampuan forensik untuk menginvestigasi dan membuktikan insiden eksfiltrasi akibat tidak adanya audit trail konten</t>
  </si>
  <si>
    <t>Copy-paste data nasabah atau data strategis ke WhatsApp Web atau email pribadi tanpa terdeteksi; transfer file rahasia ke penyimpanan cloud pribadi seperti Google Drive atau Dropbox; eksfiltrasi data melalui USB flashdisk yang tidak dapat diblokir; insider threat yang memanfaatkan ketiadaan DLP untuk mengekstrak data secara sistematis</t>
  </si>
  <si>
    <t>Tidak ada DLP dengan kemampuan content inspection; kapabilitas CrowdStrike terbatas pada nama file tanpa pengenalan pola data sensitif; tidak ada pemblokiran channel eksfiltrasi; tidak ada personil dedicated monitoring; klasifikasi data belum tersedia sehingga tidak ada referensi pattern data yang perlu dilindungi</t>
  </si>
  <si>
    <t>CrowdStrike Falcon telah diimplementasikan dengan kapabilitas monitoring aktivitas file berdasarkan nama; namun terbatas pada identifikasi nama file tanpa content inspection, pattern recognition, atau pemblokiran aktif terhadap channel eksfiltrasi, sehingga transfer data sensitif tidak dapat terdeteksi maupun dicegah secara efektif</t>
  </si>
  <si>
    <t>A.8.12 – Pencegahan kebocoran data; 
A.5.12 – Klasifikasi informasi; 
A.5.34 – Privasi dan perlindungan informasi pribadi; 
A.8.16 – Aktivitas pemantauan</t>
  </si>
  <si>
    <r>
      <rPr>
        <b/>
        <sz val="10"/>
        <color theme="1"/>
        <rFont val="Montserrat"/>
      </rPr>
      <t>Rendah</t>
    </r>
    <r>
      <rPr>
        <sz val="10"/>
        <color theme="1"/>
        <rFont val="Montserrat"/>
      </rPr>
      <t xml:space="preserve"> — perusahaan tidak bersedia membiarkan data internal dan data pribadi nasabah dapat dieksfiltrasi melalui channel tidak terotorisasi tanpa deteksi maupun pemblokiran mengingat dampak langsung pada kerahasiaan data strategis, kewajiban UU PDP, dan kepercayaan nasabah</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</si>
  <si>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kontrol teknis yang memblokir channel eksfiltrasi paling berisiko minimal USB dan upload ke cloud storage pribadi dari perangkat endpoint perusahaan, dan (2) klasifikasi data yang mendefinisikan kategori data sensitif sebagai dasar konfigurasi policy DLP yang efektif</t>
    </r>
  </si>
  <si>
    <t>(1) Lakukan audit manual terhadap log CrowdStrike untuk mengidentifikasi aktivitas transfer file yang mencurigakan berdasarkan nama file dan pola perilaku yang tidak wajar dalam periode teridentifikasi; (2) interview personil yang terindikasi melakukan eksfiltrasi dan kumpulkan bukti yang tersedia; (3) cabut akses segera untuk personil yang teridentifikasi dan amankan perangkat untuk keperluan forensik; (4) eskalasi kepada manajemen dan Legal Counsel untuk asesmen kewajiban notifikasi regulasi jika data nasabah terdampak dan dokumentasikan scope potensi eksposur</t>
  </si>
  <si>
    <t>Implementasi klasifikasi data sebagai fondasi konfigurasi DLP; implementasi kontrol pemblokiran channel eksfiltrasi prioritas tinggi; evaluasi dan pengadaan solusi DLP dengan kemampuan content inspection; optimalkan kapabilitas CrowdStrike yang sudah ada sebagai interim control</t>
  </si>
  <si>
    <t>CrowdStrike sudah berjalan sebagai kontrol monitoring parsial yang terbatas pada nama file, namun tidak ada content inspection, pemblokiran channel eksfiltrasi, dan personil dedicated monitoring sehingga eksfiltrasi data sensitif tidak dapat terdeteksi maupun dicegah, risiko masih terbuka pada level Tinggi, status In Progress dan menjadi prioritas untuk segera diimplementasikan pemblokiran channel eksfiltrasi dan disusun klasifikasi data</t>
  </si>
  <si>
    <t xml:space="preserve"> - Implementasi pemblokiran channel eksfiltrasi prioritas tinggi via CrowdStrike atau Group Policy — aktifkan kontrol yang memblokir akses USB flashdisk dan upload ke cloud storage pribadi seperti Google Drive dan Dropbox dari perangkat endpoint; manfaatkan kapabilitas device control CrowdStrike yang sudah tersedia atau Group Policy sebagai opsi berbiaya rendah yang dapat diimplementasikan segera
 - Susun klasifikasi data sebagai fondasi konfigurasi DLP — definisikan kategori data sensitif yang perlu dilindungi beserta pattern identifier-nya seperti format NIK, nomor polis, dan data medis; jadikan sebagai referensi konfigurasi policy DLP yang akurat dan mengurangi false positive ketika solusi DLP diimplementasikan
 - Evaluasi dan pengadaan solusi DLP dengan kemampuan content inspection — kaji solusi DLP yang dapat menginspeksi konten, mengenali pola data sensitif, dan memblokir transfer secara real-time; pertimbangkan solusi yang dapat diintegrasikan dengan CrowdStrike yang sudah ada; jadikan sebagai justifikasi investasi dengan kuantifikasi risiko eksfiltrasi data yang sedang berlangsung
 - Optimalkan kapabilitas CrowdStrike sebagai interim DLP control — manfaatkan fitur behavioral monitoring dan device control yang tersedia dalam CrowdStrike untuk memaksimalkan visibilitas terhadap aktivitas transfer data sambil solusi DLP penuh sedang dievaluasi dan diadakan; konfigurasi alert untuk pola perilaku transfer data yang tidak wajar</t>
  </si>
  <si>
    <t>Personel Security Analyst berkoordinasi dengan Personel IT Infra - Sysadmin, Personel DevSecOps, dan Personel IT Governance</t>
  </si>
  <si>
    <t>Logging dan distributed tracing belum menjadi requirement wajib dalam pengembangan microservices; tidak ada personil solution architect yang memastikan standar logging terintegrasi sejak tahap desain; orientasi pengembangan yang berfokus pada hasil fungsional tanpa mempertimbangkan observability dan investigasi forensik; arsitektur sudah disiapkan namun implementasi logging belum diprioritaskan</t>
  </si>
  <si>
    <t>Insiden keamanan yang bergerak lateral lintas microservice tidak dapat dideteksi secara dini; investigasi forensik tidak dapat dilakukan akibat tidak adanya audit trail yang dapat dikorelasikan antar service; ketidakmampuan membuktikan scope dan timeline serangan kepada regulator; peningkatan Mean Time to Detect dan Mean Time to Respond yang signifikan akibat ketiadaan visibilitas lintas service</t>
  </si>
  <si>
    <t>Serangan lateral movement lintas microservice yang tidak terdeteksi akibat tidak ada log yang dapat dikorelasikan; insiden keamanan yang berlarut-larut akibat tidak dapat ditelusuri jalur serangan; kegagalan audit regulasi akibat tidak tersedianya audit trail yang memadai untuk aktivitas lintas sistem; debugging production yang memakan waktu lama akibat tidak ada distributed tracing</t>
  </si>
  <si>
    <t>Logging belum menjadi requirement wajib dalam SDLC microservices; tidak ada centralized log aggregation dan correlation ID; tidak ada personil yang bertanggung jawab atas standar observability arsitektur; setiap service baru berpotensi di-deploy tanpa logging yang memadai</t>
  </si>
  <si>
    <t>Arsitektur microservices telah dirancang dan disiapkan sebagai fondasi; namun logging yang memadai dan distributed tracing dengan centralized correlation ID belum diimplementasikan, sehingga visibilitas alur transaksi lintas service dan kemampuan investigasi forensik belum tersedia</t>
  </si>
  <si>
    <t>A.8.15 – Logging; 
A.8.16 – Aktivitas pemantauan; 
A.5.28 – Pengumpulan bukti; 
A.8.25 – Siklus hidup pengembangan yang aman</t>
  </si>
  <si>
    <r>
      <rPr>
        <b/>
        <sz val="10"/>
        <color theme="1"/>
        <rFont val="Montserrat"/>
      </rPr>
      <t>Rendah</t>
    </r>
    <r>
      <rPr>
        <sz val="10"/>
        <color theme="1"/>
        <rFont val="Montserrat"/>
      </rPr>
      <t xml:space="preserve"> — perusahaan tidak bersedia mengembangkan arsitektur microservices tanpa kapabilitas logging dan distributed tracing yang memadai mengingat ketiadaannya secara langsung menghilangkan kemampuan deteksi insiden dini dan investigasi forensik yang diperlukan untuk pemenuhan kewajiban regulasi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</si>
  <si>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standar logging minimum yang ditetapkan sebagai requirement wajib untuk setiap microservice yang dikembangkan atau di-deploy, dan (2) centralized log aggregation yang mengumpulkan log dari seluruh service aktif sebagai fondasi investigasi forensik minimum</t>
    </r>
  </si>
  <si>
    <t>(1) Lakukan pengumpulan log manual dari seluruh service yang tersedia untuk mengidentifikasi indikasi insiden yang mungkin sudah terjadi tanpa terdeteksi; (2) terapkan logging darurat secara ad-hoc pada service yang terdampak insiden untuk memulai pengumpulan bukti meskipun belum terstandarisasi; (3) koordinasikan dengan tim pengembangan untuk memprioritaskan implementasi logging pada service kritis sebagai tindakan korektif segera; (4) eskalasi kepada manajemen dan dokumentasikan ketidakmampuan investigasi forensik sebagai justifikasi urgensi implementasi logging standar</t>
  </si>
  <si>
    <t>Tetapkan standar logging minimum sebagai requirement wajib dalam SDLC; implementasi centralized log aggregation; integrasikan distributed tracing dengan correlation ID sebagai komponen wajib arsitektur microservices</t>
  </si>
  <si>
    <t>Arsitektur microservices sudah disiapkan sebagai fondasi yang baik namun logging dan distributed tracing belum diimplementasikan sehingga seluruh aktivitas lintas service tidak dapat ditelusuri dan investigasi forensik tidak dapat dilakukan, risiko meningkat seiring pertambahan service baru, status In Progress dan menjadi prioritas untuk segera ditetapkan standar logging wajib sebelum service baru berikutnya di-deploy</t>
  </si>
  <si>
    <t>Personel Application Development berkoordinasi dengan Personel IT DevSecOps dan Personel Security Analyst dan IT Governance</t>
  </si>
  <si>
    <t xml:space="preserve"> - Tetapkan standar logging minimum sebagai requirement wajib dalam SDLC — definisikan standar yang mewajibkan setiap microservice mengimplementasikan structured logging dengan field standar seperti timestamp, service name, correlation ID, user ID, dan action; jadikan sebagai gate wajib dalam pipeline CI/CD yang memverifikasi kepatuhan logging sebelum service dapat di-deploy ke production
 - Implementasi centralized log aggregation untuk seluruh service aktif — deploy platform log aggregation seperti ELK Stack atau Loki yang mengumpulkan log dari seluruh microservice yang sudah berjalan; integrasikan dengan Wazuh yang sudah ada sebagai bagian dari ekosistem monitoring terpusat; pastikan seluruh log dapat dikorelasikan berdasarkan correlation ID
 - Integrasikan distributed tracing dengan correlation ID sebagai komponen wajib — implementasikan solusi distributed tracing seperti Jaeger atau Zipkin yang menghasilkan dan meneruskan correlation ID lintas seluruh service call; jadikan sebagai bagian dari service template standar yang digunakan setiap kali service baru dibuat sehingga observability sudah built-in sejak awal
 - Lakukan retrofitting logging pada service yang sudah berjalan — identifikasi seluruh microservice yang sudah di-deploy tanpa logging yang memadai; prioritaskan retrofitting pada service yang menangani data sensitif dan transaksi kritis; jadwalkan sebagai technical debt yang harus diselesaikan dalam sprint atau release berikutnya</t>
  </si>
  <si>
    <r>
      <t xml:space="preserve">Inefisiensi operasional akibat proses persetujuan yang tidak proporsional terhadap jenis perubahan dan cakupan tata kelola perubahan yang tidak menyeluruh berpotensi terjadi — akibat </t>
    </r>
    <r>
      <rPr>
        <b/>
        <sz val="10"/>
        <color theme="1"/>
        <rFont val="Montserrat"/>
      </rPr>
      <t>CAB yang masih dalam tahap pembentukan tanpa aturan tertulis</t>
    </r>
    <r>
      <rPr>
        <sz val="10"/>
        <color theme="1"/>
        <rFont val="Montserrat"/>
      </rPr>
      <t>, cakupan yang terbatas pada deployment aplikasi, dan belum terintegrasinya peran serta tanggung jawab dengan SOP Change Management yang ada.</t>
    </r>
  </si>
  <si>
    <t>CAB masih dalam tahap pembentukan tanpa aturan tertulis dan terdokumentasi; cakupan CAB belum mencakup seluruh jenis perubahan IT termasuk infrastruktur server dan jaringan; peran dan tanggung jawab anggota CAB belum diintegrasikan dengan SOP Change Management yang sudah ada; kategorisasi perubahan berdasarkan risiko dan kompleksitas belum terdefinisi sehingga berpotensi semua perubahan diperlakukan dengan proses yang sama</t>
  </si>
  <si>
    <t>Penundaan penerapan perubahan minor akibat proses persetujuan yang tidak proporsional; keterlibatan personil non-teknis yang berlebihan dalam persetujuan perubahan teknis yang tidak memerlukan konteks bisnis; perubahan pada infrastruktur server dan jaringan yang terjadi di luar proses CAB akibat cakupan yang belum lengkap; inefisiensi operasional yang menghambat kecepatan delivery dan respons terhadap kebutuhan bisnis</t>
  </si>
  <si>
    <t>Perubahan infrastruktur server dan jaringan yang terjadi tanpa melalui proses CAB akibat cakupan yang belum mencakup domain tersebut; bottleneck delivery akibat proses approval yang tidak proporsional terhadap risiko perubahan; bypass proses CAB oleh tim teknis yang merasa proses terlalu kaku untuk perubahan minor; kegagalan audit akibat tidak adanya audit trail perubahan yang komprehensif lintas domain IT</t>
  </si>
  <si>
    <t>Aturan operasional CAB belum terdokumentasi; cakupan CAB terbatas pada deployment aplikasi; kategorisasi perubahan berdasarkan risiko belum terdefinisi; peran dan tanggung jawab belum terintegrasi dengan SOP; emergency change procedure belum terdefinisi</t>
  </si>
  <si>
    <t>CAB telah dibentuk dan aktif dalam proses deployment aplikasi; forum Demand Management sudah berjalan untuk prioritasi project; SOP Change Management telah tersedia; namun aturan CAB belum terdokumentasi formal, cakupan belum mencakup server dan jaringan, dan integrasi peran tanggung jawab dengan SOP belum selesai</t>
  </si>
  <si>
    <t>A.8.32 – Manajemen perubahan; 
A.8.9 – Manajemen konfigurasi; 
A.5.37 – Prosedur operasi yang terdokumentasi</t>
  </si>
  <si>
    <r>
      <rPr>
        <b/>
        <sz val="10"/>
        <color theme="1"/>
        <rFont val="Montserrat"/>
      </rPr>
      <t>Sedang</t>
    </r>
    <r>
      <rPr>
        <sz val="10"/>
        <color theme="1"/>
        <rFont val="Montserrat"/>
      </rPr>
      <t xml:space="preserve"> — perusahaan dapat mentolerir ketidaklengkapan CAB dalam jangka pendek selama pembentukan masih berlangsung, namun tidak bersedia membiarkan tata kelola perubahan IT berjalan tanpa cakupan menyeluruh dan kategorisasi yang proporsional mengingat perubahan tanpa oversight pada server dan jaringan dapat menimbulkan risiko keamanan dan stabilitas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</si>
  <si>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aturan operasional CAB yang terdokumentasi mencakup kategorisasi perubahan berdasarkan risiko dengan jalur approval yang proporsional, dan (2) cakupan CAB yang telah diperluas untuk mencakup perubahan infrastruktur server dan jaringan sebagai domain dengan risiko keamanan tinggi</t>
    </r>
  </si>
  <si>
    <t>(1) Identifikasi perubahan pada server dan jaringan yang sudah terjadi di luar proses CAB dan lakukan review dampak keamanan dan stabilitas secara retroaktif; (2) terapkan prosedur change freeze sementara pada perubahan berisiko tinggi hingga aturan CAB terdokumentasi dan kategorisasi perubahan terdefinisi; (3) komunikasikan kepada seluruh domain IT bahwa seluruh perubahan wajib melalui CAB sambil proses formalisasi diselesaikan; (4) eskalasi kepada manajemen dengan laporan gap cakupan CAB dan timeline penyelesaian yang dapat dipertanggungjawabkan</t>
  </si>
  <si>
    <t>Dokumentasikan aturan operasional CAB dengan kategorisasi perubahan berdasarkan risiko; perluas cakupan CAB ke seluruh domain IT termasuk server dan jaringan; integrasikan peran dan tanggung jawab CAB dengan SOP Change Management</t>
  </si>
  <si>
    <t>CAB dan Demand Management sudah terbentuk sebagai fondasi yang baik, namun aturan belum terdokumentasi, cakupan terbatas pada aplikasi, dan integrasi dengan SOP belum selesai sehingga tata kelola perubahan IT belum berjalan secara menyeluruh dan efektif, status In Progress dan menjadi prioritas untuk segera didokumentasikan aturan CAB dan diperluas cakupannya ke server dan jaringan</t>
  </si>
  <si>
    <t>Personel IT Governance berkoordinasi dengan Personel CTIO, Personel IT Infra - Sysadmin, dan Personel IT Infra - Network. Personal IT Developer</t>
  </si>
  <si>
    <t xml:space="preserve"> - Dokumentasikan aturan operasional CAB dengan kategorisasi perubahan berbasis risiko — tetapkan tiga kategori perubahan: Standard Change (rutin, risiko rendah, pre-approved), Normal Change (risiko sedang, butuh review CAB), dan Emergency Change (kritis, jalur ekspres dengan approval minimal); definisikan kriteria, jalur approval, dan timeline untuk setiap kategori agar proses proporsional terhadap risiko
 - Perluas cakupan CAB ke seluruh domain IT termasuk server dan jaringan — formalisasi bahwa seluruh perubahan pada infrastruktur server, jaringan, database, keamanan, dan aplikasi wajib melalui proses CAB sesuai kategorisasi risiko; sosialisasikan kepada seluruh tim IT yang belum tercakup dalam proses CAB saat ini
 - Integrasikan peran dan tanggung jawab CAB dengan SOP Change Management — definisikan secara eksplisit siapa saja anggota CAB, peran masing-masing, kewenangan approval per kategori perubahan, dan bagaimana alur CAB berjalan dalam konteks SOP Change Management yang sudah ada; pastikan tidak ada gap atau tumpang tindih antara keduanya
 - Tetapkan prosedur Emergency Change yang terdokumentasi — definisikan jalur khusus untuk perubahan darurat yang memerlukan implementasi segera di luar jadwal CAB reguler; tentukan siapa yang berwenang menyetujui emergency change, batas waktu post-implementation review, dan kewajiban dokumentasi retroaktif</t>
  </si>
  <si>
    <r>
      <t xml:space="preserve">Celah keamanan tersembunyi dan dependency berbahaya berpotensi masuk ke aplikasi production tanpa terdeteksi — akibat tidak adanya </t>
    </r>
    <r>
      <rPr>
        <b/>
        <sz val="10"/>
        <color theme="1"/>
        <rFont val="Montserrat"/>
      </rPr>
      <t>review code yang terstruktur dan governance penggunaan AI tools</t>
    </r>
    <r>
      <rPr>
        <sz val="10"/>
        <color theme="1"/>
        <rFont val="Montserrat"/>
      </rPr>
      <t xml:space="preserve"> dalam pengembangan sehingga kode yang dihasilkan AI tidak divalidasi keamanannya sebelum digunakan</t>
    </r>
  </si>
  <si>
    <r>
      <t xml:space="preserve">Keterlambatan deteksi insiden dan ketidakmampuan investigasi forensik terhadap serangan lintas microservice berpotensi terjadi — akibat belum diimplementasikannya </t>
    </r>
    <r>
      <rPr>
        <b/>
        <sz val="10"/>
        <color theme="1"/>
        <rFont val="Montserrat"/>
      </rPr>
      <t>logging</t>
    </r>
    <r>
      <rPr>
        <sz val="10"/>
        <color theme="1"/>
        <rFont val="Montserrat"/>
      </rPr>
      <t xml:space="preserve"> dan </t>
    </r>
    <r>
      <rPr>
        <b/>
        <sz val="10"/>
        <color theme="1"/>
        <rFont val="Montserrat"/>
      </rPr>
      <t>distributed tracing</t>
    </r>
    <r>
      <rPr>
        <sz val="10"/>
        <color theme="1"/>
        <rFont val="Montserrat"/>
      </rPr>
      <t xml:space="preserve"> dengan centralized correlation ID pada arsitektur microservices yang sedang dikembangkan sehingga aktivitas lintas service tidak dapat ditelusuri</t>
    </r>
  </si>
  <si>
    <r>
      <t xml:space="preserve">Peningkatan efisiensi operasional IT yang signifikan dan eliminasi human error secara sistematis berpotensi terwujud — melalui perluasan </t>
    </r>
    <r>
      <rPr>
        <b/>
        <sz val="10"/>
        <color theme="1"/>
        <rFont val="Montserrat"/>
      </rPr>
      <t>kapabilitas otomatisasi</t>
    </r>
    <r>
      <rPr>
        <sz val="10"/>
        <color theme="1"/>
        <rFont val="Montserrat"/>
      </rPr>
      <t xml:space="preserve"> yang sudah terbukti berjalan ke seluruh proses operasional yang teridentifikasi belum diotomatisasi melalui gap analisis yang terstruktur</t>
    </r>
  </si>
  <si>
    <r>
      <t xml:space="preserve">Server Downtime &amp; Data Loss – </t>
    </r>
    <r>
      <rPr>
        <b/>
        <sz val="10"/>
        <color theme="1"/>
        <rFont val="Montserrat"/>
      </rPr>
      <t>Keterbatasan infrastruktur backup</t>
    </r>
    <r>
      <rPr>
        <sz val="10"/>
        <color theme="1"/>
        <rFont val="Montserrat"/>
      </rPr>
      <t>, belum optimalnya cakupan DR untuk proses bisnis kritis, dan tidak adanya pengujian restore end-to-end meningkatkan risiko business interruption dan data loss yang berdampak pada operasional bisnis asuransi</t>
    </r>
  </si>
  <si>
    <r>
      <t xml:space="preserve">Container Image Rentan: Menggunakan </t>
    </r>
    <r>
      <rPr>
        <b/>
        <sz val="10"/>
        <color theme="1"/>
        <rFont val="Montserrat"/>
      </rPr>
      <t>base image Docker yang usang</t>
    </r>
    <r>
      <rPr>
        <sz val="10"/>
        <color theme="1"/>
        <rFont val="Montserrat"/>
      </rPr>
      <t xml:space="preserve"> atau sudah disusupi malware sebelum di-deploy ke Environment Testing dan production.</t>
    </r>
  </si>
  <si>
    <r>
      <t xml:space="preserve">Pengembangan fitur yang tidak sesuai kebutuhan bisnis dan hasil pengujian yang tidak dapat dipertanggungjawabkan berpotensi terjadi — akibat tidak adanya </t>
    </r>
    <r>
      <rPr>
        <b/>
        <sz val="10"/>
        <color theme="1"/>
        <rFont val="Montserrat"/>
      </rPr>
      <t>dokumentasi proses bisnis menyeluruh</t>
    </r>
    <r>
      <rPr>
        <sz val="10"/>
        <color theme="1"/>
        <rFont val="Montserrat"/>
      </rPr>
      <t xml:space="preserve"> sebagai referensi dan kesenjangan pengetahuan pada pengguna yang memahami proses bisnis secara end-to-end</t>
    </r>
  </si>
  <si>
    <r>
      <t>Pemborosan anggaran dan sumber daya IT secara berkelanjutan pada project yang sudah tidak relevan berpotensi terjadi — akibat tidak adanya prosedur</t>
    </r>
    <r>
      <rPr>
        <b/>
        <sz val="10"/>
        <color theme="1"/>
        <rFont val="Montserrat"/>
      </rPr>
      <t xml:space="preserve"> formal evaluasi ROI</t>
    </r>
    <r>
      <rPr>
        <sz val="10"/>
        <color theme="1"/>
        <rFont val="Montserrat"/>
      </rPr>
      <t xml:space="preserve"> dan mekanisme pengambilan keputusan penghentian project yang didelegasikan kepada pihak yang berwenang</t>
    </r>
  </si>
  <si>
    <r>
      <t xml:space="preserve">Keterbatasan </t>
    </r>
    <r>
      <rPr>
        <b/>
        <sz val="10"/>
        <color theme="1"/>
        <rFont val="Montserrat"/>
      </rPr>
      <t>kapasitas</t>
    </r>
    <r>
      <rPr>
        <sz val="10"/>
        <color theme="1"/>
        <rFont val="Montserrat"/>
      </rPr>
      <t xml:space="preserve"> dan </t>
    </r>
    <r>
      <rPr>
        <b/>
        <sz val="10"/>
        <color theme="1"/>
        <rFont val="Montserrat"/>
      </rPr>
      <t>kompetensi</t>
    </r>
    <r>
      <rPr>
        <sz val="10"/>
        <color theme="1"/>
        <rFont val="Montserrat"/>
      </rPr>
      <t xml:space="preserve"> teknis personil dalam mengimplementasikan persyaratan regulasi keamanan informasi berpotensi mengakibatkan ketidakterpenuhinya kewajiban teknis dalam batas waktu regulasi, sehingga membuka eksposur terhadap sanksi administratif, kerugian finansial, dan tindakan hukum dari OJK</t>
    </r>
  </si>
  <si>
    <r>
      <t xml:space="preserve">Peningkatan efektivitas tata kelola IT, kemandirian validasi kontrol keamanan, dan pemenuhan persyaratan audit internal ISO 27001 secara berkelanjutan berpotensi terwujud — melalui pembangunan fungsi </t>
    </r>
    <r>
      <rPr>
        <b/>
        <sz val="10"/>
        <color theme="1"/>
        <rFont val="Montserrat"/>
      </rPr>
      <t>IT Audit Internal</t>
    </r>
    <r>
      <rPr>
        <sz val="10"/>
        <color theme="1"/>
        <rFont val="Montserrat"/>
      </rPr>
      <t xml:space="preserve"> berbasis pengembangan kompetensi tim Internal Audit yang sudah ada</t>
    </r>
  </si>
  <si>
    <r>
      <rPr>
        <b/>
        <sz val="10"/>
        <color theme="1"/>
        <rFont val="Montserrat"/>
      </rPr>
      <t>Ketiadaan kebijakan formal</t>
    </r>
    <r>
      <rPr>
        <sz val="10"/>
        <color theme="1"/>
        <rFont val="Montserrat"/>
      </rPr>
      <t>, SOP pemrosesan data pribadi, dan DPO yang kompeten — meskipun ROPA dan asesmen dampak bisnis telah tersedia secara parsial — berpotensi mengakibatkan pelanggaran kewajiban UU PDP yang tidak disadari dalam operasional, sehingga membuka eksposur terhadap sanksi administratif, tuntutan hukum subjek data, dan kerusakan reputasi perusahaan</t>
    </r>
  </si>
  <si>
    <t>Circuit Breaker pattern, timeout enforcement, dan graceful degradation logic belum diimplementasikan dalam komunikasi antar microservice; tidak ada personil solution architect yang bertanggung jawab merancang blueprint resiliensi arsitektur secara menyeluruh; penanganan insiden yang sepenuhnya reaktif tanpa mekanisme pencegahan otomatis terhadap kegagalan beruntun; orientasi pengembangan yang berfokus pada fungsionalitas tanpa mempertimbangkan pola resiliensi arsitektur</t>
  </si>
  <si>
    <t>Cascading failure yang melumpuhkan multiple service kritis akibat satu service yang gagal; resource exhaustion pada level sistem akibat request yang tidak di-timeout; gangguan layanan nasabah yang berkepanjangan akibat tidak ada graceful degradation; kegagalan sistemik yang sulit dipulihkan secara bertahap tanpa mekanisme circuit breaker</t>
  </si>
  <si>
    <t>Satu service yang mengalami outage atau perlambatan memicu kegagalan berantai pada seluruh service dependen yang tidak memiliki mekanisme isolasi; resource exhaustion pada sistem dependen akibat request yang menumpuk tanpa timeout; gangguan layanan menyeluruh yang berdampak pada operasional bisnis dan pengalaman nasabah; peningkatan MTTR yang signifikan akibat penanganan reaktif tanpa kemampuan isolasi kegagalan secara otomatis</t>
  </si>
  <si>
    <t>Tidak ada Circuit Breaker pattern untuk mengisolasi kegagalan service; tidak ada timeout enforcement yang membatasi dampak service yang lambat atau tidak responsif; tidak ada graceful degradation yang memungkinkan sistem memberikan respons terbatas saat service dependen tidak tersedia; tidak ada solution architect yang memastikan pola resiliensi terintegrasi dalam desain</t>
  </si>
  <si>
    <t>Penanganan insiden dilaksanakan secara reaktif saat kendala terjadi; log aplikasi tersedia dan diagregasi melalui SFTP; namun tidak ada circuit breaker, timeout, graceful degradation, dan centralized logging berbasis platform yang memungkinkan deteksi dini potensi cascading failure</t>
  </si>
  <si>
    <t>8.1 – Perencanaan dan pengendalian operasional; 
5.30 – Kesiapan ICT untuk keberlangsungan bisnis</t>
  </si>
  <si>
    <t>A.8.6 – Manajemen kapasitas; 
A.5.30 – Kesiapan ICT untuk keberlangsungan bisnis; 
A.8.25 – Siklus hidup pengembangan yang aman; 
A.8.16 – Aktivitas pemantauan</t>
  </si>
  <si>
    <r>
      <rPr>
        <b/>
        <sz val="10"/>
        <color theme="1"/>
        <rFont val="Montserrat"/>
      </rPr>
      <t>Rendah</t>
    </r>
    <r>
      <rPr>
        <sz val="10"/>
        <color theme="1"/>
        <rFont val="Montserrat"/>
      </rPr>
      <t xml:space="preserve"> — perusahaan tidak bersedia mengembangkan arsitektur microservices tanpa pola resiliensi yang mencegah cascading failure mengingat dampak langsung terhadap ketersediaan layanan nasabah dan sistem kritis operasional bisnis yang dapat terhenti sepenuhnya akibat kegagalan satu komponen</t>
    </r>
  </si>
  <si>
    <t>Sedang — perusahaan masih dapat beroperasi selama nilai risiko residual ≤ 9; jika residual masih &gt;9, wajib eskalasi ke manajemen. 
Sebagai syarat minimum toleransi, organisasi wajib memastikan telah tersedia: (1) timeout enforcement aktif pada seluruh komunikasi antar service kritis untuk membatasi dampak service yang tidak responsif, dan (2) centralized logging yang memungkinkan deteksi dini degradasi performa service sebelum berkembang menjadi cascading failure</t>
  </si>
  <si>
    <t>(1) Lakukan isolasi manual segera terhadap service yang mengalami kegagalan dengan memutus koneksi dari service dependen untuk menghentikan cascading failure yang sedang berlangsung; (2) aktifkan prosedur fallback manual untuk layanan yang terdampak agar operasional bisnis dapat dilanjutkan dalam kapasitas terbatas selama pemulihan berlangsung; (3) prioritaskan pemulihan service berdasarkan tingkat kritikal bisnis dari yang paling berdampak ke yang paling dapat ditunda; (4) eskalasi kepada manajemen, dokumentasikan timeline dan scope cascading failure, dan jadikan sebagai justifikasi urgensi implementasi circuit breaker dan timeout enforcement</t>
  </si>
  <si>
    <t>Implementasi timeout enforcement pada seluruh komunikasi antar service sebagai langkah pertama yang paling mudah diimplementasikan; implementasi Circuit Breaker pattern secara bertahap dimulai dari service paling kritis; migrasi aggregasi log ke platform centralized logging untuk deteksi dini</t>
  </si>
  <si>
    <t>Log tersedia via SFTP sebagai kontrol minimal yang ada namun circuit breaker, timeout, graceful degradation, dan centralized logging belum ada sehingga cascading failure tidak dapat dicegah maupun dideteksi secara dini, risiko masih terbuka penuh pada level Tinggi, status New - Open dan menjadi prioritas untuk segera diimplementasikan timeout enforcement dan dimulai migrasi ke centralized logging</t>
  </si>
  <si>
    <t>Personel IT App Development berkoordinasi dengan Personel DevSecOps dan Personel IT Infra - Sysadmin</t>
  </si>
  <si>
    <t xml:space="preserve"> - Implementasi timeout enforcement pada seluruh komunikasi antar service — tetapkan dan konfigurasikan batas waktu maksimum untuk setiap HTTP call, database query, dan external API call antar service; mulai dari service kritis yang memiliki dependensi paling banyak; ini merupakan langkah paling cepat diimplementasikan dan langsung mengurangi risiko resource exhaustion akibat service yang tidak responsif
 - Implementasi Circuit Breaker pattern secara bertahap pada service kritis — adopsi library Circuit Breaker seperti Resilience4j untuk Java atau Polly untuk .NET pada service yang memiliki dependensi paling kritis; mulai dengan konfigurasi sederhana dan kalibrasi threshold berdasarkan observasi traffic aktual; perluas secara bertahap ke seluruh service sesuai prioritas risiko
 - Migrasi log aggregation ke platform centralized logging — kembangkan dari agregasi SFTP yang sudah ada ke platform seperti ELK Stack, Loki, atau Prometheus untuk memungkinkan monitoring real-time dan deteksi dini degradasi performa service sebelum berkembang menjadi cascading failure; integrasikan dengan alert otomatis untuk anomali performa
 - Susun blueprint arsitektur resiliensi dan tunjuk personil yang bertanggung jawab — dokumentasikan pola resiliensi standar yang wajib diterapkan pada setiap service baru termasuk circuit breaker, timeout, retry dengan exponential backoff, dan graceful degradation; tunjuk personil yang bertanggung jawab atas arsitektur resiliensi atau pertimbangkan pengembangan kompetensi solution architect internal</t>
  </si>
  <si>
    <r>
      <t xml:space="preserve">Data loss, race condition, dan ketidakmampuan investigasi insiden pada proses </t>
    </r>
    <r>
      <rPr>
        <b/>
        <sz val="10"/>
        <color theme="1"/>
        <rFont val="Montserrat"/>
      </rPr>
      <t>asynchronous</t>
    </r>
    <r>
      <rPr>
        <sz val="10"/>
        <color theme="1"/>
        <rFont val="Montserrat"/>
      </rPr>
      <t xml:space="preserve"> berpotensi terjadi — akibat tidak tersedianya dokumentasi data flow, event schema, dan dead-letter queue handling yang eksplisit pada implementasi event-driven architecture yang ada dan yang sedang dipersiapkan</t>
    </r>
  </si>
  <si>
    <t>Dokumentasi data flow diagram dan event schema belum tersedia untuk implementasi event-driven architecture yang berjalan; dead-letter queue handling belum dikonfigurasi secara eksplisit sehingga kegagalan event bergantung pada perilaku default framework; keterbatasan waktu dan knowledge yang menghambat eksplorasi dan implementasi pola event-driven yang robust; tidak ada standar event-driven yang terdefinisi sebagai panduan pengembangan</t>
  </si>
  <si>
    <t>Data loss akibat event yang gagal diproses tanpa mekanisme retry dan dead-letter queue yang terkonfigurasi; race condition yang menyebabkan inkonsistensi data akibat tidak adanya event schema yang terdefinisi; ketidakmampuan investigasi insiden akibat tidak ada data flow yang terdokumentasi sebagai referensi penelusuran; potensi gap yang semakin besar saat Kafka diadopsi untuk project berskala lebih besar tanpa dokumentasi yang memadai</t>
  </si>
  <si>
    <t>Data loss permanen pada event yang gagal tanpa dead-letter queue; inkonsistensi data akibat race condition pada pemrosesan event yang tidak terdefinisi urutannya; insiden yang tidak dapat diinvestigasi akibat tidak ada data flow sebagai referensi; masalah yang semakin kompleks saat Kafka diadopsi tanpa standar yang terdokumentasi</t>
  </si>
  <si>
    <t>BullMQ telah diimplementasikan sebagai bawaan framework untuk asynchronous processing; batch processing tersedia sebagai alternatif; Kafka tersedia di environment sebagai POC; namun dokumentasi data flow, event schema, dan dead-letter queue handling eksplisit belum tersedia</t>
  </si>
  <si>
    <t>Tidak ada dokumentasi data flow dan event schema; dead-letter queue tidak dikonfigurasi secara eksplisit; tidak ada standar event-driven yang terdefinisi; knowledge Kafka dan event-driven pattern masih terbatas; penanganan kegagalan bergantung pada default framework tanpa jaminan data integrity</t>
  </si>
  <si>
    <t>A.8.6 – Manajemen kapasitas; 
A.8.15 – Logging; 
A.8.25 – Siklus hidup pengembangan yang aman; 
A.5.37 – Prosedur operasi yang terdokumentasi</t>
  </si>
  <si>
    <r>
      <rPr>
        <b/>
        <sz val="10"/>
        <color theme="1"/>
        <rFont val="Montserrat"/>
      </rPr>
      <t>Sedang</t>
    </r>
    <r>
      <rPr>
        <sz val="10"/>
        <color theme="1"/>
        <rFont val="Montserrat"/>
      </rPr>
      <t xml:space="preserve"> — perusahaan dapat mentolerir keterbatasan dokumentasi event-driven dalam jangka pendek selama BullMQ masih menangani volume yang terbatas, namun tidak bersedia mengadopsi Kafka untuk project berskala besar tanpa standar event schema, data flow, dan dead-letter queue handling yang terdokumentasi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</si>
  <si>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konfigurasi dead-letter queue yang eksplisit pada BullMQ untuk seluruh queue yang menangani data kritis sehingga kegagalan event tidak mengakibatkan data loss, dan (2) dokumentasi data flow minimal untuk proses bisnis kritis yang menggunakan event-driven processing sebagai referensi investigasi insiden</t>
    </r>
  </si>
  <si>
    <t>(1) Lakukan audit segera terhadap seluruh queue BullMQ untuk mengidentifikasi event yang gagal diproses dan berpotensi mengalami data loss; rekonstruksi data yang hilang dari sumber data primer jika memungkinkan; (2) aktifkan logging manual yang lebih detail pada queue yang terdampak untuk memulai pengumpulan bukti investigasi; (3) identifikasi dan selesaikan race condition yang teridentifikasi dengan menerapkan locking atau sequencing mechanism sementara; (4) eskalasi kepada manajemen, dokumentasikan scope data loss yang terjadi, dan jadikan sebagai justifikasi urgensi implementasi dead-letter queue dan event schema</t>
  </si>
  <si>
    <t>Konfigurasi dead-letter queue secara eksplisit pada BullMQ untuk queue kritis; dokumentasikan data flow dan event schema untuk proses yang menggunakan event-driven; tetapkan standar event-driven sebelum adopsi Kafka untuk project besar</t>
  </si>
  <si>
    <t>BullMQ dan batch processing sudah berjalan sebagai kontrol fungsional yang ada namun dead-letter queue, event schema, dan data flow belum terdokumentasi sehingga data loss dan race condition tidak dapat dicegah maupun diinvestigasi, risiko meningkat saat Kafka diadopsi untuk project besar, status In Progress dan menjadi prioritas untuk segera dikonfigurasi dead-letter queue dan didokumentasikan data flow proses kritis</t>
  </si>
  <si>
    <t>Personel IT App Development berkoordinasi dengan Personel DevSecOps dan Personel IT Governance</t>
  </si>
  <si>
    <t xml:space="preserve"> - Konfigurasi dead-letter queue secara eksplisit pada seluruh queue BullMQ kritis — review seluruh queue yang ada dan aktifkan dead-letter queue dengan retry policy yang terdefinisi untuk seluruh queue yang menangani data transaksi atau data nasabah; pastikan event yang gagal tersimpan dan dapat diproses ulang tanpa data loss; tambahkan alert saat dead-letter queue mencapai threshold tertentu
 - Dokumentasikan data flow dan event schema untuk proses bisnis kritis — buat data flow diagram yang menggambarkan alur event dari producer ke consumer untuk setiap proses bisnis kritis yang menggunakan event-driven; definisikan schema event termasuk struktur payload, tipe data, dan versi schema sebagai referensi developer dan investigasi insiden
 - Susun standar event-driven sebagai panduan wajib sebelum adopsi Kafka — dokumentasikan standar yang harus dipenuhi setiap implementasi event-driven termasuk naming convention, schema versioning, error handling, dead-letter queue, dan monitoring; jadikan sebagai prasyarat yang harus dipenuhi sebelum Kafka dapat diadopsi untuk project berskala lebih besar
 - Investasikan dalam pengembangan knowledge Kafka dan event-driven patterns — alokasikan waktu untuk eksplorasi dan pelatihan tim terkait Kafka, event sourcing, CQRS, dan pola resiliensi event-driven; pertimbangkan POC yang lebih terstruktur dengan dokumentasi yang memadai sebagai langkah persiapan adopsi Kafka yang lebih aman</t>
  </si>
  <si>
    <t>Inkonsistensi data pada proses pembayaran premi, perpanjangan polis, dan integrasi TPA atau broker berpotensi terjadi tanpa terdeteksi — akibat tidak adanya distributed transaction management yang menjamin konsistensi data lintas service dan tidak adanya mekanisme deteksi proaktif terhadap orphaned records</t>
  </si>
  <si>
    <t>Tidak adanya distributed transaction management pattern seperti Saga atau Two-Phase Commit yang mengkoordinasikan transaksi lintas service; sistem monolith atau service terpisah yang belum memiliki mekanisme rollback terkoordinasi jika salah satu service gagal di tengah transaksi; tidak ada mekanisme rekonsiliasi data yang mendeteksi inkonsistensi secara proaktif; migrasi ke microservices yang berlangsung tanpa perencanaan koordinasi transaksi yang memadai</t>
  </si>
  <si>
    <t>Polis tercatat aktif namun pembayaran premi pertama tidak berhasil diproses; klaim berstatus disetujui namun pembayaran tidak tersalurkan kepada nasabah; data nasabah tidak konsisten antara sistem IAM, polis, dan sistem pihak ketiga seperti TPA dan broker; orphaned records yang sulit diidentifikasi dan diperbaiki akibat tidak ada audit trail transaksi lintas service; kerugian finansial dan kepercayaan nasabah akibat inkonsistensi yang baru terdeteksi setelah komplain</t>
  </si>
  <si>
    <t>Inkonsistensi data pembayaran yang mengakibatkan polis tidak aktif padahal nasabah sudah membayar; klaim yang disetujui namun tidak dibayarkan akibat kegagalan partial transaction; data nasabah yang berbeda antara sistem internal dan sistem TPA atau broker yang menyebabkan sengketa; potensi pelanggaran regulasi akibat data keuangan yang tidak konsisten pada laporan</t>
  </si>
  <si>
    <t>Tidak ada Saga atau Two-Phase Commit pattern; tidak ada kompensating transaction jika service gagal di tengah proses; tidak ada mekanisme rekonsiliasi data proaktif; penanganan inkonsistensi sepenuhnya reaktif; migrasi ke microservices memperburuk risiko tanpa koordinasi transaksi</t>
  </si>
  <si>
    <t>Sistem beroperasi dalam arsitektur monolith atau service terpisah tanpa koordinasi transaksi lintas service; penanganan inkonsistensi data dilaksanakan secara reaktif berdasarkan komplain tanpa mekanisme deteksi proaktif dan belum terdapat implementasi distributed transaction management pattern</t>
  </si>
  <si>
    <t>A.8.25 – Siklus hidup pengembangan yang aman; 
A.5.37 – Prosedur operasi yang terdokumentasi; 
A.8.6 – Manajemen kapasitas</t>
  </si>
  <si>
    <r>
      <rPr>
        <b/>
        <sz val="10"/>
        <color theme="1"/>
        <rFont val="Montserrat"/>
      </rPr>
      <t>Rendah</t>
    </r>
    <r>
      <rPr>
        <sz val="10"/>
        <color theme="1"/>
        <rFont val="Montserrat"/>
      </rPr>
      <t xml:space="preserve"> — perusahaan tidak bersedia membiarkan proses pembayaran premi, perpanjangan polis, dan integrasi pihak ketiga berjalan tanpa jaminan konsistensi data mengingat dampak langsung terhadap kewajiban finansial kepada nasabah, integritas data operasional, dan potensi pelanggaran regulasi akibat data keuangan yang tidak konsisten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</si>
  <si>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mekanisme rekonsiliasi data yang terjadwal dan terdokumentasi untuk proses pembayaran dan integrasi pihak ketiga sebagai deteksi inkonsistensi minimum, dan (2) prosedur penanganan orphaned records yang terdefinisi untuk memastikan inkonsistensi yang terdeteksi dapat diselesaikan secara terstruktur</t>
    </r>
  </si>
  <si>
    <t>(1) Lakukan audit data segera pada proses yang teridentifikasi inkonsisten — bandingkan status di setiap service yang terlibat untuk mengidentifikasi scope orphaned records dan data yang tidak sinkron; (2) lakukan rekonsiliasi manual terhadap transaksi yang terdampak dengan prioritas pada proses pembayaran dan klaim yang berdampak langsung pada nasabah; (3) komunikasikan kepada nasabah yang terdampak dan lakukan koreksi data serta pembayaran yang tertunda; (4) eskalasi kepada manajemen, dokumentasikan scope inkonsistensi, dan jadikan sebagai justifikasi urgensi implementasi distributed transaction management</t>
  </si>
  <si>
    <t>Implementasi mekanisme rekonsiliasi data terjadwal untuk proses kritis; susun blueprint distributed transaction management yang akan diterapkan saat migrasi microservices; definisikan prosedur penanganan orphaned records</t>
  </si>
  <si>
    <t>Sistem masih monolith tanpa koordinasi transaksi dan penanganan inkonsistensi sepenuhnya reaktif tanpa deteksi proaktif, proses pembayaran dan integrasi pihak ketiga paling berisiko dan inkonsistensi berpotensi sudah terjadi tanpa diketahui, status New - Open dan menjadi prioritas utama untuk segera dilakukan audit data retroaktif dan diimplementasikan rekonsiliasi terjadwal</t>
  </si>
  <si>
    <t>Personel IT App Development berkoordinasi dengan Personel DevSecOps, Personel DBA, dan Personel IT Governance</t>
  </si>
  <si>
    <t xml:space="preserve"> - Lakukan audit data retroaktif pada proses pembayaran dan integrasi pihak ketiga — bandingkan status transaksi di setiap service yang terlibat dalam proses pembayaran premi, perpanjangan polis, dan integrasi TPA/broker untuk mengidentifikasi orphaned records dan inkonsistensi yang sudah terjadi; lakukan rekonsiliasi manual dan koreksi data segera untuk transaksi yang terdampak
 - Implementasi mekanisme rekonsiliasi data terjadwal untuk proses kritis — buat job rekonsiliasi otomatis yang membandingkan status data antar service pada proses pembayaran dan integrasi pihak ketiga secara berkala; konfigurasikan alert saat ditemukan inkonsistensi; jadikan sebagai kontrol kompensasi sementara sebelum Saga pattern diimplementasikan
 - Susun blueprint Saga pattern sebagai standar koordinasi transaksi microservices — dokumentasikan desain Saga choreography atau orchestration yang akan diterapkan pada proses bisnis kritis saat migrasi microservices; tentukan kompensating transaction untuk setiap langkah sehingga rollback dapat dilakukan secara terkoordinasi jika terjadi kegagalan di tengah transaksi
 - Definisikan prosedur penanganan orphaned records — buat panduan terstruktur untuk mengidentifikasi, mengklasifikasikan, dan menyelesaikan orphaned records yang ditemukan dalam rekonsiliasi; tentukan PIC yang bertanggung jawab dan SLA penyelesaian berdasarkan dampak bisnis dari setiap kategori inkonsistensi</t>
  </si>
  <si>
    <r>
      <t>Kompleksitas operasional persisten, postur keamanan terfragmentasi, dan keterbatasan knowledge transfer pada insiden legacy berpotensi terus berlanjut — akibat</t>
    </r>
    <r>
      <rPr>
        <b/>
        <sz val="10"/>
        <color theme="1"/>
        <rFont val="Montserrat"/>
      </rPr>
      <t xml:space="preserve"> sistem legacy multi-stack</t>
    </r>
    <r>
      <rPr>
        <sz val="10"/>
        <color theme="1"/>
        <rFont val="Montserrat"/>
      </rPr>
      <t xml:space="preserve"> yang tidak dapat dimigrasi jangka pendek sehingga beban patching, monitoring, dan penanganan insiden per stack tetap menjadi eksposur operasional yang tidak dapat dieliminasi segera</t>
    </r>
  </si>
  <si>
    <t>Sistem legacy dengan stack PHP, Java, Python, Vue.js, dan React Native tidak dapat dimigrasi ke standar baru dalam jangka pendek; security patching harus dilakukan secara berbeda untuk setiap stack yang berbeda meningkatkan beban dan potensi gap; knowledge per stack hanya tersedia pada personil terbatas tanpa backup yang memadai; monitoring dan logging tidak konsisten antar stack legacy</t>
  </si>
  <si>
    <t>Security patching yang tidak konsisten pada stack legacy berpotensi meninggalkan celah keamanan yang tidak tertangani; insiden pada sistem legacy sulit ditangani tepat waktu akibat keterbatasan personil yang memahami stack terdampak; onboarding developer baru memakan waktu lama akibat keharusan memahami stack legacy; knowledge loss permanen jika personil yang memahami stack legacy meninggalkan perusahaan</t>
  </si>
  <si>
    <t>Celah keamanan pada stack legacy yang terlewat akibat patching tidak konsisten; insiden pada sistem legacy yang tidak dapat ditangani tepat waktu akibat knowledge silo; knowledge loss permanen jika personil legacy resign atau pensiun; kesulitan rekrutmen developer yang memahami stack legacy yang sudah tidak populer</t>
  </si>
  <si>
    <t>Legacy multi-stack tidak dapat dimigrasi jangka pendek; security patching harus dilakukan berbeda per stack; knowledge per stack hanya pada personil terbatas; monitoring tidak konsisten antar stack legacy; tidak ada roadmap konsolidasi legacy yang terdefinisi</t>
  </si>
  <si>
    <t>Standar teknologi Next.js, NestJS, dan Spring Boot telah ditetapkan dan ditegakkan pada seluruh project baru; namun sistem legacy multi-stack tetap beroperasi tanpa dapat dimigrasi jangka pendek, sehingga kompleksitas operasional dan fragmentasi postur keamanan pada domain legacy tetap berlanjut</t>
  </si>
  <si>
    <t>8.1 – Perencanaan dan pengendalian operasional; 
7.2 – Kompetensi; 
7.5 – Informasi terdokumentasi</t>
  </si>
  <si>
    <t>A.8.25 – Siklus hidup pengembangan yang aman; 
A.8.8 – Manajemen kerentanan teknis; 
A.5.37 – Prosedur operasi yang terdokumentasi; 
A.6.3 – Kesadaran, pendidikan dan pelatihan keamanan informasi</t>
  </si>
  <si>
    <r>
      <rPr>
        <b/>
        <sz val="10"/>
        <color theme="1"/>
        <rFont val="Montserrat"/>
      </rPr>
      <t>Sedang</t>
    </r>
    <r>
      <rPr>
        <sz val="10"/>
        <color theme="1"/>
        <rFont val="Montserrat"/>
      </rPr>
      <t xml:space="preserve"> — perusahaan dapat mentolerir kompleksitas legacy multi-stack dalam jangka menengah mengingat migrasi tidak dapat dilakukan sekaligus, namun tidak bersedia membiarkan kondisi ini tanpa roadmap konsolidasi dan standar pengelolaan legacy yang terdefinisi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</si>
  <si>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inventarisasi seluruh stack legacy beserta PIC per stack sebagai referensi minimum untuk penanganan insiden dan security patching, dan (2) jadwal security patching yang terdefinisi untuk setiap stack legacy yang aktif untuk memastikan celah keamanan tidak tertinggal akibat patching yang tidak terkoordinasi</t>
    </r>
  </si>
  <si>
    <t>(1) Identifikasi segera personil yang memiliki kemampuan pada stack legacy yang terdampak insiden dan tugaskan sebagai first responder; eskalasi ke vendor atau konsultan eksternal jika kapabilitas internal tidak memadai; (2) dokumentasikan seluruh langkah penanganan insiden pada stack terdampak sebagai knowledge capture yang dapat dijadikan referensi di masa mendatang; (3) lakukan analisis root cause dan identifikasi apakah celah terjadi akibat patching yang tertinggal atau knowledge gap pada stack tersebut; (4) eskalasi kepada manajemen dengan laporan dampak yang diperburuk oleh keterbatasan knowledge legacy sebagai justifikasi akselerasi roadmap konsolidasi</t>
  </si>
  <si>
    <t>Buat inventarisasi stack legacy dan PIC per stack; tetapkan jadwal security patching per stack; laksanakan knowledge transfer dari personil legacy kepada backup; susun roadmap konsolidasi legacy bertahap</t>
  </si>
  <si>
    <t>Personel IT Governance berkoordinasi dengan Personel CTIO dan Personel IT Core Development</t>
  </si>
  <si>
    <t>Standar teknologi sudah ditegakkan pada project baru sebagai kontrol yang efektif, namun legacy multi-stack tetap menjadi eksposur operasional persisten yang tidak dapat dieliminasi segera, risiko berada pada level Sedang dan terkendali untuk domain baru namun perlu dikelola aktif untuk domain legacy, status In Progress</t>
  </si>
  <si>
    <t xml:space="preserve"> - Buat inventarisasi seluruh stack legacy beserta PIC per stack — dokumentasikan seluruh bahasa, framework, dan database legacy yang masih aktif beserta personil yang memiliki kompetensi pada masing-masing stack; jadikan sebagai referensi wajib untuk penugasan incident response dan perencanaan security patching yang tidak dapat dilewatkan
 - Tetapkan jadwal security patching per stack legacy — definisikan SLA patching untuk setiap stack berdasarkan severity CVE; pastikan setiap stack memiliki personil yang bertanggung jawab atas pemantauan dan penerapan patch; jadwalkan review patching secara berkala untuk memastikan tidak ada stack yang tertinggal
 - Laksanakan knowledge transfer dari personil legacy ke backup — identifikasi personil yang menjadi single point of knowledge per stack legacy; jadwalkan sesi knowledge transfer intensif dan dokumentasikan pengetahuan teknis ke knowledge base yang dapat diakses; prioritaskan stack yang paling berisiko jika personil kuncinya tidak tersedia
 - Susun roadmap konsolidasi legacy bertahap — identifikasi sistem legacy yang paling feasible untuk dimigrasi ke standar baru berdasarkan ukuran, risiko, dan ketergantungan bisnis; buat rencana migrasi bertahap yang realistis dan integrasikan ke dalam perencanaan anggaran IT tahunan</t>
  </si>
  <si>
    <r>
      <t xml:space="preserve">Kegagalan pemulihan sistem core asuransi, database transaksi, dan data nasabah pada saat bencana nyata berpotensi terjadi meskipun backup tersedia — akibat </t>
    </r>
    <r>
      <rPr>
        <b/>
        <sz val="10"/>
        <color theme="1"/>
        <rFont val="Montserrat"/>
      </rPr>
      <t>restore end-to-end</t>
    </r>
    <r>
      <rPr>
        <sz val="10"/>
        <color theme="1"/>
        <rFont val="Montserrat"/>
      </rPr>
      <t xml:space="preserve"> pada infrastruktur alternatif belum pernah divalidasi sehingga ketercapaian RTO/RPO yang terdefinisi masih bersifat asumsi yang belum terbukti</t>
    </r>
  </si>
  <si>
    <t>Pengujian restore end-to-end pada infrastruktur alternatif belum pernah dilaksanakan sehingga kemampuan aktual pemulihan tidak tervalidasi; RTO dan RPO yang terdefinisi belum pernah dibuktikan dapat dicapai dalam skenario bencana nyata; pengujian yang ada hanya bersifat parsial sehingga tidak merepresentasikan kondisi pemulihan penuh yang sesungguhnya</t>
  </si>
  <si>
    <t>Ketidakmampuan memulihkan sistem core asuransi, database transaksi, dan data nasabah dalam batas waktu yang diasumsikan saat bencana nyata terjadi; business interruption yang berkepanjangan melampaui RTO yang dijanjikan kepada manajemen dan regulator; potensi backup corruption yang tidak terdeteksi karena tidak pernah diuji end-to-end; ketidakpastian actual recovery capability yang baru terungkap saat paling kritis</t>
  </si>
  <si>
    <t>Bencana yang memaksa aktivasi DR saat kemampuan restore belum tervalidasi; backup corruption yang tidak terdeteksi hingga saat restore dilakukan; RTO yang ternyata jauh melampaui target akibat inkompatibilitas infrastruktur alternatif; SOP restore yang ternyata tidak memadai untuk skenario bencana skala penuh</t>
  </si>
  <si>
    <t>Restore end-to-end pada infrastruktur alternatif belum pernah diuji; RTO/RPO belum divalidasi melalui DR drill; pengujian parsial tidak mencerminkan kondisi pemulihan penuh; potensi gap antara asumsi dan kemampuan aktual tidak teridentifikasi</t>
  </si>
  <si>
    <t>Backup Veeam, database terjadwal, replikasi DR otomatis, dan backup fisik sudah berjalan; monitoring backup dengan tindak lanjut konsisten aktif; RTO/RPO terdefinisi formal; SOP restore tersedia dan sudah diuji parsial; namun restore end-to-end pada infrastruktur alternatif belum pernah dilaksanakan</t>
  </si>
  <si>
    <r>
      <rPr>
        <b/>
        <sz val="10"/>
        <color theme="1"/>
        <rFont val="Montserrat"/>
      </rPr>
      <t>Rendah</t>
    </r>
    <r>
      <rPr>
        <sz val="10"/>
        <color theme="1"/>
        <rFont val="Montserrat"/>
      </rPr>
      <t xml:space="preserve"> — perusahaan tidak bersedia membiarkan kemampuan pemulihan sistem kritis hanya berlandaskan asumsi yang belum tervalidasi mengingat ketidakpastian ini baru akan terungkap saat kondisi bencana nyata dimana tidak ada kesempatan untuk melakukan koreksi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</si>
  <si>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minimal satu DR drill end-to-end yang telah dilaksanakan dan terdokumentasi untuk sistem core asuransi dan database transaksi keuangan sebagai validasi kemampuan restore aktual, dan (2) hasil validasi RTO/RPO aktual yang dibandingkan dengan target yang terdefinisi sebagai dasar penyesuaian jika terdapat gap</t>
    </r>
  </si>
  <si>
    <t>(1) Aktifkan prosedur DR segera dan jalankan SOP restore yang tersedia; eskalasi ke vendor Veeam untuk dukungan teknis darurat jika ditemukan hambatan yang tidak terantisipasi dalam SOP; (2) lakukan triage sistem berdasarkan kritikal bisnis — prioritaskan pemulihan core asuransi dan database transaksi sebelum sistem lainnya; (3) komunikasikan timeline pemulihan yang realistis kepada manajemen dan unit bisnis berdasarkan kondisi aktual yang ditemukan, bukan berdasarkan RTO yang diasumsikan; (4) dokumentasikan seluruh hambatan dan gap yang ditemukan selama proses pemulihan sebagai input wajib untuk penyempurnaan DR drill berikutnya</t>
  </si>
  <si>
    <t>Jadwalkan dan laksanakan DR drill end-to-end minimal tahunan; validasi ketercapaian RTO/RPO aktual; aktifkan SureBackup Veeam untuk verifikasi integritas backup otomatis</t>
  </si>
  <si>
    <t>Infrastruktur backup lengkap, monitoring konsisten, RTO/RPO terdefinisi, dan SOP sudah diuji parsial sebagai fondasi yang kuat; namun restore end-to-end belum pernah divalidasi sehingga kemampuan pemulihan aktual masih bersifat asumsi, status In Progress dan menjadi prioritas untuk segera dijadwalkan DR drill end-to-end sebelum bencana nyata terjadi</t>
  </si>
  <si>
    <t xml:space="preserve"> - Aktifkan SureBackup atau SureReplica Veeam untuk verifikasi integritas backup otomatis — konfigurasikan fitur verifikasi otomatis Veeam yang menjalankan VM dari backup dalam environment terisolasi untuk memastikan backup dapat di-restore dan tidak corrupt; jadikan sebagai kontrol berkelanjutan yang memberikan konfirmasi integritas tanpa menunggu DR drill
 - Jadwalkan dan laksanakan DR drill end-to-end untuk sistem kritis — rancang skenario bencana realistis yang mensimulasikan pemulihan penuh core asuransi, database transaksi, dan data nasabah pada infrastruktur alternatif; ukur RTO aktual yang dicapai dan bandingkan dengan target terdefinisi; dokumentasikan seluruh hambatan yang ditemukan
 - Validasi dan perbarui RTO/RPO berdasarkan hasil DR drill — gunakan hasil pengukuran RTO aktual dari DR drill untuk memvalidasi atau merevisi target yang terdefinisi; jika RTO aktual melebihi target, susun remediation plan teknis dan komunikasikan kepada manajemen sebagai dasar keputusan investasi infrastruktur DR
 - Jadwalkan DR drill sebagai agenda rutin minimal tahunan — tetapkan DR drill end-to-end sebagai kegiatan wajib terjadwal dalam kalender IT tahunan; dokumentasikan hasil setiap drill termasuk RTO aktual, temuan, dan tindakan perbaikan; gunakan sebagai bukti kepatuhan kepada regulator dan manajemen</t>
  </si>
  <si>
    <r>
      <t xml:space="preserve">Keterlambatan investigasi masalah kualitas data, remediasi yang tertunda, dan blind spot terhadap cakupan masalah berpotensi terus terjadi dan berdampak pada akurasi laporan regulasi OJK — akibat tidak tersedianya </t>
    </r>
    <r>
      <rPr>
        <b/>
        <sz val="10"/>
        <color theme="1"/>
        <rFont val="Montserrat"/>
      </rPr>
      <t>dokumentasi data lineage</t>
    </r>
    <r>
      <rPr>
        <sz val="10"/>
        <color theme="1"/>
        <rFont val="Montserrat"/>
      </rPr>
      <t xml:space="preserve"> komprehensif dan tools penelusuran alur data lintas sistem</t>
    </r>
  </si>
  <si>
    <t>Dokumentasi data lineage hanya tersedia parsial untuk beberapa sistem tanpa mencakup seluruh alur data lintas sistem; tidak ada tools yang memungkinkan penelusuran alur data secara otomatis sehingga investigasi bergantung sepenuhnya pada pengetahuan implisit personil; tidak ada mekanisme deteksi kualitas data secara proaktif; ketergantungan pada SQL Server MDS yang bersifat vendor lock-in tanpa solusi alternatif yang terdefinisi</t>
  </si>
  <si>
    <t>Investigasi error data memakan waktu lebih dari satu hari karena harus mengkoordinasikan banyak tim secara manual; data yang sama menampilkan angka berbeda di sistem yang berbeda tanpa dapat diidentifikasi sumber kebenarannya; ketidakpastian sinkronisasi data antara core system dan DWH yang berpotensi menghasilkan laporan tidak akurat; anomali pada laporan OJK yang sulit ditelusuri asalnya berpotensi menimbulkan temuan regulasi</t>
  </si>
  <si>
    <t>Laporan regulasi OJK yang mengandung data tidak akurat akibat masalah lineage yang tidak terdeteksi; keputusan bisnis yang diambil berdasarkan data yang tidak konsisten antar sistem; investigasi yang berkepanjangan saat terjadi insiden data kritis; audit regulasi yang mengungkap ketidakakuratan data akibat tidak adanya dokumentasi alur yang dapat dipertanggungjawabkan</t>
  </si>
  <si>
    <t>Dokumentasi data lineage parsial dan tidak mencakup seluruh alur lintas sistem; tidak ada tools penelusuran alur data otomatis; investigasi sepenuhnya bergantung pada pengetahuan implisit personil; tidak ada deteksi kualitas data proaktif; ketergantungan vendor lock-in pada SQL Server MDS tanpa roadmap migrasi</t>
  </si>
  <si>
    <t>Dokumentasi alur data tersedia parsial untuk beberapa sistem; SQL Server MDS sudah diimplementasikan sebagai solusi master data management; namun tidak ada tools lineage otomatis, investigasi masih manual, dan deteksi kualitas data belum proaktif sehingga masalah baru teridentifikasi setelah berdampak</t>
  </si>
  <si>
    <t>A.5.37 – Prosedur operasi yang terdokumentasi; 
A.8.16 – Aktivitas pemantauan; 
A.5.31 – Persyaratan hukum, undang-undang, peraturan dan kontrak</t>
  </si>
  <si>
    <r>
      <rPr>
        <b/>
        <sz val="10"/>
        <color theme="1"/>
        <rFont val="Montserrat"/>
      </rPr>
      <t>Sedang</t>
    </r>
    <r>
      <rPr>
        <sz val="10"/>
        <color theme="1"/>
        <rFont val="Montserrat"/>
      </rPr>
      <t xml:space="preserve"> — perusahaan dapat mentolerir keterbatasan data lineage dalam jangka pendek selama MDS masih berjalan, namun tidak bersedia membiarkan investigasi masalah data terus bergantung pada pengetahuan implisit tim mengingat dampak langsung pada akurasi laporan regulasi dan keputusan bisnis</t>
    </r>
  </si>
  <si>
    <t>Sedang — perusahaan masih dapat beroperasi selama nilai risiko residual ≤ 6; jika residual masih &gt;6, wajib eskalasi ke manajemen. 
Sebagai syarat minimum toleransi, organisasi wajib memastikan telah tersedia: (1) dokumentasi data lineage minimal untuk alur data yang digunakan dalam pelaporan regulasi OJK sebagai referensi investigasi yang dapat dipertanggungjawabkan, dan (2) mekanisme rekonsiliasi terjadwal antara core system dan DWH untuk memvalidasi konsistensi data secara berkala</t>
  </si>
  <si>
    <t>(1) Aktifkan koordinasi darurat lintas tim untuk menelusuri asal data yang bermasalah secara manual; identifikasi personil yang memiliki pengetahuan terdalam tentang alur data terdampak sebagai subject matter expert investigasi; (2) lakukan rekonsiliasi manual antara sumber data yang terlibat untuk mengidentifikasi titik divergensi dan scope data yang terdampak; (3) dokumentasikan seluruh temuan investigasi termasuk alur data yang berhasil dipetakan sebagai knowledge capture yang dapat dijadikan fondasi dokumentasi lineage formal; (4) eskalasi kepada manajemen dengan laporan waktu investigasi aktual dan dampak bisnis sebagai justifikasi urgensi implementasi tools data lineage</t>
  </si>
  <si>
    <t>Susun dokumentasi data lineage untuk alur pelaporan regulasi OJK sebagai prioritas; implementasi mekanisme rekonsiliasi terjadwal antara core system dan DWH; evaluasi tools data lineage open-source sebagai alternatif dari ketergantungan SQL Server MDS</t>
  </si>
  <si>
    <t>Dokumentasi parsial dan SQL Server MDS sudah berjalan sebagai fondasi yang ada, namun seluruh dampak nyata sudah terjadi termasuk anomali laporan OJK dan investigasi yang lama, tools lineage tidak tersedia dan deteksi proaktif belum ada, status In Progress dan menjadi prioritas untuk segera disusun dokumentasi lineage alur pelaporan OJK dan diimplementasikan rekonsiliasi terjadwal</t>
  </si>
  <si>
    <t>Personel Data Engineer berkoordinasi dengan Personel DBA, Personel Data Strategy, dan Personel IT Governance</t>
  </si>
  <si>
    <t xml:space="preserve"> - Susun dokumentasi data lineage untuk alur pelaporan regulasi OJK sebagai prioritas — petakan seluruh alur data dari sumber hingga laporan OJK mencakup transformasi, agregasi, dan titik integrasi antar sistem; jadikan sebagai referensi wajib investigasi yang dapat dipertanggungjawabkan kepada regulator; perluas secara bertahap ke seluruh alur data kritis lainnya
 - Implementasi mekanisme rekonsiliasi terjadwal antara core system dan DWH — buat job rekonsiliasi otomatis yang memvalidasi konsistensi data antara core system dan DWH secara berkala; konfigurasikan alert saat ditemukan perbedaan; jadikan sebagai kontrol deteksi proaktif sementara tools lineage yang lebih komprehensif dievaluasi
 - Evaluasi tools data lineage open-source sebagai alternatif SQL Server MDS — kaji solusi seperti Apache Atlas, OpenMetadata, atau DataHub yang dapat memberikan kapabilitas data lineage otomatis tanpa vendor lock-in; pertimbangkan kemampuan integrasi dengan stack yang sudah ada dan kemudahan adopsi bertahap
 - Susun roadmap migrasi dari SQL Server MDS ke solusi yang lebih fleksibel — dokumentasikan risiko ketergantungan vendor lock-in saat ini dan opsi migrasi yang tersedia; jadikan sebagai input perencanaan strategis arsitektur data jangka menengah yang mengurangi ketergantungan pada satu vendor</t>
  </si>
  <si>
    <r>
      <t xml:space="preserve">Penggunaan dan distribusi data nasabah serta polis yang tidak sesuai ketentuan berpotensi terjadi tanpa dapat dicegah secara formal — akibat </t>
    </r>
    <r>
      <rPr>
        <b/>
        <sz val="10"/>
        <color theme="1"/>
        <rFont val="Montserrat"/>
      </rPr>
      <t>kebijakan data governance</t>
    </r>
    <r>
      <rPr>
        <sz val="10"/>
        <color theme="1"/>
        <rFont val="Montserrat"/>
      </rPr>
      <t xml:space="preserve"> yang masih draft belum memiliki kekuatan mengikat sehingga celah aturan pengelolaan data dapat diidentifikasi dan dimanfaatkan oleh pihak yang memiliki pengetahuan internal</t>
    </r>
  </si>
  <si>
    <t>Kebijakan data governance masih dalam status draft tanpa persetujuan formal dan belum diturunkan menjadi SOP operasional yang mengikat; matriks hak akses tidak diperbarui secara konsisten saat terjadi perubahan personil atau sistem; review hak akses belum mencakup pengujian skenario penyalahgunaan celah data governance; personil internal dan mantan karyawan memiliki pengetahuan mendalam terhadap kondisi ketidaklengkapan kebijakan yang ada</t>
  </si>
  <si>
    <t>Penggunaan atau distribusi data nasabah dan polis yang tidak sesuai ketentuan tidak dapat dicegah secara formal karena tidak ada kebijakan data governance yang mengikat; celah dalam aturan pengelolaan data dimanfaatkan untuk mengakses atau menggunakan data di luar tujuan yang seharusnya; ketidakmampuan organisasi membuktikan kepatuhan terhadap prinsip data governance kepada regulator; matriks yang tidak diperbarui menghasilkan hak akses yang tidak mencerminkan kondisi aktual</t>
  </si>
  <si>
    <t>Personil internal yang memanfaatkan ketiadaan kebijakan data governance formal untuk menggunakan atau mendistribusikan data di luar ketentuan yang seharusnya berlaku; mantan karyawan yang memberikan informasi tentang celah kebijakan kepada pihak tidak berwenang; eksploitasi ketidakjelasan aturan pengelolaan data untuk kepentingan pribadi atau kompetitor</t>
  </si>
  <si>
    <t>Kebijakan data governance belum formal dan tidak mengikat; tidak ada aturan eksplisit yang melarang penggunaan data di luar tujuan yang seharusnya; matriks hak akses tidak diperbarui secara konsisten; review tidak mencakup skenario penyalahgunaan celah data governance</t>
  </si>
  <si>
    <t>Kebijakan akses sistem telah tersedia dan berlaku; matriks hak akses tersedia sebagai referensi; review berkala dilaksanakan; namun kebijakan data governance masih draft belum diapprove, belum menjadi SOP operasional yang mengikat, dan review belum mencakup skenario penyalahgunaan celah data governance</t>
  </si>
  <si>
    <t>A.5.1 – Kebijakan keamanan informasi; 
A.5.12 – Klasifikasi informasi; 
A.5.34 – Privasi dan perlindungan informasi pribadi; 
A.5.36 – Kepatuhan terhadap kebijakan dan standar keamanan informasi</t>
  </si>
  <si>
    <r>
      <rPr>
        <b/>
        <sz val="10"/>
        <color theme="1"/>
        <rFont val="Montserrat"/>
      </rPr>
      <t>Rendah</t>
    </r>
    <r>
      <rPr>
        <sz val="10"/>
        <color theme="1"/>
        <rFont val="Montserrat"/>
      </rPr>
      <t xml:space="preserve"> — perusahaan tidak bersedia membiarkan pengelolaan data nasabah dan polis beroperasi tanpa kebijakan data governance yang formal dan mengikat mengingat ketiadaannya membuka celah yang dapat dieksploitasi dan mempersulit pembuktian kepatuhan kepada regulator</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</si>
  <si>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kebijakan data governance yang telah mendapat persetujuan formal dan diturunkan menjadi SOP operasional yang mengikat seluruh personil yang mengelola data, dan (2) matriks hak akses yang mencerminkan kondisi aktual personil dan sistem saat ini sebagai referensi yang dapat dipertanggungjawabkan</t>
    </r>
  </si>
  <si>
    <t>(1) Terapkan kebijakan interim secara segera yang melarang penggunaan dan distribusi data di luar tujuan operasional yang terdefinisi sambil proses formalisasi diselesaikan; komunikasikan kepada seluruh personil bahwa kebijakan interim berlaku efektif segera; (2) lakukan audit log akses dan penggunaan data untuk mengidentifikasi aktivitas yang berpotensi memanfaatkan celah kebijakan yang ada; (3) review matriks hak akses segera untuk mengidentifikasi dan menutup akses yang tidak sesuai dengan kondisi aktual; (4) eskalasi kepada manajemen senior untuk mendapatkan persetujuan percepatan finalisasi kebijakan data governance sebagai prioritas</t>
  </si>
  <si>
    <t>Selesaikan dan formalkan kebijakan data governance menjadi SOP operasional yang mengikat; implementasi prosedur pembaruan matriks hak akses berbasis perubahan personil dan sistem; tambahkan pengujian skenario penyalahgunaan celah data governance dalam agenda review</t>
  </si>
  <si>
    <t>Kebijakan akses sistem dan review berkala sudah berjalan sebagai kontrol yang memadai, namun kebijakan data governance masih draft tanpa kekuatan formal sehingga celah dalam aturan pengelolaan data masih terbuka dan dapat dieksploitasi, status In Progress dan menjadi prioritas untuk segera diformalkan kebijakan data governance dan diperbarui matriks hak akses</t>
  </si>
  <si>
    <t xml:space="preserve"> - Finalisasi dan formalkan kebijakan data governance menjadi SOP operasional yang mengikat — selesaikan proses approval kebijakan data governance yang masih draft; turunkan menjadi SOP yang mencakup aturan klasifikasi data, tujuan penggunaan yang diizinkan, larangan distribusi di luar ketentuan, dan konsekuensi pelanggaran; sosialisasikan kepada seluruh personil yang mengelola data
 - Implementasi prosedur pembaruan matriks hak akses berbasis perubahan personil dan sistem — tetapkan trigger wajib pembaruan matriks setiap terjadi perubahan personil atau sistem; integrasikan ke proses onboarding dan offboarding sebagai langkah yang tidak dapat dilewati; pastikan matriks mencerminkan kondisi aktual yang dapat dipertanggungjawabkan
 - Tambahkan pengujian skenario penyalahgunaan celah data governance dalam review berkala — simulasikan upaya penggunaan atau distribusi data yang memanfaatkan ketidakjelasan aturan; gunakan hasil untuk menutup celah secara proaktif sebelum dieksploitasi; dokumentasikan temuan sebagai input penyempurnaan kebijakan
 - Implementasi monitoring khusus untuk penggunaan data di luar pola normal — aktifkan alert untuk akses atau distribusi data yang tidak sesuai dengan pola operasional yang terdefinisi; pastikan seluruh akses ke data nasabah dan polis yang sensitif tercatat dalam audit trail yang dapat ditelusuri</t>
  </si>
  <si>
    <t>Personel IT Governance berkoordinasi dengan Personel Data Management, Legal Counsel, dan Personel Security Analyst</t>
  </si>
  <si>
    <r>
      <t xml:space="preserve">Kegagalan pengawasan kepatuhan UU PDP dan eksposur terhadap sanksi regulasi berpotensi terjadi — akibat </t>
    </r>
    <r>
      <rPr>
        <b/>
        <sz val="10"/>
        <color theme="1"/>
        <rFont val="Montserrat"/>
      </rPr>
      <t>struktur DPO kolektif tanpa lead</t>
    </r>
    <r>
      <rPr>
        <sz val="10"/>
        <color theme="1"/>
        <rFont val="Montserrat"/>
      </rPr>
      <t xml:space="preserve"> yang ditunjuk, job description yang tidak sesuai kewajiban UU PDP, dan tidak adanya kompetensi yang memadai sehingga independensi dan efektivitas fungsi DPO tidak terpenuhi</t>
    </r>
  </si>
  <si>
    <t>DPO dibentuk sebagai tim kolektif tanpa penunjukan individu yang memiliki independensi dan akuntabilitas sesuai UU PDP; job description tidak mencakup kewajiban spesifik DPO sebagaimana diatur dalam UU PDP; belum pernah dilaksanakan pelatihan khusus UU PDP bagi anggota tim; tidak ada lead yang dapat menjadi titik kontak resmi bagi subjek data dan regulator</t>
  </si>
  <si>
    <t>Fungsi pengawasan kepatuhan perlindungan data tidak berjalan secara efektif dan akuntabel; konflik kepentingan tidak dapat dihindari jika anggota tim DPO memiliki tanggung jawab operasional yang bersinggungan; ketidakmampuan merespons permintaan regulator secara tepat waktu dan akurat akibat tidak ada lead yang bertanggung jawab; potensi sanksi administratif akibat tidak terpenuhinya persyaratan DPO sesuai UU PDP</t>
  </si>
  <si>
    <t>Pemeriksaan regulasi yang mengungkap ketidaksesuaian struktur DPO dengan persyaratan UU PDP; subjek data yang mengajukan permintaan DSAR tidak dapat ditangani secara efektif akibat tidak ada DPO yang bertanggung jawab penuh; insiden pelanggaran data yang tidak ditangani sesuai prosedur karena DPO tidak memiliki kompetensi yang memadai; sanksi administratif akibat kegagalan pemenuhan kewajiban DPO</t>
  </si>
  <si>
    <t>Tidak ada DPO individual dengan independensi dan akuntabilitas yang jelas; job description tidak sesuai kewajiban UU PDP; tidak ada kompetensi UU PDP yang tervalidasi; tidak ada lead sebagai titik kontak resmi regulator dan subjek data; DPO belum terdaftar ke regulator</t>
  </si>
  <si>
    <t>Tim DPO kolektif telah dibentuk sebagai langkah awal; job description umum tersedia; namun tidak ada penunjukan DPO individual yang independen, job description belum sesuai kewajiban UU PDP, belum ada pelatihan UU PDP, dan DPO belum terdaftar ke regulator</t>
  </si>
  <si>
    <t>5.3 – Peran, tanggung jawab, dan wewenang organisasi; 
7.2 – Kompetensi; 
5.1 – Kepemimpinan dan komitmen</t>
  </si>
  <si>
    <t>A.5.2 – Peran dan tanggung jawab keamanan informasi; 
A.5.34 – Privasi dan perlindungan informasi pribadi; 
A.6.3 – Kesadaran, pendidikan dan pelatihan keamanan informasi; 
A.5.31 – Persyaratan hukum, undang-undang, peraturan dan kontrak</t>
  </si>
  <si>
    <r>
      <rPr>
        <b/>
        <sz val="10"/>
        <color theme="1"/>
        <rFont val="Montserrat"/>
      </rPr>
      <t>Rendah</t>
    </r>
    <r>
      <rPr>
        <sz val="10"/>
        <color theme="1"/>
        <rFont val="Montserrat"/>
      </rPr>
      <t xml:space="preserve"> — perusahaan tidak bersedia membiarkan fungsi DPO berjalan tanpa memenuhi persyaratan independensi, kompetensi, dan akuntabilitas yang ditetapkan UU PDP mengingat kewajiban ini bersifat mandatory dan sanksinya dapat dijatuhkan kapan saja regulator melakukan pemeriksaan</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</si>
  <si>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penunjukan DPO individual secara formal dengan job description yang sesuai kewajiban UU PDP dan independensi organisasi yang terjamin, dan (2) minimal satu anggota tim DPO yang telah mengikuti pelatihan UU PDP sebagai bukti upaya pemenuhan kompetensi yang dapat ditunjukkan kepada regulator</t>
    </r>
  </si>
  <si>
    <t>(1) Tunjuk segera satu anggota tim DPO sebagai acting lead yang menjadi titik kontak resmi untuk merespons pertanyaan regulator dan permintaan subjek data sambil proses formalisasi diselesaikan; (2) siapkan dokumentasi yang menggambarkan langkah-langkah pemenuhan DPO yang sedang dilakukan sebagai bukti itikad baik kepada regulator; (3) engajemen Legal Counsel untuk asesmen posisi hukum perusahaan terkait kewajiban DPO dan risiko sanksi yang dihadapi; (4) eskalasi kepada manajemen senior untuk mendapatkan komitmen percepatan penunjukan DPO yang memenuhi syarat sebagai prioritas kepatuhan regulasi</t>
  </si>
  <si>
    <t>Tunjuk DPO individual dengan independensi dan job description sesuai UU PDP; selenggarakan pelatihan UU PDP untuk anggota tim; daftarkan DPO ke regulator; susun charter DPO yang mendefinisikan scope tanggung jawab dan kewenangan</t>
  </si>
  <si>
    <t>Tim DPO kolektif sudah terbentuk sebagai langkah awal yang positif namun tidak memenuhi persyaratan independensi, kompetensi, dan akuntabilitas UU PDP, fungsi pengawasan perlindungan data tidak berjalan efektif, status New - Open dan menjadi prioritas utama untuk segera ditunjuk acting lead dan direvisi job description sesuai kewajiban UU PDP sebelum regulator melakukan pemeriksaan</t>
  </si>
  <si>
    <t xml:space="preserve"> - Tunjuk DPO individual secara formal dengan independensi organisasi yang terjamin — tetapkan satu individu sebagai DPO dengan posisi yang tidak memiliki konflik kepentingan dengan tanggung jawab operasional; revisi job description untuk mencakup seluruh kewajiban DPO sesuai UU PDP termasuk pengawasan kepatuhan, penanganan DSAR, koordinasi dengan regulator, dan pelaporan insiden
 - Selenggarakan pelatihan UU PDP untuk seluruh anggota tim DPO — program pelatihan yang mencakup kewajiban dan hak DPO per UU PDP, prosedur penanganan DSAR, tata cara pelaporan pelanggaran data, dan praktik perlindungan data yang baik; pertimbangkan sertifikasi CIPM atau CIPP sebagai validasi kompetensi formal
 - Susun DPO Charter yang mendefinisikan scope, kewenangan, dan jalur pelaporan — dokumentasikan secara formal scope tanggung jawab DPO, kewenangan independen yang dimiliki, jalur pelaporan langsung kepada level manajemen tertinggi, dan mekanisme perlindungan DPO dari intervensi operasional yang dapat mengganggu independensinya
 - Daftarkan DPO kepada regulator dan publikasikan kontak DPO</t>
  </si>
  <si>
    <r>
      <t xml:space="preserve">Serangan siber yang menargetkan industri asuransi atau stack teknologi spesifik berpotensi terjadi tanpa peringatan dan persiapan — akibat </t>
    </r>
    <r>
      <rPr>
        <b/>
        <sz val="10"/>
        <color theme="1"/>
        <rFont val="Montserrat"/>
      </rPr>
      <t>tidak tersedianya CTI</t>
    </r>
    <r>
      <rPr>
        <sz val="10"/>
        <color theme="1"/>
        <rFont val="Montserrat"/>
      </rPr>
      <t xml:space="preserve"> terstruktur dan monitoring ancaman spesifik industri sehingga postur keamanan sepenuhnya reaktif dan tidak dapat mengantisipasi ancaman yang sebenarnya dapat diprediksi</t>
    </r>
  </si>
  <si>
    <t>Tidak ada langganan CTI yang terstruktur dan spesifik untuk industri asuransi; sumber informasi ancaman yang ada hanya berupa newsletter vendor yang bersifat umum dan tidak actionable; tidak ada proses analisis tren musuh dan teknik serangan yang relevan dengan stack teknologi yang digunakan; tidak ada personil yang ditugaskan untuk menjalankan fungsi threat intelligence secara proaktif</t>
  </si>
  <si>
    <t>Tidak ada early warning saat ada kampanye serangan yang menargetkan industri asuransi sehingga tidak ada waktu untuk persiapan; konfigurasi keamanan tidak disesuaikan berdasarkan tren ancaman terkini sehingga kontrol yang ada berpotensi tidak efektif terhadap teknik serangan terbaru; tim keamanan tidak mengetahui teknik serangan yang relevan dengan stack teknologi yang digunakan sehingga tidak dapat melakukan defensive hardening yang tepat sasaran</t>
  </si>
  <si>
    <t>Kelompok ancaman yang diketahui menargetkan industri asuransi Asia meluncurkan serangan tanpa terdeteksi oleh early warning; kampanye phishing bertarget yang dirancang khusus untuk industri asuransi Indonesia; eksploitasi CVE yang sudah aktif digunakan oleh threat actor sebelum patch diterapkan; ransomware yang menargetkan stack teknologi spesifik yang digunakan perusahaan</t>
  </si>
  <si>
    <t>Tidak ada CTI terstruktur dan spesifik industri; tidak ada early warning system untuk kampanye ancaman yang relevan; konfigurasi keamanan tidak diperbarui berdasarkan tren ancaman; tidak ada personil dedicated threat intelligence; sumber informasi hanya newsletter umum yang tidak actionable</t>
  </si>
  <si>
    <t>Newsletter dan notifikasi vendor keamanan diterima sebagai sumber threat awareness yang bersifat umum; namun tidak ada CTI terstruktur, monitoring ancaman spesifik industri asuransi, maupun proses analisis tren yang menghasilkan early warning dan rekomendasi tindakan proaktif</t>
  </si>
  <si>
    <t>A.5.7 – Intelijen ancaman; 
A.8.16 – Aktivitas pemantauan; 
A.5.25 – Asesmen dan keputusan terkait peristiwa keamanan informasi; 
A.5.26 – Respons terhadap insiden keamanan informasi</t>
  </si>
  <si>
    <r>
      <rPr>
        <b/>
        <sz val="10"/>
        <color theme="1"/>
        <rFont val="Montserrat"/>
      </rPr>
      <t>Rendah</t>
    </r>
    <r>
      <rPr>
        <sz val="10"/>
        <color theme="1"/>
        <rFont val="Montserrat"/>
      </rPr>
      <t xml:space="preserve"> — perusahaan tidak bersedia membiarkan postur keamanan sepenuhnya reaktif tanpa kapabilitas early warning mengingat industri asuransi merupakan target yang diketahui oleh kelompok ancaman terorganisir dan serangan yang tidak diantisipasi memiliki dampak operasional dan reputasi yang signifikan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</si>
  <si>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minimal satu sumber CTI yang spesifik untuk industri keuangan dan asuransi yang diproses secara terstruktur oleh tim keamanan, dan (2) proses terjadwal untuk meninjau dan menindaklanjuti informasi ancaman yang relevan dengan stack teknologi dan industri perusahaan</t>
    </r>
  </si>
  <si>
    <t>(1) Aktifkan prosedur incident response segera dan identifikasi teknik serangan yang digunakan untuk menentukan apakah merupakan bagian dari kampanye yang menargetkan industri asuransi secara luas; (2) cari informasi CTI secara ad-hoc dari sumber yang tersedia termasuk CERT, BSSN, dan komunitas keamanan untuk mengidentifikasi apakah ada peringatan yang sudah beredar sebelumnya; (3) terapkan mitigasi darurat berdasarkan teknik serangan yang teridentifikasi dan perkuat kontrol pada vektor serangan yang sama untuk sistem lain yang belum terdampak; (4) eskalasi kepada manajemen dan dokumentasikan bahwa serangan terjadi tanpa early warning sebagai justifikasi urgensi implementasi CTI terstruktur</t>
  </si>
  <si>
    <t>Implementasi minimal satu sumber CTI terstruktur yang spesifik industri keuangan dan asuransi; integrasikan Indicator of Compromise dari CTI ke dalam Wazuh dan tools monitoring yang ada; tetapkan proses terjadwal untuk review dan tindak lanjut informasi ancaman</t>
  </si>
  <si>
    <t>Newsletter vendor sudah berjalan sebagai awareness dasar yang minimal namun tidak spesifik industri dan tidak actionable, tidak ada early warning dan monitoring ancaman spesifik industri asuransi, postur keamanan sepenuhnya reaktif, status New - Open dan menjadi prioritas untuk segera diimplementasikan sumber CTI terstruktur sebelum kampanye serangan berikutnya terjadi</t>
  </si>
  <si>
    <t xml:space="preserve"> - Berlangganan dan implementasi sumber CTI terstruktur spesifik industri keuangan dan asuransi — identifikasi dan berlangganan sumber CTI yang relevan seperti FS-ISAC untuk industri keuangan, feed dari BSSN, atau platform CTI open-source seperti MISP; pastikan informasi yang diterima mencakup ancaman spesifik industri asuransi Asia dan IoC yang dapat langsung diintegrasikan ke tools monitoring
 - Tetapkan proses terjadwal untuk review dan tindak lanjut informasi ancaman — definisikan rutinitas mingguan atau dwi-mingguan di mana Personel Security Analyst mereview informasi CTI yang diterima, mengidentifikasi yang relevan dengan stack teknologi perusahaan, dan menentukan tindakan yang diperlukan seperti patch prioritas, penyesuaian konfigurasi, atau peningkatan monitoring
 - Integrasikan IoC dari CTI ke dalam Wazuh dan tools monitoring yang ada — konfigurasikan Wazuh untuk mendeteksi Indicator of Compromise yang diperoleh dari CTI feeds secara otomatis; aktifkan integrasi dengan MISP jika platform CTI tersebut diadopsi; pastikan IoC diperbarui secara berkala sesuai feeds terbaru
 - Evaluasi dan implementasi platform CTI open-source sebagai fondasi jangka panjang — kaji adopsi MISP sebagai platform CTI terpusat yang dapat mengagregasi multiple feeds, memfasilitasi sharing informasi ancaman, dan mengintegrasikan IoC ke tools keamanan yang sudah ada; jadikan sebagai investasi jangka menengah yang meningkatkan maturitas program CTI secara bertahap</t>
  </si>
  <si>
    <r>
      <t xml:space="preserve">Pelanggaran kewajiban UU PDP dan eksposur terhadap sanksi regulasi berpotensi terjadi saat ini — akibat </t>
    </r>
    <r>
      <rPr>
        <b/>
        <sz val="10"/>
        <color theme="1"/>
        <rFont val="Montserrat"/>
      </rPr>
      <t>DPIA belum pernah dilaksanakan</t>
    </r>
    <r>
      <rPr>
        <sz val="10"/>
        <color theme="1"/>
        <rFont val="Montserrat"/>
      </rPr>
      <t xml:space="preserve"> sehingga proses pemrosesan data berisiko tinggi berjalan tanpa asesmen risiko privasi formal yang diwajibkan regulasi</t>
    </r>
  </si>
  <si>
    <t>DPIA belum pernah dilaksanakan untuk proses pemrosesan data pribadi yang berjalan; tidak ada personil yang ditugaskan untuk menyusun dan memelihara DPIA; tidak ada klasifikasi proses pemrosesan data yang mengidentifikasi mana yang memerlukan DPIA; tidak ada kebijakan yang mewajibkan DPIA sebagai syarat sebelum proses pemrosesan data baru dimulai</t>
  </si>
  <si>
    <t>Proses pemrosesan data berisiko tinggi berjalan tanpa identifikasi dan mitigasi risiko privasi yang memadai; kewajiban DPIA per UU PDP tidak terpenuhi sehingga perusahaan terekspos sanksi administratif; ketidakmampuan membuktikan due diligence perlindungan data kepada regulator saat pemeriksaan; saat DPIA akhirnya dibuat, dokumen yang berisi peta lengkap kelemahan kepatuhan berpotensi menjadi leverage pemerasan atau intelijen kompetitif jika tidak dilindungi dengan kontrol keamanan yang memadai</t>
  </si>
  <si>
    <t>Sanksi administratif dari regulator akibat tidak terpenuhinya kewajiban DPIA; pemeriksaan regulasi yang mengungkap tidak adanya asesmen risiko privasi pada proses pemrosesan data yang berjalan; tuntutan hukum dari subjek data atas pemrosesan data berisiko tinggi yang tidak didasarkan pada asesmen risiko yang memadai; eksposur isi DPIA kepada pihak tidak berwenang saat dokumen mulai dibuat tanpa kontrol keamanan</t>
  </si>
  <si>
    <t>DPIA belum pernah dilaksanakan; tidak ada kebijakan yang mewajibkan DPIA; tidak ada personil yang bertanggung jawab atas pelaksanaan DPIA; tidak ada klasifikasi proses pemrosesan data berdasarkan tingkat risiko; saat DPIA dibuat nanti — tidak ada kontrol keamanan dokumen yang disiapkan</t>
  </si>
  <si>
    <t>Belum terdapat pengendalian formal yang diterapkan. DPIA belum pernah dilaksanakan untuk proses pemrosesan data pribadi yang berjalan, sehingga kewajiban DPIA per UU PDP belum terpenuhi dan risiko privasi pada seluruh proses pemrosesan data belum pernah diidentifikasi secara formal</t>
  </si>
  <si>
    <t>A.5.34 – Privasi dan perlindungan informasi pribadi; 
A.5.31 – Persyaratan hukum, undang-undang, peraturan dan kontrak; 
A.5.12 – Klasifikasi informasi</t>
  </si>
  <si>
    <r>
      <rPr>
        <b/>
        <sz val="10"/>
        <color theme="1"/>
        <rFont val="Montserrat"/>
      </rPr>
      <t>Rendah</t>
    </r>
    <r>
      <rPr>
        <sz val="10"/>
        <color theme="1"/>
        <rFont val="Montserrat"/>
      </rPr>
      <t xml:space="preserve"> — perusahaan tidak bersedia membiarkan proses pemrosesan data berisiko tinggi berjalan tanpa DPIA mengingat kewajiban ini bersifat mandatory per UU PDP dan sanksinya dapat dijatuhkan kapan saja regulator melakukan pemeriksaan terhadap kondisi yang sudah terjadi saat ini</t>
    </r>
  </si>
  <si>
    <t>Sedang — perusahaan masih dapat beroperasi selama nilai risiko residual ≤ 9; jika residual masih &gt;9, wajib eskalasi ke manajemen senior dan Legal Counsel. 
Sebagai syarat minimum toleransi, organisasi wajib memastikan telah tersedia: (1) DPIA yang telah dilaksanakan dan terdokumentasi minimal untuk proses pemrosesan data dengan risiko tertinggi seperti pemrosesan data medis dan klaim nasabah, dan (2) kontrol keamanan dokumen DPIA yang memastikan akses hanya kepada personil yang memiliki kebutuhan bisnis yang terdefinisi</t>
  </si>
  <si>
    <t>(1) Engajemen Legal Counsel segera untuk asesmen eksposur hukum akibat tidak adanya DPIA pada proses pemrosesan data yang sudah berjalan dan opsi remediasi yang tersedia; (2) lakukan identifikasi cepat terhadap proses pemrosesan data paling berisiko sebagai prioritas DPIA pertama yang harus segera diselesaikan; (3) siapkan dokumentasi langkah-langkah pemenuhan DPIA yang sedang dilakukan sebagai bukti itikad baik kepada regulator jika pemeriksaan terjadi sebelum DPIA selesai; (4) eskalasi kepada manajemen senior untuk mendapatkan komitmen sumber daya dan percepatan pelaksanaan DPIA sebagai prioritas kepatuhan</t>
  </si>
  <si>
    <t>Susun inventarisasi proses pemrosesan data dan identifikasi yang memerlukan DPIA; laksanakan DPIA untuk proses dengan risiko tertinggi sebagai prioritas; tetapkan kebijakan yang mewajibkan DPIA sebelum proses pemrosesan data baru dimulai; siapkan kontrol keamanan dokumen DPIA sebelum dokumen pertama selesai</t>
  </si>
  <si>
    <t>DPIA belum pernah dilaksanakan sama sekali sehingga pelanggaran kewajiban UU PDP sudah terjadi saat ini pada seluruh proses pemrosesan data yang berjalan, risiko masih terbuka penuh pada level Tinggi dengan probabilitas sangat tinggi, status New - Open dan menjadi prioritas utama untuk segera dilakukan inventarisasi proses dan dimulai DPIA untuk proses dengan risiko tertinggi</t>
  </si>
  <si>
    <t xml:space="preserve"> - Lakukan inventarisasi proses pemrosesan data dan identifikasi yang memerlukan DPIA — petakan seluruh proses bisnis yang melibatkan pemrosesan data pribadi; kategorikan berdasarkan tingkat risiko terhadap hak dan kebebasan subjek data; prioritaskan proses pemrosesan data medis, klaim, dan data finansial nasabah sebagai kandidat DPIA pertama yang harus segera dilaksanakan
 - Laksanakan DPIA untuk proses pemrosesan data berisiko tertinggi — mulai dengan proses pemrosesan data medis dan klaim yang memiliki risiko tertinggi; libatkan DPO dan Legal Counsel dalam pelaksanaan; dokumentasikan temuan, mitigasi yang diterapkan, dan risiko residual secara komprehensif sebagai bukti pemenuhan kewajiban UU PDP
 - Siapkan kontrol keamanan dokumen DPIA sebelum dokumen pertama selesai — tetapkan klasifikasi dokumen DPIA sebagai dokumen dengan tingkat kerahasiaan tertinggi; implementasikan kontrol akses berbasis need-to-know, enkripsi dokumen, dan audit trail akses sebelum dokumen pertama diselesaikan untuk mencegah eksposur isi DPIA kepada pihak yang tidak berwenang
 - Tetapkan kebijakan yang mewajibkan DPIA sebelum proses pemrosesan data baru dimulai — dokumentasikan kebijakan yang mengharuskan DPIA dilaksanakan dan disetujui sebelum proses pemrosesan data baru yang berisiko tinggi dapat dijalankan; integrasikan sebagai gate wajib dalam proses inisiasi project dan pengembangan fitur baru yang melibatkan data pribadi</t>
  </si>
  <si>
    <r>
      <t>Transformasi IT Support menjadi strategic business partner yang meningkatkan produktivitas organisasi berpotensi terwujud — melalui pengembangan self-</t>
    </r>
    <r>
      <rPr>
        <b/>
        <sz val="10"/>
        <color theme="1"/>
        <rFont val="Montserrat"/>
      </rPr>
      <t xml:space="preserve">service portal </t>
    </r>
    <r>
      <rPr>
        <sz val="10"/>
        <color theme="1"/>
        <rFont val="Montserrat"/>
      </rPr>
      <t xml:space="preserve">dan </t>
    </r>
    <r>
      <rPr>
        <b/>
        <sz val="10"/>
        <color theme="1"/>
        <rFont val="Montserrat"/>
      </rPr>
      <t>knowledge base</t>
    </r>
    <r>
      <rPr>
        <sz val="10"/>
        <color theme="1"/>
        <rFont val="Montserrat"/>
      </rPr>
      <t xml:space="preserve"> di atas fondasi helpdesk yang sudah ada, menggunakan data tiket historis sebagai panduan prioritas </t>
    </r>
    <r>
      <rPr>
        <b/>
        <sz val="10"/>
        <color theme="1"/>
        <rFont val="Montserrat"/>
      </rPr>
      <t>otomatisasi</t>
    </r>
  </si>
  <si>
    <t>Volume recurring ticket yang tinggi pada kategori reset password, request akses, dan masalah perangkat menciptakan kandidat self-service yang sangat jelas dan feasible; keterbatasan satu personil support mendorong kebutuhan otomatisasi sebagai kebutuhan operasional yang mendesak; fondasi helpdesk portal yang sudah ada memungkinkan pengembangan bertahap tanpa investasi infrastruktur dari nol</t>
  </si>
  <si>
    <t>Pengurangan volume tiket level 1 yang membebaskan kapasitas personil IT untuk fokus pada permasalahan yang lebih kompleks dan bernilai; peningkatan produktivitas pengguna akibat resolusi mandiri yang lebih cepat tanpa menunggu antrian tiket; fondasi data analitik tiket yang memungkinkan identifikasi bottleneck operasional bisnis secara sistematis; transformasi persepsi IT dari cost center menjadi enabler produktivitas yang terukur</t>
  </si>
  <si>
    <t>Pertumbuhan kompleksitas operasional yang terus meningkat tidak dapat diselesaikan dengan penambahan personil semata; ekspektasi pengguna terhadap layanan IT yang semakin cepat dan mandiri; kompetitor yang sudah mengadopsi self-service IT memberikan tekanan untuk meningkatkan standar layanan</t>
  </si>
  <si>
    <t>Tidak ada analisis pola tiket yang terstruktur sebagai dasar prioritasi self-service; helpdesk portal belum memiliki kapabilitas self-service dan knowledge base; keterbatasan personil yang harus menjalankan operasional sambil membangun kapabilitas baru; tidak ada IT Service Catalog yang terdefinisi sebagai panduan layanan yang dapat di-self-service-kan</t>
  </si>
  <si>
    <t>Platform helpdesk aktif digunakan untuk submit dan pengelolaan tiket; data historis tiket terakumulasi; namun kapabilitas self-service, knowledge base, dan analitik pola tiket belum tersedia sehingga seluruh resolusi masih bergantung pada personil IT</t>
  </si>
  <si>
    <t>6.1 – Tindakan untuk menangani risiko dan peluang; 
9.1 – Pemantauan, pengukuran, analisis dan evaluasi</t>
  </si>
  <si>
    <r>
      <rPr>
        <b/>
        <sz val="10"/>
        <color theme="1"/>
        <rFont val="Montserrat"/>
      </rPr>
      <t>Tinggi</t>
    </r>
    <r>
      <rPr>
        <sz val="10"/>
        <color theme="1"/>
        <rFont val="Montserrat"/>
      </rPr>
      <t xml:space="preserve"> — perusahaan memiliki ambisi untuk mengkapitalisasi peluang ini secara aktif mengingat fondasi helpdesk yang sudah tersedia dan recurring ticket yang terdefinisi jelas memungkinkan quick win yang dapat dirasakan segera dengan investasi yang relatif rendah</t>
    </r>
  </si>
  <si>
    <r>
      <rPr>
        <b/>
        <sz val="10"/>
        <color theme="1"/>
        <rFont val="Montserrat"/>
      </rPr>
      <t>Sedang</t>
    </r>
    <r>
      <rPr>
        <sz val="10"/>
        <color theme="1"/>
        <rFont val="Montserrat"/>
      </rPr>
      <t xml:space="preserve"> — perusahaan masih dapat beroperasi dengan model support saat ini dalam jangka pendek selama satu personil masih dapat memenuhi SLA; jika volume tiket melampaui kapasitas secara konsisten, realisasi peluang ini wajib dieskalasi sebagai prioritas. 
Sebagai syarat minimum untuk mulai mengkapitalisasi peluang, organisasi wajib memastikan telah tersedia: (1) analisis pola tiket yang mengidentifikasi top 5 recurring ticket sebagai prioritas self-service pertama, dan (2) knowledge base minimal untuk kategori reset password dan request akses yang merupakan recurring ticket tertinggi</t>
    </r>
  </si>
  <si>
    <t>(1) Manfaatkan setiap periode backlog tiket sebagai justifikasi konkret kepada manajemen untuk mempercepat realisasi self-service portal; (2) mulai dengan quick win implementasi self-service reset password yang dapat menghilangkan kategori tiket tertinggi segera tanpa investasi besar; (3) gunakan data historis tiket yang sudah ada untuk membangun business case yang mengkuantifikasi waktu yang dapat dihemat melalui self-service; (4) eskalasi roadmap transformasi IT Support kepada manajemen dengan framing peningkatan produktivitas organisasi dan pengurangan ketergantungan pada single point of support</t>
  </si>
  <si>
    <t>Lakukan analisis pola tiket historis untuk mengidentifikasi top recurring ticket; implementasi knowledge base dan self-service untuk kategori prioritas; susun IT Service Catalog yang mendefinisikan layanan yang dapat di-self-service-kan</t>
  </si>
  <si>
    <t>Helpdesk portal dan data tiket historis sudah tersedia sebagai fondasi yang kuat untuk dikembangkan, namun analisis pola tiket dan kapabilitas self-service belum ada sehingga peluang transformasi belum dikapitalisasi, status New - Open dan menjadi prioritas strategis untuk segera dimulai dengan analisis pola tiket dan implementasi self-service reset password sebagai quick win pertama</t>
  </si>
  <si>
    <t xml:space="preserve"> - Lakukan analisis pola tiket historis dan identifikasi top recurring ticket — ekstrak dan analisis data tiket yang sudah terakumulasi di helpdesk untuk mengidentifikasi kategori tiket tertinggi berdasarkan volume, frekuensi, dan waktu resolusi; kuantifikasi waktu yang dihabiskan per kategori sebagai business case untuk self-service; prioritaskan reset password, request akses, dan masalah perangkat sebagai kandidat otomatisasi pertama
 - Implementasi self-service reset password dan unlock akun — kembangkan atau aktifkan fitur self-service reset password pada platform helpdesk yang sudah ada; ini merupakan quick win tertinggi yang langsung menghilangkan kategori tiket paling sering tanpa investasi besar dan manfaatnya dapat dirasakan segera oleh seluruh pengguna
 - Bangun knowledge base terstruktur untuk recurring ticket prioritas — buat artikel panduan self-service untuk kategori request akses dan masalah perangkat yang dapat diakses mandiri oleh pengguna; integrasikan ke dalam helpdesk portal yang sudah ada agar knowledge base muncul sebagai saran sebelum pengguna membuka tiket baru
 - Susun IT Service Catalog sebagai fondasi transformasi jangka panjang — dokumentasikan seluruh layanan IT yang tersedia beserta SLA, cara pengajuan, dan panduan self-service untuk setiap layanan; jadikan sebagai referensi resmi yang dikomunikasikan kepada seluruh pengguna sebagai bukti transformasi IT Support menjadi layanan yang terstruktur dan dapat diandalkan</t>
  </si>
  <si>
    <r>
      <t xml:space="preserve">Instabilitas sistem production, kegagalan audit, dan terbentuknya budaya bypass yang tidak sehat berpotensi terjadi secara kumulatif — akibat </t>
    </r>
    <r>
      <rPr>
        <b/>
        <sz val="10"/>
        <color theme="1"/>
        <rFont val="Montserrat"/>
      </rPr>
      <t>tidak adanya definisi formal emergency change</t>
    </r>
    <r>
      <rPr>
        <sz val="10"/>
        <color theme="1"/>
        <rFont val="Montserrat"/>
      </rPr>
      <t xml:space="preserve"> dan seluruh gap kontrol yang memungkinkan jalur darurat digunakan sebagai mekanisme bypass proses formal secara rutin tanpa dapat dideteksi</t>
    </r>
  </si>
  <si>
    <t>Tidak ada definisi formal dan kriteria terukur yang membedakan emergency change dari normal change; tidak ada mekanisme verifikasi independen terhadap klaim kedaruratan; tidak ada regression testing, post-implementation review, batas jumlah, approval wajib, maupun audit trail yang diterapkan pada jalur emergency change; tekanan delivery bisnis yang mendorong penggunaan jalur darurat sebagai jalan pintas yang lebih mudah</t>
  </si>
  <si>
    <t>Insiden production yang tidak dapat ditelusuri akibat emergency change tanpa audit trail; kegagalan audit regulasi akibat tidak adanya dokumentasi persetujuan dan pengujian; budaya bypass yang semakin mengakar sehingga proses CAB dan QA menjadi tidak relevan; perubahan berbahaya yang lolos ke production tanpa terdeteksi karena tidak ada verifikasi independen</t>
  </si>
  <si>
    <t>Tidak ada definisi dan kriteria formal emergency change; tidak ada approval wajib dari pihak berwenang; tidak ada regression testing pasca emergency change; tidak ada post-implementation review; tidak ada batas jumlah emergency change per periode; tidak ada audit trail yang memadai</t>
  </si>
  <si>
    <t>CAB sudah berjalan untuk perubahan aplikasi; SOP Change Management tersedia; namun tidak ada definisi formal emergency change, tidak ada mekanisme verifikasi klaim kedaruratan, dan seluruh kontrol pasca-implementasi belum diterapkan pada jalur emergency change</t>
  </si>
  <si>
    <r>
      <rPr>
        <b/>
        <sz val="10"/>
        <color theme="1"/>
        <rFont val="Montserrat"/>
      </rPr>
      <t>Rendah</t>
    </r>
    <r>
      <rPr>
        <sz val="10"/>
        <color theme="1"/>
        <rFont val="Montserrat"/>
      </rPr>
      <t xml:space="preserve"> — perusahaan tidak bersedia membiarkan jalur emergency change beroperasi tanpa definisi formal, approval wajib, dan audit trail mengingat dampak kumulatif terhadap stabilitas production, kemampuan audit, dan budaya kepatuhan proses yang dapat berdampak jangka panjang</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</si>
  <si>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definisi formal dan kriteria terukur yang membedakan emergency change dari normal change beserta mekanisme verifikasi klaim kedaruratan, dan (2) audit trail wajib dan post-implementation review yang terdokumentasi untuk setiap emergency change yang dieksekusi</t>
    </r>
  </si>
  <si>
    <t>(1) Lakukan audit segera terhadap seluruh emergency change yang pernah dilakukan untuk mengidentifikasi perubahan yang berpotensi menyebabkan instabilitas atau celah keamanan yang tidak terdeteksi akibat tidak adanya testing; (2) laksanakan regression testing retroaktif pada sistem yang terdampak emergency change paling signifikan; (3) tetapkan moratorium sementara terhadap emergency change kecuali untuk insiden kritis yang terverifikasi sambil prosedur formal disusun; (4) eskalasi kepada manajemen dengan laporan volume dan scope emergency change yang terjadi tanpa kontrol sebagai justifikasi urgensi formalisasi prosedur</t>
  </si>
  <si>
    <t>Definisikan kriteria formal emergency change dan implementasi mekanisme verifikasi klaim kedaruratan; wajibkan approval dari pihak berwenang dan audit trail untuk setiap emergency change; implementasi post-implementation review wajib dalam 24 jam setelah emergency change</t>
  </si>
  <si>
    <t>CAB dan SOP Change Management sudah berjalan sebagai kontrol formal yang memadai untuk normal change, namun jalur emergency change beroperasi tanpa definisi, approval, testing, dan audit trail sehingga berpotensi menjadi celah bypass yang semakin sering digunakan, status In Progress dan menjadi prioritas untuk segera didefinisikan kriteria emergency change dan diimplementasikan kontrol minimal</t>
  </si>
  <si>
    <t xml:space="preserve"> - Definisikan kriteria formal emergency change dan implementasi mekanisme verifikasi — tetapkan kriteria terukur yang membedakan emergency change dari normal change seperti dampak bisnis langsung, downtime aktif, atau eksploitasi keamanan yang terbukti; implementasi mekanisme verifikasi independen terhadap klaim kedaruratan minimal melalui approval dari satu pihak berwenang yang tidak terlibat dalam perubahan
 - Wajibkan approval dan audit trail untuk setiap emergency change — tidak ada emergency change yang dapat dieksekusi tanpa persetujuan terdokumentasi dari pihak berwenang; pastikan seluruh emergency change tercatat dalam sistem tiket dengan justifikasi kedaruratan, approver, waktu eksekusi, dan perubahan yang dilakukan sebagai audit trail yang dapat dipertanggungjawabkan
 - Implementasi post-implementation review wajib dalam 24 jam — setiap emergency change wajib diikuti review dalam 24 jam yang memvalidasi dampak perubahan, melakukan regression testing minimal, dan mendokumentasikan hasilnya; jadikan sebagai syarat closure tiket emergency change yang tidak dapat dilewati
 - Tetapkan batas jumlah emergency change per periode sebagai KPI kesehatan proses — definisikan threshold maksimum emergency change per bulan yang jika terlampaui memicu review oleh manajemen; gunakan tren jumlah emergency change sebagai indikator kesehatan proses development dan delivery secara keseluruhan
</t>
  </si>
  <si>
    <t>Personel IT Governance berkoordinasi dengan Personel DevSecOps dan Personel IT Core Development</t>
  </si>
  <si>
    <t>Akses production database diberikan secara permanen tanpa mekanisme JIT yang membatasi durasi; tidak ada data masking yang menyembunyikan data sensitif nasabah dari personil yang tidak memerlukan akses ke nilai aslinya; tidak ada column-level restriction yang membatasi akses hanya pada kolom yang relevan dengan kebutuhan bisnis; audit log tidak direview secara berkala sehingga tidak berfungsi sebagai kontrol detektif yang efektif</t>
  </si>
  <si>
    <t>Data pribadi nasabah termasuk NIK, data medis, dan data finansial dapat dilihat secara penuh oleh senior developer tanpa justifikasi bisnis yang terverifikasi; manipulasi data production dapat dilakukan tanpa meninggalkan jejak yang mudah dideteksi; pelanggaran prinsip least privilege yang berpotensi mengakibatkan sanksi regulasi UU PDP; ketidakmampuan investigasi forensik yang efektif akibat audit log yang tidak direview</t>
  </si>
  <si>
    <t>Insider threat oleh senior developer yang mengakses atau mengekstrak data nasabah untuk kepentingan pribadi atau kompetitor; manipulasi data production yang tidak terdeteksi akibat tidak ada session recording dan audit log tidak direview; eksfiltrasi data nasabah melalui query langsung yang tidak terpantau; pelanggaran UU PDP akibat akses data pribadi yang melampaui kebutuhan bisnis</t>
  </si>
  <si>
    <t>Akses permanen tanpa JIT; tidak ada data masking; tidak ada column-level restriction; tidak ada session recording; tidak ada approval workflow; audit log tidak direview secara berkala; semua gap terbuka sepenuhnya tanpa kompensasi kontrol</t>
  </si>
  <si>
    <t>Akses dibatasi hanya kepada senior developer dan lead sebagai pembatasan jumlah personil; audit log tersedia; namun akses permanen tanpa JIT, tidak ada masking, tidak ada column restriction, tidak ada session recording, tidak ada approval workflow, dan audit log tidak direview sehingga kontrol yang ada tidak efektif</t>
  </si>
  <si>
    <t>8.1 – Perencanaan dan pengendalian operasional; 9.1 – Pemantauan, pengukuran, analisis dan evaluasi</t>
  </si>
  <si>
    <t>A.8.2 – Hak akses istimewa; 
A.5.15 – Manajemen akses; 
A.5.34 – Privasi dan perlindungan informasi pribadi; 
A.8.11 – Penyamaran data; 
A.8.15 – Logging</t>
  </si>
  <si>
    <r>
      <rPr>
        <b/>
        <sz val="10"/>
        <color theme="1"/>
        <rFont val="Montserrat"/>
      </rPr>
      <t>Rendah</t>
    </r>
    <r>
      <rPr>
        <sz val="10"/>
        <color theme="1"/>
        <rFont val="Montserrat"/>
      </rPr>
      <t xml:space="preserve"> — perusahaan tidak bersedia membiarkan senior developer memiliki akses permanen tanpa kontrol yang memadai ke production database yang mengandung data pribadi nasabah mengingat dampak langsung terhadap kewajiban UU PDP, risiko insider threat, dan integritas data production</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</si>
  <si>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approval workflow yang wajib dijalankan sebelum akses production database dapat digunakan sehingga setiap akses memiliki justifikasi bisnis yang terdokumentasi, dan (2) audit log yang direview secara berkala minimal mingguan sebagai kontrol detektif yang efektif terhadap akses yang tidak wajar</t>
    </r>
  </si>
  <si>
    <t>(1) Cabut segera akses production database dari seluruh senior developer dan lead; gantikan dengan mekanisme akses berbasis permintaan yang memerlukan approval sebelum akses dapat digunakan; (2) lakukan review menyeluruh terhadap audit log historis untuk mengidentifikasi query atau operasi data yang tidak biasa atau tidak dapat dijustifikasi dengan kebutuhan bisnis; (3) identifikasi apakah ada data nasabah yang berpotensi sudah diakses atau dieksfiltrasi di luar kebutuhan operasional yang terverifikasi; (4) eskalasi kepada manajemen dan Legal Counsel untuk asesmen kewajiban notifikasi regulasi jika ditemukan indikasi akses data yang tidak terotorisasi</t>
  </si>
  <si>
    <t>Implementasi approval workflow sebelum akses production database; aktifkan review audit log secara berkala; implementasi data masking untuk kolom sensitif; susun roadmap implementasi JIT access dan column-level restriction</t>
  </si>
  <si>
    <t>Pembatasan akses kepada senior developer dan audit log sudah ada sebagai kontrol dasar yang minimal, namun gap kontrol terbuka sepenuhnya dan audit log tidak direview sehingga akses permanen tanpa batasan ke data nasabah asli berlangsung tanpa pengawasan yang efektif, status In Progress dan menjadi prioritas utama untuk segera diimplementasikan approval workflow dan diaktifkan review audit log</t>
  </si>
  <si>
    <t xml:space="preserve"> - Implementasi approval workflow wajib sebelum akses production database digunakan — gantikan akses permanen dengan mekanisme permintaan akses yang memerlukan justifikasi bisnis terdokumentasi dan persetujuan dari pihak berwenang sebelum akses dapat diaktifkan; manfaatkan Guacamole yang sudah tersedia sebagai jalur akses terpusat yang dapat dikontrol dan direkam
 - Aktifkan review audit log production database secara berkala — tetapkan jadwal review audit log minimal mingguan oleh Personel DBA atau Security Analyst; definisikan pola query yang mencurigakan seperti SELECT massal pada tabel nasabah atau operasi UPDATE tanpa WHERE clause; konfigurasikan alert otomatis untuk query yang melebihi threshold normal
 - Implementasi data masking untuk kolom sensitif — terapkan dynamic data masking pada kolom NIK, data medis, nomor rekening, dan data finansial nasabah sehingga personil yang mengakses hanya melihat nilai yang disamarkan kecuali memiliki justifikasi bisnis yang diverifikasi; ini dapat diimplementasikan di level database tanpa perubahan aplikasi
 - Susun dan implementasikan roadmap JIT access dan column-level restriction — dokumentasikan desain implementasi JIT access yang memberikan akses sementara dengan durasi terbatas dan otomatis dicabut; rencanakan column-level restriction berdasarkan role dan kebutuhan bisnis spesifik setiap personil; jadikan sebagai investasi jangka menengah yang menurunkan residual risk ke level yang dapat diterima</t>
  </si>
  <si>
    <r>
      <t xml:space="preserve">Infrastruktur IT on-premise yang sudah mendekati end-of-life berpotensi menimbulkan biaya pemeliharaan tinggi dan risiko kegagalan sistem — namun membuka </t>
    </r>
    <r>
      <rPr>
        <b/>
        <sz val="10"/>
        <color theme="1"/>
        <rFont val="Montserrat"/>
      </rPr>
      <t>peluang migrasi ke cloud</t>
    </r>
    <r>
      <rPr>
        <sz val="10"/>
        <color theme="1"/>
        <rFont val="Montserrat"/>
      </rPr>
      <t xml:space="preserve"> yang meningkatkan skalabilitas, fleksibilitas, dan efisiensi biaya infrastruktur jangka panjang</t>
    </r>
  </si>
  <si>
    <t>Seluruh komponen infrastruktur on-premise — server, storage, jaringan, dan sistem operasi — sudah mendekati atau melewati EOL secara bersamaan menciptakan tekanan yang tidak dapat ditunda; biaya maintenance infrastruktur EOL yang terus meningkat membuat biaya status quo semakin tidak kompetitif; beberapa personil IT sudah memiliki kompetensi cloud yang dapat menjadi fondasi migrasi tanpa harus memulai dari nol</t>
  </si>
  <si>
    <t>Eliminasi risiko kegagalan hardware EOL yang mengancam keberlangsungan layanan nasabah; skalabilitas elastis yang memungkinkan perusahaan merespons lonjakan kebutuhan seperti peak klaim tanpa overprovisioning; pengurangan biaya CAPEX infrastruktur yang dapat dialihkan ke investasi strategis bisnis; peningkatan kapabilitas disaster recovery dan business continuity melalui fitur cloud yang built-in; akselerasi deployment layanan digital baru untuk nasabah</t>
  </si>
  <si>
    <t>Tekanan regulasi OJK yang semakin mensyaratkan business continuity dan ketahanan sistem; kompetitor yang sudah mengadopsi cloud memiliki keunggulan skalabilitas dan kecepatan deployment; vendor yang menghentikan dukungan EOL meningkatkan biaya pemeliharaan dan eksposur keamanan yang tidak dapat dimitigasi</t>
  </si>
  <si>
    <t>Belum ada komitmen formal manajemen dan roadmap yang terdokumentasi; belum ada anggaran yang dialokasikan untuk migrasi cloud; kompleksitas migrasi sistem legacy core asuransi yang tidak dapat dimigrasi dengan pendekatan lift-and-shift sederhana; potensi regulatory requirement terkait data residency untuk data nasabah</t>
  </si>
  <si>
    <t>Diskusi awal migrasi cloud sudah dilakukan; beberapa personil memiliki kompetensi cloud; namun belum ada komitmen formal, roadmap, dan anggaran yang ditetapkan sehingga peluang belum dapat dikapitalisasi secara terstruktur</t>
  </si>
  <si>
    <t>A.5.30 – Kesiapan ICT untuk keberlangsungan bisnis; 
A.8.6 – Manajemen kapasitas; 
A.5.19 – Keamanan informasi dalam hubungan pemasok</t>
  </si>
  <si>
    <r>
      <rPr>
        <b/>
        <sz val="10"/>
        <color theme="1"/>
        <rFont val="Montserrat"/>
      </rPr>
      <t>Tinggi</t>
    </r>
    <r>
      <rPr>
        <sz val="10"/>
        <color theme="1"/>
        <rFont val="Montserrat"/>
      </rPr>
      <t xml:space="preserve"> — perusahaan memiliki ambisi untuk mengkapitalisasi peluang ini mengingat tekanan EOL yang mendesak pada seluruh komponen infrastruktur menciptakan window of opportunity yang jika tidak dimanfaatkan akan berubah menjadi krisis operasional yang lebih mahal untuk diselesaikan secara reaktif</t>
    </r>
  </si>
  <si>
    <r>
      <rPr>
        <b/>
        <sz val="10"/>
        <color theme="1"/>
        <rFont val="Montserrat"/>
      </rPr>
      <t>Sedang</t>
    </r>
    <r>
      <rPr>
        <sz val="10"/>
        <color theme="1"/>
        <rFont val="Montserrat"/>
      </rPr>
      <t xml:space="preserve"> — perusahaan masih dapat menunda migrasi dalam jangka pendek selama infrastruktur EOL masih dapat beroperasi; namun jika kegagalan hardware mulai terjadi atau biaya maintenance melampaui threshold yang dapat ditolerir, realisasi peluang ini wajib dieskalasi sebagai prioritas investasi segera. Sebagai syarat minimum untuk mulai mengkapitalisasi peluang, organisasi wajib memastikan telah tersedia: (1) business case migrasi cloud yang mengkuantifikasi perbandingan biaya status quo versus cloud dan telah dipresentasikan kepada manajemen untuk mendapatkan komitmen strategis, dan (2) roadmap migrasi cloud bertahap yang terdokumentasi dengan fase prioritas berdasarkan urgensi EOL dan kompleksitas migrasi</t>
    </r>
  </si>
  <si>
    <t>(1) Manfaatkan setiap insiden kegagalan hardware EOL sebagai bukti konkret biaya status quo untuk memperkuat justifikasi bisnis migrasi cloud kepada manajemen; (2) mulai dengan proof of concept migrasi komponen non-kritis ke cloud untuk membuktikan kapabilitas tim dan mengidentifikasi hambatan teknis sebelum migrasi komponen kritis; (3) engajemen vendor cloud untuk mendapatkan asesmen migrasi dan estimasi biaya sebagai input business case yang lebih akurat; (4) eskalasi roadmap migrasi cloud kepada manajemen dengan framing pengurangan risiko operasional dan efisiensi biaya jangka panjang sebagai proposisi nilai utama</t>
  </si>
  <si>
    <t>Susun business case migrasi cloud yang mengkuantifikasi TCO; dokumentasikan roadmap migrasi bertahap berbasis urgensi EOL; mulai dengan proof of concept komponen non-kritis; investasikan dalam pengembangan kompetensi cloud tim IT</t>
  </si>
  <si>
    <t>Diskusi awal dan kompetensi cloud parsial sudah tersedia sebagai fondasi yang cukup untuk memulai, namun belum ada komitmen manajemen dan roadmap formal sehingga momentum EOL yang mendesak belum dikapitalisasi, status New - Open dan menjadi prioritas strategis untuk segera disusun business case dan dipresentasikan kepada manajemen sebelum kondisi EOL berubah menjadi krisis operasional</t>
  </si>
  <si>
    <t xml:space="preserve"> - Susun business case migrasi cloud berbasis TCO comparison — kuantifikasi total cost of ownership on-premise saat ini versus proyeksi biaya cloud dalam 3-5 tahun; sertakan biaya tersembunyi status quo seperti maintenance EOL, downtime risk, dan opportunity cost; presentasikan kepada manajemen untuk mendapatkan komitmen strategis dan alokasi anggaran
 - Dokumentasikan roadmap migrasi cloud bertahap berbasis urgensi EOL — kategorikan komponen infrastruktur berdasarkan urgensi EOL dan kompleksitas migrasi; tentukan fase migrasi yang dimulai dari komponen paling mendesak dan paling feasible; pertimbangkan pendekatan hybrid cloud untuk komponen yang tidak dapat dimigrasi penuh dalam jangka pendek
 - Laksanakan proof of concept migrasi komponen non-kritis — pilih satu atau dua workload non-kritis sebagai kandidat migrasi pertama untuk membuktikan kapabilitas tim, mengidentifikasi hambatan teknis, dan menghasilkan data aktual biaya cloud; gunakan hasil PoC sebagai validasi roadmap dan penguatan business case kepada manajemen
 - Investasikan dalam pengembangan kompetensi cloud tim IT — identifikasi gap kompetensi cloud yang dibutuhkan untuk eksekusi roadmap; jadwalkan program pelatihan dan sertifikasi cloud untuk personil kunci; manfaatkan program training dari cloud provider yang sering disediakan gratis atau bersubsidi sebagai bagian dari engagement migrasi</t>
  </si>
  <si>
    <r>
      <t xml:space="preserve">Akses fisik tidak terotorisasi ke ruang server dan infrastruktur kritis berpotensi terjadi tanpa terdeteksi — akibat tidak adanya log elektronik, prosedur escort wajib, dan mekanisme </t>
    </r>
    <r>
      <rPr>
        <b/>
        <sz val="10"/>
        <color theme="1"/>
        <rFont val="Montserrat"/>
      </rPr>
      <t>anti-tailgating</t>
    </r>
    <r>
      <rPr>
        <sz val="10"/>
        <color theme="1"/>
        <rFont val="Montserrat"/>
      </rPr>
      <t xml:space="preserve"> yang memungkinkan individu tidak berwenang mengekor personil berwenang masuk tanpa verifikasi independen</t>
    </r>
  </si>
  <si>
    <t>Log elektronik yang merekam identitas dan waktu setiap akses ke ruang server belum diimplementasikan sehingga tidak ada audit trail akses fisik; tidak ada prosedur escort wajib yang memastikan tamu dan vendor selalu didampingi selama berada di area kritis; tidak ada mekanisme anti-tailgating seperti mantrap atau turnstile yang memaksa setiap individu diverifikasi secara independen</t>
  </si>
  <si>
    <t>Individu tidak berwenang dapat mengakses ruang server dan mengekspos seluruh infrastruktur kritis tanpa meninggalkan jejak yang dapat diinvestigasi; pemasangan perangkat berbahaya seperti keylogger atau USB malware pada server tanpa dapat terdeteksi; akses konsol server yang tidak terkunci oleh pihak tidak berwenang; sabotase atau pencurian hardware yang tidak dapat diatribusikan kepada pelaku akibat tidak ada log akses fisik</t>
  </si>
  <si>
    <t>Piggybacking oleh tamu, vendor, atau mantan karyawan yang memanfaatkan ketiadaan verifikasi independen; pemasangan perangkat berbahaya pada infrastruktur kritis oleh pihak yang berhasil masuk tanpa terdeteksi; sabotase hardware yang menyebabkan downtime infrastruktur; pengambilan foto konfigurasi atau topologi infrastruktur untuk keperluan intelijen serangan</t>
  </si>
  <si>
    <t>Tidak ada log elektronik akses fisik; tidak ada prosedur escort wajib untuk tamu dan vendor; tidak ada mekanisme anti-tailgating; fingerprint dan PIN hanya memverifikasi orang pertama yang masuk tanpa memverifikasi individu yang mengikuti di belakang</t>
  </si>
  <si>
    <t>Fingerprint atau PIN sudah diterapkan sebagai autentikasi akses fisik; prosedur kontrol akses fisik tamu dan vendor sudah ada dan ditegakkan; namun tidak ada log elektronik, prosedur escort wajib, dan mekanisme anti-tailgating sehingga piggybacking dapat terjadi tanpa terdeteksi</t>
  </si>
  <si>
    <t>A.7.1 – Perimeter keamanan fisik; 
A.7.2 – Pengendalian masuk fisik; 
A.7.3 – Pengamanan kantor, ruangan, dan fasilitas; 
A.7.4 – Pemantauan keamanan fisik</t>
  </si>
  <si>
    <r>
      <rPr>
        <b/>
        <sz val="10"/>
        <color theme="1"/>
        <rFont val="Montserrat"/>
      </rPr>
      <t>Rendah</t>
    </r>
    <r>
      <rPr>
        <sz val="10"/>
        <color theme="1"/>
        <rFont val="Montserrat"/>
      </rPr>
      <t xml:space="preserve"> — perusahaan tidak bersedia membiarkan area yang mengandung seluruh infrastruktur kritis beroperasi tanpa log elektronik akses fisik dan prosedur escort wajib mengingat kompromi fisik terhadap ruang server dapat mengekspos seluruh infrastruktur sekaligus dengan dampak yang jauh melampaui serangan siber</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</si>
  <si>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log elektronik yang merekam identitas dan waktu setiap akses ke ruang server dan data center sebagai audit trail fisik minimum, dan (2) prosedur escort wajib yang terdokumentasi dan ditegakkan untuk seluruh tamu dan vendor yang mengakses area kritis</t>
    </r>
  </si>
  <si>
    <t>(1) Lakukan pemeriksaan fisik segera terhadap seluruh perangkat di area kritis yang diduga diakses secara tidak terotorisasi untuk mengidentifikasi perangkat asing atau modifikasi yang tidak terotorisasi; (2) review rekaman CCTV jika tersedia untuk mengidentifikasi individu yang masuk ke area kritis dalam periode teridentifikasi; (3) batasi segera akses ke area kritis hanya melalui prosedur escort wajib yang diawasi langsung oleh personil IT Infrastructure sampai kontrol tambahan diimplementasikan; (4) eskalasi kepada manajemen dengan laporan bahwa tidak ada audit trail fisik yang tersedia untuk investigasi dan jadikan sebagai justifikasi urgensi implementasi log elektronik</t>
  </si>
  <si>
    <t>Implementasi log elektronik akses fisik pada seluruh pintu masuk area kritis; tetapkan dan tegakkan prosedur escort wajib untuk tamu dan vendor; evaluasi implementasi mekanisme anti-tailgating pada area dengan risiko tertinggi</t>
  </si>
  <si>
    <t>Fingerprint dan PIN serta prosedur tamu sudah berjalan sebagai kontrol fisik dasar yang memadai, namun tidak ada log elektronik, escort wajib, dan anti-tailgating sehingga piggybacking dapat terjadi tanpa terdeteksi, status In Progress dan menjadi prioritas untuk segera diimplementasikan log elektronik dan diformalkan prosedur escort wajib</t>
  </si>
  <si>
    <t>Personel IT Infra - Sysadmin berkoordinasi dengan Personel IT Governance dan Personel Security Analyst</t>
  </si>
  <si>
    <t xml:space="preserve"> - Implementasi log elektronik akses fisik pada seluruh pintu masuk area kritis — upgrade sistem fingerprint atau PIN yang ada untuk menghasilkan log elektronik yang mencatat identitas dan timestamp setiap akses; pastikan log tersimpan secara terpusat dan dapat diakses untuk keperluan audit dan investigasi; tetapkan retensi log minimal 12 bulan
 - Formalisasi dan tegakkan prosedur escort wajib untuk tamu dan vendor — dokumentasikan prosedur yang mewajibkan setiap tamu dan vendor didampingi oleh personil IT Infrastructure yang ditugaskan selama seluruh durasi kunjungan; daftarkan identitas tamu dan vendor sebelum masuk; personil escort bertanggung jawab penuh atas aktivitas pihak yang didampingi
 - Aktifkan dan pastikan CCTV mencakup seluruh pintu masuk area kritis — verifikasi bahwa seluruh pintu masuk ruang server, network room, dan backup room tercakup dalam pemantauan CCTV yang aktif dan rekamannya tersimpan dengan retensi yang memadai; integrasikan monitoring CCTV ke dalam rutinitas review keamanan fisik berkala
 - Evaluasi dan implementasi mekanisme anti-tailgating untuk area risiko tertinggi — kaji opsi anti-tailgating seperti mantrap, turnstile, atau sensor deteksi multiple occupancy untuk ruang server sebagai investasi jangka menengah; prioritaskan area yang paling sering diakses oleh tamu dan vendor eksternal</t>
  </si>
  <si>
    <r>
      <t xml:space="preserve">Gangguan layanan yang berulang dan pemborosan sumber daya operasional berpotensi terus berlanjut tanpa perbaikan sistemik — akibat </t>
    </r>
    <r>
      <rPr>
        <b/>
        <sz val="10"/>
        <color theme="1"/>
        <rFont val="Montserrat"/>
      </rPr>
      <t>RCA yang tidak konsisten</t>
    </r>
    <r>
      <rPr>
        <sz val="10"/>
        <color theme="1"/>
        <rFont val="Montserrat"/>
      </rPr>
      <t xml:space="preserve"> dan tidak adanya problem management terstruktur sehingga akar penyebab insiden tidak teridentifikasi dan diselesaikan secara permanen</t>
    </r>
  </si>
  <si>
    <t>RCA hanya dilakukan untuk insiden besar yang mendapat perhatian manajemen tanpa standar konsistensi yang terdefinisi; tidak ada proses problem management yang mengelola akar penyebab dari identifikasi hingga penyelesaian permanen; data tiket helpdesk yang terakumulasi tidak dianalisis untuk mengidentifikasi pola dan tren insiden berulang; tidak ada personil yang ditugaskan secara dedicated untuk menjalankan fungsi problem management</t>
  </si>
  <si>
    <t>Insiden aplikasi down atau lambat dan konektivitas jaringan berulang terus terjadi tanpa perbaikan sistemik; sumber daya IT terserap habis untuk penanganan insiden reaktif tanpa kapasitas tersisa untuk perbaikan preventif; postur operasional pemadam kebakaran yang mengakibatkan kelelahan tim dan penurunan kualitas layanan secara bertahap; ketidakmampuan memberikan komitmen SLA yang dapat dipertanggungjawabkan akibat insiden berulang yang tidak terprediksi</t>
  </si>
  <si>
    <t>Eskalasi insiden berulang yang semakin berdampak pada layanan nasabah akibat akar penyebab yang tidak pernah diselesaikan; kelelahan tim IT akibat volume insiden reaktif yang tidak berkurang; penurunan kepercayaan unit bisnis terhadap keandalan layanan IT; kegagalan audit ITSM yang mengharuskan adanya proses problem management yang terdokumentasi</t>
  </si>
  <si>
    <t>RCA tidak konsisten dan tidak terstandarisasi; tidak ada proses problem management; data tiket tidak dianalisis untuk pola berulang; tidak ada known error database; tidak ada personil dedicated problem management</t>
  </si>
  <si>
    <t>Helpdesk aktif dengan pencatatan tiket yang berjalan; RCA dilakukan selektif untuk insiden besar; namun tidak ada RCA konsisten, problem management terstruktur, maupun analisis pola tiket sehingga insiden berulang tidak dapat dicegah secara sistemik</t>
  </si>
  <si>
    <t>A.5.26 – Respons terhadap insiden keamanan informasi; 
A.5.25 – Asesmen dan keputusan terkait peristiwa keamanan informasi; 
A.5.37 – Prosedur operasi yang terdokumentasi</t>
  </si>
  <si>
    <r>
      <rPr>
        <b/>
        <sz val="10"/>
        <color theme="1"/>
        <rFont val="Montserrat"/>
      </rPr>
      <t>Sedang</t>
    </r>
    <r>
      <rPr>
        <sz val="10"/>
        <color theme="1"/>
        <rFont val="Montserrat"/>
      </rPr>
      <t xml:space="preserve"> — perusahaan dapat mentolerir ketidaksempurnaan proses problem management dalam jangka pendek selama SLA helpdesk masih terpenuhi, namun tidak bersedia membiarkan insiden berulang terus terjadi tanpa upaya identifikasi dan penyelesaian akar penyebab yang sistematis</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</si>
  <si>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analisis pola tiket berkala yang mengidentifikasi top recurring incident sebagai prioritas RCA, dan (2) prosedur RCA minimal yang terdokumentasi dan wajib dilaksanakan untuk seluruh insiden yang teridentifikasi sebagai recurring</t>
    </r>
  </si>
  <si>
    <t>(1) Lakukan triase segera terhadap insiden berulang yang sedang aktif untuk mengidentifikasi mana yang memiliki dampak terbesar pada layanan dan prioritaskan untuk RCA segera; (2) bentuk tim kecil untuk melaksanakan RCA terstruktur pada insiden prioritas menggunakan metode 5-Why atau Fishbone untuk mengidentifikasi akar penyebab yang sebenarnya; (3) implementasikan perbaikan sementara untuk insiden yang sedang aktif sambil perbaikan permanen direncanakan dan dijadwalkan; (4) eskalasi kepada manajemen dengan laporan pola insiden berulang dan estimasi biaya operasional yang terbuang sebagai justifikasi urgensi implementasi problem management</t>
  </si>
  <si>
    <t>Lakukan analisis pola tiket historis untuk mengidentifikasi top recurring incident; implementasi prosedur RCA minimal yang wajib untuk insiden berulang; bentuk proses problem management sederhana yang dapat dijalankan dengan kapasitas tim yang ada</t>
  </si>
  <si>
    <t>Helpdesk dan RCA selektif sudah berjalan sebagai fondasi yang ada namun insiden berulang sudah terjadi nyata dan data tiket tidak dianalisis sehingga postur pemadam kebakaran terus berlanjut tanpa perbaikan sistemik, status In Progress dan menjadi prioritas untuk segera dilakukan analisis pola tiket dan diimplementasikan prosedur RCA wajib untuk insiden berulang</t>
  </si>
  <si>
    <t xml:space="preserve"> - Lakukan analisis pola tiket historis dan identifikasi top recurring incident — ekstrak dan analisis data tiket helpdesk untuk mengidentifikasi insiden yang paling sering berulang berdasarkan kategori, sistem terdampak, dan frekuensi; kuantifikasi waktu resolusi kumulatif per kategori sebagai justifikasi prioritas RCA; fokus pada aplikasi down atau lambat dan konektivitas jaringan sebagai kategori dengan frekuensi tertinggi
 - Implementasi prosedur RCA wajib untuk insiden yang teridentifikasi sebagai recurring — definisikan threshold yang mewajibkan RCA seperti insiden yang terjadi lebih dari dua kali dalam sebulan atau insiden yang mempengaruhi layanan kritis; dokumentasikan template RCA sederhana berbasis 5-Why yang dapat dieksekusi tanpa keahlian khusus; jadikan sebagai syarat closure tiket untuk kategori recurring
 - Bentuk proses problem management sederhana yang dapat dijalankan dengan kapasitas saat ini — buat register problem yang mencatat akar penyebab yang teridentifikasi, status perbaikan, dan personil yang bertanggung jawab; jadwalkan review problem register bulanan untuk memastikan perbaikan permanen berjalan; tidak perlu tool khusus — spreadsheet atau fitur helpdesk yang ada sudah cukup sebagai permulaan
 - Bangun known error database dari hasil RCA yang sudah dilakukan — dokumentasikan seluruh akar penyebab dan workaround yang teridentifikasi dari RCA sebagai referensi yang dapat diakses tim; jadikan sebagai fondasi knowledge base teknis yang mempercepat resolusi saat insiden yang sama terjadi kembali sebelum perbaikan permanen selesai diimplementasikan </t>
  </si>
  <si>
    <r>
      <t>Diferensiasi kompetitif yang terukur dan peningkatan kepercayaan nasabah berpotensi terwujud — melalui</t>
    </r>
    <r>
      <rPr>
        <b/>
        <sz val="10"/>
        <color theme="1"/>
        <rFont val="Montserrat"/>
      </rPr>
      <t xml:space="preserve"> transformasi fondasi kepatuhan regulasi</t>
    </r>
    <r>
      <rPr>
        <sz val="10"/>
        <color theme="1"/>
        <rFont val="Montserrat"/>
      </rPr>
      <t xml:space="preserve"> yang sudah berjalan menjadi proposisi nilai strategis yang dikomunikasikan ke pasar, memanfaatkan momentum regulasi OJK yang semakin ketat sebagai katalis membangun postur keamanan di atas rata-rata industri</t>
    </r>
  </si>
  <si>
    <t>Regulasi OJK yang semakin ketat mendorong seluruh industri untuk meningkatkan standar keamanan — perusahaan yang bergerak lebih cepat dan lebih komprehensif akan membangun keunggulan yang sulit dikejar kompetitor; seluruh fondasi strategis sudah tersedia dan aktif berjalan sehingga peluang dapat dikapitalisasi tanpa harus membangun dari nol; kepatuhan sudah mulai dikomunikasikan ke pasar sebagai sinyal awal yang dapat diperkuat menjadi diferensiasi yang terukur</t>
  </si>
  <si>
    <t>Diferensiasi kompetitif yang terverifikasi melalui sertifikasi ISO 27001 yang dapat dikomunikasikan kepada nasabah korporat dan agen sebagai bukti kredibilitas; peningkatan kepercayaan nasabah yang terukur melalui transparansi praktik perlindungan data yang melampaui kewajiban minimum regulasi; posisi sebagai pelopor industri asuransi Indonesia dalam keamanan siber dan perlindungan data yang meningkatkan brand equity jangka panjang; kemudahan pemenuhan kewajiban audit regulasi di masa mendatang karena fondasi sudah dibangun melampaui standar minimum</t>
  </si>
  <si>
    <t>Regulasi OJK yang semakin ketat memaksa seluruh kompetitor meningkatkan standar keamanan — window of opportunity untuk menjadi first mover semakin sempit; nasabah korporat dan institusional semakin mensyaratkan bukti keamanan data dari mitra asuransi mereka; insiden keamanan di kompetitor yang menjadi berita publik meningkatkan kesadaran nasabah terhadap pentingnya keamanan data</t>
  </si>
  <si>
    <t>Pengukuran persepsi kepercayaan nasabah belum pernah dilakukan sehingga baseline dan dampak program belum dapat dikuantifikasi; gap implementasi UU PDP dan keamanan siber yang masih ada berpotensi melemahkan klaim diferensiasi jika tidak diselesaikan terlebih dahulu; komunikasi kepatuhan ke pasar masih awal dan belum terstruktur sebagai program marketing yang konsisten</t>
  </si>
  <si>
    <t>ISO 27001 sedang dikejar; UU PDP berjalan; program keamanan siber aktif; hubungan OJK baik; komunikasi kepatuhan ke pasar sudah dimulai; namun pengukuran kepercayaan nasabah belum ada dan komunikasi belum terstruktur sebagai proposisi nilai yang konsisten</t>
  </si>
  <si>
    <t>5.1 – Kepemimpinan dan komitmen; 
6.1 – Tindakan untuk menangani risiko dan peluang; 
9.3 – Tinjauan manajemen</t>
  </si>
  <si>
    <t>A.5.1 – Kebijakan keamanan informasi; 
A.5.31 – Persyaratan hukum, undang-undang, peraturan dan kontrak; 
A.5.34 – Privasi dan perlindungan informasi pribadi</t>
  </si>
  <si>
    <r>
      <rPr>
        <b/>
        <sz val="10"/>
        <color theme="1"/>
        <rFont val="Montserrat"/>
      </rPr>
      <t>Tinggi</t>
    </r>
    <r>
      <rPr>
        <sz val="10"/>
        <color theme="1"/>
        <rFont val="Montserrat"/>
      </rPr>
      <t xml:space="preserve"> — perusahaan memiliki ambisi tinggi untuk mengkapitalisasi peluang ini secara aktif mengingat seluruh fondasi strategis sudah tersedia, komunikasi ke pasar sudah dimulai, dan window of opportunity sebagai first mover dalam keamanan siber di industri asuransi Indonesia semakin sempit seiring kompetitor yang mulai bergerak</t>
    </r>
  </si>
  <si>
    <r>
      <rPr>
        <b/>
        <sz val="10"/>
        <color theme="1"/>
        <rFont val="Montserrat"/>
      </rPr>
      <t>Tinggi</t>
    </r>
    <r>
      <rPr>
        <sz val="10"/>
        <color theme="1"/>
        <rFont val="Montserrat"/>
      </rPr>
      <t xml:space="preserve"> — perusahaan dapat mentolerir ketidaksempurnaan komunikasi dalam jangka pendek selama fondasi kepatuhan terus diperkuat; namun jika kompetitor mulai mengklaim posisi keamanan lebih kuat atau insiden keamanan terjadi pada perusahaan sendiri, realisasi peluang ini wajib dieskalasi sebagai prioritas strategis segera. Sebagai syarat minimum untuk mulai mengkapitalisasi peluang secara efektif, organisasi wajib memastikan telah tersedia: (1) baseline kepercayaan nasabah yang terukur sebagai referensi untuk mengukur dampak program kepatuhan terhadap persepsi pasar, dan (2) gap closure roadmap yang memastikan seluruh klaim diferensiasi keamanan yang dikomunikasikan ke pasar didukung oleh implementasi aktual yang dapat diverifikasi</t>
    </r>
  </si>
  <si>
    <t>(1) Manfaatkan setiap penerbitan regulasi OJK baru sebagai momentum untuk memperkuat komunikasi kepada pasar bahwa perusahaan sudah selangkah lebih maju dalam pemenuhan; (2) percepat penyelesaian sertifikasi ISO 27001 sebagai bukti independen yang paling kredibel untuk dikomunikasikan kepada nasabah korporat dan agen; (3) luncurkan survei kepercayaan nasabah sebagai langkah pertama membangun baseline yang dapat digunakan untuk mengkuantifikasi dampak program; (4) eskalasi roadmap diferensiasi keamanan kepada manajemen dengan framing peningkatan win rate untuk nasabah korporat dan retensi nasabah sebagai proposisi nilai bisnis yang terukur</t>
  </si>
  <si>
    <t>Lakukan survei baseline kepercayaan nasabah; percepat penyelesaian sertifikasi ISO 27001; susun program komunikasi kepatuhan yang terstruktur; tutup gap implementasi yang dapat melemahkan klaim diferensiasi</t>
  </si>
  <si>
    <t>Seluruh fondasi strategis sudah tersedia dan komunikasi ke pasar sudah dimulai sebagai posisi yang sangat kondusif, namun pengukuran kepercayaan nasabah belum ada dan komunikasi belum terstruktur sehingga dampak aktual belum dapat dikuantifikasi, status New - Open dan menjadi prioritas strategis untuk segera diluncurkan survei baseline nasabah dan dipercepat penyelesaian ISO 27001 sebagai bukti diferensiasi yang paling kredibel</t>
  </si>
  <si>
    <t>Personel IT Governance berkoordinasi dengan Personel CTIO, Marketing, dan Legal Counsel</t>
  </si>
  <si>
    <t xml:space="preserve"> - Luncurkan survei baseline kepercayaan nasabah terhadap keamanan data — rancang survei yang mengukur tingkat kepercayaan nasabah dan agen terhadap keamanan data perusahaan; identifikasi faktor kepercayaan yang paling berpengaruh pada keputusan pembelian dan retensi; gunakan hasil sebagai baseline untuk mengukur dampak program kepatuhan secara berkala dan sebagai input prioritasi investasi keamanan 
 - Percepat penyelesaian dan komunikasi sertifikasi ISO 27001 — identifikasi gap closure yang paling kritikal untuk mempercepat penyelesaian audit ISO 27001; setelah tersertifikasi, komunikasikan secara aktif kepada nasabah korporat, agen, dan regulator sebagai bukti independen yang paling kredibel dari komitmen keamanan informasi perusahaan
 - Susun program komunikasi kepatuhan terstruktur sebagai marketing asset — dokumentasikan pencapaian kepatuhan regulasi dalam format yang dapat dikomunikasikan kepada pasar; kembangkan materi marketing yang menjelaskan secara konkret bagaimana data nasabah dilindungi; integrasikan ke dalam proses penjualan untuk nasabah korporat dan pelatihan agen sebagai differentiator yang aktif digunakan
 - Tutup gap implementasi yang berpotensi melemahkan klaim diferensiasi — identifikasi gap kepatuhan UU PDP dan keamanan siber yang paling terlihat dan berpotensi dipertanyakan oleh nasabah atau regulator; prioritaskan penutupan gap tersebut sebelum klaim diferensiasi dikomunikasikan lebih luas untuk memastikan konsistensi antara klaim dan realitas implementasi</t>
  </si>
  <si>
    <r>
      <t xml:space="preserve">Insiden yang seharusnya dapat dicegah berpotensi terus terjadi meskipun risk register sudah ada — akibat </t>
    </r>
    <r>
      <rPr>
        <b/>
        <sz val="10"/>
        <color theme="1"/>
        <rFont val="Montserrat"/>
      </rPr>
      <t>risk assessment</t>
    </r>
    <r>
      <rPr>
        <sz val="10"/>
        <color theme="1"/>
        <rFont val="Montserrat"/>
      </rPr>
      <t xml:space="preserve"> yang dijalankan sebagai pemenuhan audit tanpa monitoring mitigasi yang konsisten, personil tidak aware terhadap risiko di areanya, dan ketergantungan pada 1-2 individu sehingga risk appetite dan tolerance tidak berfungsi sebagai panduan operasional</t>
    </r>
  </si>
  <si>
    <t>Risk assessment diperlakukan sebagai kebutuhan audit bukan sebagai alat manajemen risiko operasional yang berkelanjutan; pengelolaan risk register hanya dipahami dan dijalankan oleh 1-2 orang tanpa distribusi tanggung jawab yang jelas kepada seluruh unit; tidak ada mekanisme monitoring progress mitigasi yang terstruktur; insiden yang terjadi tidak dihubungkan ke risk register sehingga risk register tidak mencerminkan kondisi aktual; manajemen IT tidak melakukan review berkala yang memastikan tindak lanjut berjalan</t>
  </si>
  <si>
    <t>Mitigasi risiko yang terdaftar tidak dikerjakan sehingga residual risk tidak pernah turun secara nyata; insiden yang seharusnya dapat dicegah terus terjadi karena personil tidak mengetahui risiko di area tanggung jawabnya; risk register menjadi dokumen statis yang tidak mencerminkan kondisi risiko aktual; saat pengelola utama tidak tersedia, seluruh proses risk management berhenti karena tidak ada yang memiliki pemahaman yang memadai; kegagalan audit akibat tidak dapat dibuktikan bahwa mitigasi yang terdaftar benar-benar dilaksanakan</t>
  </si>
  <si>
    <t>Insiden keamanan yang seharusnya tercegah oleh mitigasi yang terdaftar namun tidak dieksekusi; kegagalan audit internal maupun eksternal akibat gap antara risk register dan implementasi aktual; knowledge loss permanen jika 1-2 personil yang memahami risk assessment meninggalkan perusahaan; peningkatan eksposur risiko yang tidak terdeteksi karena risk register tidak diperbarui saat kondisi berubah</t>
  </si>
  <si>
    <t>Risk assessment hanya dibuat menjelang audit; mitigasi tidak dimonitor; personil tidak aware terhadap risiko di areanya; insiden tidak dihubungkan ke risk register; manajemen tidak review berkala; ketergantungan pada 1-2 individu</t>
  </si>
  <si>
    <t>Risk register sudah tersedia dan terdokumentasi; monitoring ada meskipun tidak konsisten dan tergantung inisiatif individu; namun risk assessment tidak hidup sebagai proses berkelanjutan dan seluruh kondisi kegagalan implementasi sudah terjadi secara simultan</t>
  </si>
  <si>
    <t>6.1 – Tindakan untuk menangani risiko dan peluang; 
9.3 – Tinjauan manajemen; 
10.1 – Ketidaksesuaian dan tindakan korektif</t>
  </si>
  <si>
    <t>A.5.36 – Kepatuhan terhadap kebijakan dan standar keamanan informasi; 
A.5.35 – Tinjauan independen keamanan informasi; 
A.5.1 – Kebijakan keamanan informasi</t>
  </si>
  <si>
    <r>
      <rPr>
        <b/>
        <sz val="10"/>
        <color theme="1"/>
        <rFont val="Montserrat"/>
      </rPr>
      <t>Rendah</t>
    </r>
    <r>
      <rPr>
        <sz val="10"/>
        <color theme="1"/>
        <rFont val="Montserrat"/>
      </rPr>
      <t xml:space="preserve"> — perusahaan tidak bersedia membiarkan risk management berjalan sebagai compliance theater tanpa dampak preventif yang nyata mengingat seluruh investasi dalam penyusunan risk register menjadi tidak bernilai jika mitigasi tidak dimonitor dan insiden yang seharusnya tercegah terus terjadi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</si>
  <si>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monitoring progress mitigasi yang terstruktur dan tidak bergantung pada inisiatif individu sehingga tindak lanjut risiko berjalan secara konsisten, dan (2) distribusi tanggung jawab risk owner kepada kepala unit masing-masing sehingga awareness dan akuntabilitas risiko tidak terpusat pada 1-2 orang</t>
    </r>
  </si>
  <si>
    <t>(1) Lakukan review segera terhadap seluruh mitigasi yang terdaftar dalam risk register untuk mengidentifikasi mana yang belum dieksekusi dan berpotensi berkontribusi pada insiden yang sedang terjadi; (2) tetapkan risk owner sementara untuk risiko prioritas tinggi yang mitigasinya belum berjalan dan eskalasi kepada kepala unit yang bertanggung jawab; (3) hubungkan insiden yang sedang terjadi ke entri risk register yang relevan dan perbarui status serta residual risk secara segera; (4) eskalasi kepada manajemen IT dengan laporan gap antara risk register dan implementasi aktual sebagai justifikasi urgensi transformasi risk management dari compliance theater menjadi proses operasional yang hidup</t>
  </si>
  <si>
    <t>Distribusikan risk ownership kepada kepala unit; implementasi monitoring progress mitigasi yang terstruktur; integrasikan review risk register ke dalam agenda manajemen berkala; selenggarakan awareness risk management kepada seluruh personil IT</t>
  </si>
  <si>
    <t>Risk register sudah tersedia sebagai fondasi yang ada namun seluruh kondisi kegagalan implementasi sudah terjadi secara simultan dan risk management berjalan sebagai compliance theater tanpa dampak preventif yang nyata, status New - Open dan menjadi prioritas utama untuk segera didistribusikan risk ownership dan diimplementasikan monitoring mitigasi yang terstruktur</t>
  </si>
  <si>
    <t xml:space="preserve"> - Distribusikan risk ownership kepada kepala unit IT masing-masing — tetapkan setiap entri risk register memiliki risk owner yang merupakan kepala unit yang bertanggung jawab atas area tersebut; definisikan kewajiban risk owner mencakup monitoring mitigasi, pelaporan progress, dan pembaruan status risiko secara berkala; jadikan akuntabilitas risk ownership sebagai bagian dari KPI kepala unit
 - Implementasi mekanisme monitoring progress mitigasi yang terstruktur — buat dashboard atau tracker sederhana yang menampilkan status setiap mitigasi beserta risk owner, target penyelesaian, dan progress aktual; jadwalkan review bulanan yang wajib dihadiri seluruh risk owner untuk melaporkan progress; dokumentasikan hasil review sebagai bukti bahwa risk management berjalan sebagai proses yang hidup
- Selenggarakan awareness risk management kepada seluruh personil IT — laksanakan sesi edukasi yang menjelaskan mengapa risk assessment bukan sekadar kebutuhan audit; jelaskan risiko spesifik yang ada di area tanggung jawab masing-masing personil; bangun pemahaman bahwa setiap personil bertanggung jawab atas mitigasi di areanya dan bukan hanya IT Governance
 - Integrasikan review risk register ke dalam agenda manajemen IT berkala — tetapkan risk register sebagai agenda wajib dalam rapat manajemen IT bulanan; pastikan setiap insiden yang terjadi dievaluasi terhadap risk register untuk identifikasi apakah ada mitigasi yang gagal atau risiko baru yang harus ditambahkan; jadikan ini sebagai mekanisme yang memastikan risk register selalu mencerminkan kondisi aktual</t>
  </si>
  <si>
    <t>Personel IT Governance berkoordinasi dengan Personel CTIO dan seluruh kepala unit IT</t>
  </si>
  <si>
    <r>
      <t xml:space="preserve">Kompleksitas operasional yang menghambat independent deployment dan meningkatkan risiko gangguan layanan berpotensi terus berlanjut — akibat </t>
    </r>
    <r>
      <rPr>
        <b/>
        <sz val="10"/>
        <color theme="1"/>
        <rFont val="Montserrat"/>
      </rPr>
      <t>legacy service yang masih tightly coupled</t>
    </r>
    <r>
      <rPr>
        <sz val="10"/>
        <color theme="1"/>
        <rFont val="Montserrat"/>
      </rPr>
      <t xml:space="preserve"> dengan shared state dan </t>
    </r>
    <r>
      <rPr>
        <b/>
        <sz val="10"/>
        <color theme="1"/>
        <rFont val="Montserrat"/>
      </rPr>
      <t>shared database</t>
    </r>
    <r>
      <rPr>
        <sz val="10"/>
        <color theme="1"/>
        <rFont val="Montserrat"/>
      </rPr>
      <t xml:space="preserve"> schema sehingga perubahan satu service berpotensi mempengaruhi service lain dan menghambat manfaat arsitektur microservices</t>
    </r>
  </si>
  <si>
    <t>Legacy service dibangun dengan shared database schema dan shared state yang tidak dapat dimigrasi ke database independen dalam jangka pendek; tidak ada standar decoupling yang diterapkan secara retroaktif pada service legacy; perubahan schema database dilakukan tanpa mempertimbangkan dampak pada service lain yang berbagi database yang sama; testing environment memerlukan seluruh service aktif karena ketergantungan yang tidak terisolasi</t>
  </si>
  <si>
    <t>Perubahan schema database satu service berpotensi merusak service lain yang berbagi database yang sama; testing satu service memerlukan seluruh service berjalan bersamaan sehingga meningkatkan kompleksitas dan waktu testing; deployment service legacy memerlukan koordinasi lintas tim yang memperlambat siklus delivery; rollback satu service berisiko mempengaruhi service lain akibat shared state yang tidak terisolasi</t>
  </si>
  <si>
    <t>Gangguan layanan yang tidak terduga akibat perubahan schema database yang mempengaruhi service lain secara tidak langsung; peningkatan waktu downtime yang diperlukan untuk update karena koordinasi multi-service; kesulitan isolasi masalah saat insiden terjadi akibat ketergantungan yang tidak terdokumentasi antar service; hambatan adopsi continuous deployment akibat keharusan koordinasi lintas service</t>
  </si>
  <si>
    <t>Legacy service dengan shared database dan shared state; tidak ada database per service pada legacy; testing tidak dapat dilakukan secara isolated; tidak ada standar decoupling yang diterapkan pada service legacy; ketergantungan antar service tidak terdokumentasi sepenuhnya</t>
  </si>
  <si>
    <t>Service baru sudah loose coupled dan dapat deploy independen; beberapa service sudah memiliki database sendiri; namun legacy service masih tightly coupled dengan shared state dan shared schema yang tidak dapat dimigrasi segera sehingga kompleksitas operasional masih berlanjut</t>
  </si>
  <si>
    <t>A.8.25 – Siklus hidup pengembangan yang aman; 
A.8.6 – Manajemen kapasitas; 
A.5.37 – Prosedur operasi yang terdokumentasi</t>
  </si>
  <si>
    <r>
      <rPr>
        <b/>
        <sz val="10"/>
        <color theme="1"/>
        <rFont val="Montserrat"/>
      </rPr>
      <t>Sedang</t>
    </r>
    <r>
      <rPr>
        <sz val="10"/>
        <color theme="1"/>
        <rFont val="Montserrat"/>
      </rPr>
      <t xml:space="preserve"> — perusahaan dapat mentolerir tightly coupling pada legacy service dalam jangka menengah mengingat migrasi tidak dapat dilakukan sekaligus, namun tidak bersedia membiarkan service baru dibangun dengan pola tightly coupled yang sama dan tidak ada roadmap decoupling untuk legacy</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</si>
  <si>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inventarisasi seluruh ketergantungan tightly coupled pada legacy service beserta dampak potensialnya sebagai referensi wajib sebelum setiap perubahan schema atau deployment dilakukan, dan (2) standar loose coupling yang ditegakkan pada seluruh service baru untuk mencegah penambahan tightly coupled dependencies baru</t>
    </r>
  </si>
  <si>
    <t>(1) Identifikasi segera seluruh service yang terdampak perubahan schema atau deployment yang menyebabkan gangguan; lakukan rollback terkoordinasi jika gangguan terjadi sambil memastikan urutan rollback tidak merusak service lain; (2) aktifkan komunikasi darurat antar tim yang service-nya terdampak untuk koordinasi pemulihan yang terstruktur; (3) dokumentasikan seluruh ketergantungan yang terungkap selama insiden sebagai input pembaruan peta ketergantungan service; (4) eskalasi kepada manajemen dengan laporan dampak tightly coupling dan jadikan sebagai justifikasi percepatan roadmap decoupling</t>
  </si>
  <si>
    <t>Inventarisasi seluruh tightly coupled dependencies pada legacy service; tegakkan standar loose coupling pada seluruh service baru; susun roadmap decoupling legacy service bertahap; implementasi database migration strategy untuk memisahkan shared schema</t>
  </si>
  <si>
    <t>Personel IT App Development berkoordinasi dengan Personel DevSecOps dan Personel DBA</t>
  </si>
  <si>
    <t>Service baru sudah loose coupled sebagai kontrol positif yang efektif, namun legacy service masih tightly coupled dengan shared state dan schema yang menciptakan kompleksitas operasional persisten, risiko berada pada level Sedang dan terkendali untuk domain baru namun perlu dikelola aktif untuk legacy, status In Progress</t>
  </si>
  <si>
    <t xml:space="preserve"> - Inventarisasi seluruh tightly coupled dependencies pada legacy service — petakan seluruh ketergantungan antar legacy service termasuk shared database schema, shared state, dan API coupling yang tidak terversioning; dokumentasikan dampak potensial dari setiap perubahan sebagai referensi wajib sebelum deployment atau schema change dilakukan; jadikan sebagai living document yang diperbarui setiap ada perubahan arsitektur
 - Tegakkan standar loose coupling pada seluruh service baru — formalisasi standar yang melarang service baru berbagi database atau state dengan service lain; wajibkan database per service, API versioning, dan contract testing sebagai persyaratan arsitektur yang tidak dapat dikompromikan; integrasikan sebagai gate dalam architectural review sebelum service baru dapat di-deploy
 - Susun roadmap decoupling legacy service bertahap berbasis risiko — identifikasi legacy service yang paling sering menjadi bottleneck deployment dan paling berisiko jika terjadi shared schema change; prioritaskan decoupling berdasarkan dampak bisnis dan kompleksitas teknis; bagi menjadi fase yang dapat dieksekusi secara inkremental tanpa menghentikan operasional
 - Definisikan database migration strategy untuk memisahkan shared schema — kaji pendekatan pemisahan database seperti strangler fig pattern atau database-per-service migration untuk legacy service prioritas; koordinasikan dengan DBA untuk strategi yang meminimalkan downtime dan risiko data loss selama proses pemisahan berlangsung</t>
  </si>
  <si>
    <r>
      <t xml:space="preserve">Kompromi infrastruktur kritis melalui orphaned service sebagai entry point yang tidak terpantau berpotensi sudah terjadi — akibat </t>
    </r>
    <r>
      <rPr>
        <b/>
        <sz val="10"/>
        <color theme="1"/>
        <rFont val="Montserrat"/>
      </rPr>
      <t>service tanpa owner yang masih berjalan di production</t>
    </r>
    <r>
      <rPr>
        <sz val="10"/>
        <color theme="1"/>
        <rFont val="Montserrat"/>
      </rPr>
      <t xml:space="preserve"> dengan akses ke internal API kritis dan database sensitif, credential tidak dirotasi, dependency tidak di-update, dan tidak ada decommissioning procedure</t>
    </r>
  </si>
  <si>
    <t>Tidak ada prosedur decommissioning formal saat project selesai atau developer resign sehingga service dibiarkan berjalan tanpa owner; tidak ada inventarisasi lengkap seluruh service yang berjalan di production sehingga service kecil dan legacy tidak terdeteksi; tidak ada audit berkala untuk mengidentifikasi orphaned service; credential dan API key tidak dirotasi; dependency tidak diperbarui sehingga kerentanan terakumulasi tanpa ada yang menangani</t>
  </si>
  <si>
    <t>Orphaned service dengan kerentanan yang terakumulasi menjadi entry point bagi attacker untuk masuk ke environment production; lateral movement dari orphaned service ke service kritis dan database sensitif melalui akses internal API yang tidak dibatasi; kompromi yang tidak terdeteksi karena tidak ada yang memiliki konteks untuk mengidentifikasi aktivitas mencurigakan pada service tersebut; credential dan API key yang tidak dirotasi dapat digunakan attacker untuk akses persisten yang tidak terdeteksi</t>
  </si>
  <si>
    <t>Eksploitasi CVE pada dependency orphaned service yang sudah lama tidak di-update sebagai initial access; penggunaan credential yang tidak dirotasi untuk akses persisten dan tidak terdeteksi; lateral movement melalui akses internal API yang dimiliki orphaned service ke core system dan database sensitif; supply chain attack melalui dependency vektor pada service yang tidak dipantau patch-nya</t>
  </si>
  <si>
    <t>Tidak ada decommissioning procedure; tidak ada inventarisasi lengkap service; tidak ada audit berkala orphaned service; credential tidak dirotasi; dependency tidak di-update; tidak ada patch management; orphaned service berjalan di environment dan network segment yang sama dengan service kritis</t>
  </si>
  <si>
    <t>Monitoring tersedia namun tidak ada yang merespons dengan pemahaman konteks untuk orphaned service; inventarisasi service utama terdokumentasi namun service kecil dan legacy tidak tercakup; tidak ada decommissioning, audit berkala, patch management, dan rotasi credential untuk orphaned service</t>
  </si>
  <si>
    <t>A.8.8 – Manajemen kerentanan teknis; 
A.8.9 – Manajemen konfigurasi; 
A.5.9 – Inventaris informasi dan aset terkait lainnya;
 A.8.20 – Keamanan jaringan</t>
  </si>
  <si>
    <r>
      <rPr>
        <b/>
        <sz val="10"/>
        <color theme="1"/>
        <rFont val="Montserrat"/>
      </rPr>
      <t>Rendah</t>
    </r>
    <r>
      <rPr>
        <sz val="10"/>
        <color theme="1"/>
        <rFont val="Montserrat"/>
      </rPr>
      <t xml:space="preserve"> — perusahaan tidak bersedia membiarkan service tanpa owner beroperasi di environment production yang sama dengan infrastruktur kritis mengingat kombinasi akses ke internal API dan database sensitif, credential tidak dirotasi, dan dependency tidak di-update menciptakan kondisi yang sangat favorable bagi attacker</t>
    </r>
  </si>
  <si>
    <r>
      <rPr>
        <b/>
        <sz val="10"/>
        <color theme="1"/>
        <rFont val="Montserrat"/>
      </rPr>
      <t>Rendah</t>
    </r>
    <r>
      <rPr>
        <sz val="10"/>
        <color theme="1"/>
        <rFont val="Montserrat"/>
      </rPr>
      <t xml:space="preserve"> — perusahaan tidak dapat mentolerir kondisi ini lebih dari jangka waktu yang sangat pendek; nilai residual wajib diturunkan ke ≤ 6 dalam waktu sesingkat mungkin. 
Sebagai syarat minimum toleransi, organisasi wajib memastikan telah tersedia: (1) inventarisasi lengkap seluruh service yang berjalan di production beserta status owner dan hasil asesmen risiko aksesnya, dan (2) isolasi jaringan segera terhadap orphaned service yang teridentifikasi memiliki akses ke internal API kritis dan database sensitif hingga ownership dan patch status dapat diverifikasi</t>
    </r>
  </si>
  <si>
    <t>(1) Lakukan isolasi jaringan segera terhadap seluruh orphaned service yang teridentifikasi untuk memutus akses ke internal API kritis dan database sensitif sambil investigasi berlangsung; (2) lakukan forensic review terhadap log akses orphaned service untuk mengidentifikasi apakah sudah ada aktivitas mencurigakan yang belum pernah terdeteksi; (3) rotasi segera seluruh credential dan API key yang digunakan oleh orphaned service sebagai tindakan pencegahan terhadap penggunaan credential yang mungkin sudah dikompromasi; (4) eskalasi kepada manajemen senior sebagai insiden keamanan potensial yang memerlukan investigasi forensik sebelum menentukan apakah compromise sudah terjadi</t>
  </si>
  <si>
    <t>Lakukan discovery segera terhadap seluruh service yang berjalan di production; tetapkan owner atau decommission untuk setiap service yang teridentifikasi tanpa owner; implementasi prosedur decommissioning formal; isolasi orphaned service dari infrastruktur kritis</t>
  </si>
  <si>
    <t>Orphaned service dengan akses ke infrastruktur kritis, credential tidak dirotasi, dependency tidak di-update, dan tidak ada yang tahu apakah sudah pernah dibobol — kondisi ini merupakan finding kritis yang memerlukan tindakan segera bahkan sebelum seluruh mitigasi formal selesai diimplementasikan, status New - Open dan menjadi prioritas utama absolut untuk segera dilakukan discovery dan isolasi</t>
  </si>
  <si>
    <t>Personel App Development berkoordinasi dengan Personel IT Core Development, Personel DevSecOps, dan Personel IT Infra - Sysadmin, Personel IT Security Analyst</t>
  </si>
  <si>
    <t xml:space="preserve"> - Lakukan service discovery menyeluruh dan inventarisasi lengkap production — scan seluruh environment production untuk mengidentifikasi semua service yang berjalan termasuk yang tidak terdokumentasi; untuk setiap service yang teridentifikasi tanpa owner, lakukan asesmen risiko akses segera dan kategorikan sebagai decommission atau assign owner; jadikan inventarisasi lengkap ini sebagai living document yang diperbarui setiap ada perubahan
 - Isolasi dan remediasi orphaned service secara bertahap berdasarkan risiko akses — prioritaskan isolasi pada service yang memiliki akses ke internal API kritis dan database sensitif; rotasi semua credential dan API key; update seluruh dependency ke versi aman; putuskan akses yang tidak diperlukan; baru kemudian tentukan apakah service di-decommission atau di-assign ke owner baru
 - Implementasi prosedur decommissioning formal yang terintegrasi ke offboarding — dokumentasikan prosedur yang mewajibkan seluruh service didecommission atau di-transfer ownernya saat project selesai atau developer resign; integrasikan sebagai checklist wajib dalam proses offboarding developer dan project closure yang tidak dapat dilewati
 - Tetapkan service ownership registry sebagai kontrol berkelanjutan — buat dan maintain registry yang mencatat setiap service beserta owner, tanggal terakhir diperbarui, status patch, dan jadwal review berkala; tetapkan bahwa tidak ada service yang boleh berjalan di production tanpa owner yang terdefinisi lebih dari 30 hari</t>
  </si>
  <si>
    <r>
      <t xml:space="preserve">Network Resilience &amp; Single Point of Failure – Infrastruktur jaringan tanpa redundansi memadai dan kondisi </t>
    </r>
    <r>
      <rPr>
        <b/>
        <sz val="10"/>
        <color theme="1"/>
        <rFont val="Montserrat"/>
      </rPr>
      <t>perangkat yang sudah end-of-life/end-of-support</t>
    </r>
    <r>
      <rPr>
        <sz val="10"/>
        <color theme="1"/>
        <rFont val="Montserrat"/>
      </rPr>
      <t xml:space="preserve"> berpotensi mengakibatkan total outage yang menghentikan operasional bisnis dan berdampak pada kepercayaan serta retensi nasabah</t>
    </r>
  </si>
  <si>
    <r>
      <t xml:space="preserve">Network Configuration Management Gap – Perubahan konfigurasi jaringan dilakukan </t>
    </r>
    <r>
      <rPr>
        <b/>
        <sz val="10"/>
        <color theme="1"/>
        <rFont val="Montserrat"/>
      </rPr>
      <t>tanpa change log, diagram jaringan outdated</t>
    </r>
    <r>
      <rPr>
        <sz val="10"/>
        <color theme="1"/>
        <rFont val="Montserrat"/>
      </rPr>
      <t>, tidak ada review akses dan log, serta keterbatasan knowledge tim mengakibatkan troubleshooting lambat dan kegagalan audit konfigurasi</t>
    </r>
  </si>
  <si>
    <r>
      <t xml:space="preserve">Akses tidak terotorisasi ke jaringan internal dari perangkat pribadi yang tidak dikelola berpotensi terjadi tanpa dapat dicegah atau direspons secara efektif — akibat tidak ada </t>
    </r>
    <r>
      <rPr>
        <b/>
        <sz val="10"/>
        <color theme="1"/>
        <rFont val="Montserrat"/>
      </rPr>
      <t>enforcement teknis BYOD policy</t>
    </r>
    <r>
      <rPr>
        <sz val="10"/>
        <color theme="1"/>
        <rFont val="Montserrat"/>
      </rPr>
      <t>, port LAN terbuka tanpa validasi perangkat, VPN pre-shared key tidak dirotasi, dan deteksi unmanaged device yang tidak ditindaklanjuti</t>
    </r>
  </si>
  <si>
    <t>Tidak ada enforcement teknis terhadap BYOD policy yang sudah ada sehingga larangan perangkat pribadi tidak memiliki dampak nyata; port LAN tidak dikontrol dengan 802.1X atau MAC filtering; WiFi internal hanya memerlukan password tanpa validasi perangkat terdaftar; VPN pre-shared key tidak pernah dirotasi dan tidak menggunakan certificate-based authentication; deteksi CrowdStrike terhadap perangkat unmanaged tidak memiliki prosedur tindak lanjut yang terdefinisi</t>
  </si>
  <si>
    <t>Perangkat pribadi yang terinfeksi malware dapat menjadi entry point lateral movement ke jaringan internal; data perusahaan dan data nasabah dapat diakses dari perangkat yang tidak memiliki kontrol keamanan yang memadai; VPN pre-shared key yang bocor memungkinkan akses jaringan internal dari perangkat manapun di luar kantor tanpa diketahui; tidak ada kemampuan remote wipe atau kontrol keamanan terhadap perangkat pribadi yang mengakses resource internal</t>
  </si>
  <si>
    <t>Lateral movement dari perangkat pribadi yang terinfeksi ke jaringan internal yang mengandung core system dan database sensitif; eksfiltrasi data melalui perangkat pribadi yang tidak memiliki DLP; akses jaringan internal melalui VPN menggunakan pre-shared key yang bocor dari perangkat tidak terdaftar; penyebaran malware dari perangkat pribadi ke perangkat resmi melalui jaringan yang sama</t>
  </si>
  <si>
    <t>Tidak ada enforcement teknis BYOD policy; port LAN terbuka tanpa 802.1X; WiFi tanpa device validation; VPN pre-shared key tidak dirotasi dan tanpa certificate auth; tidak ada VLAN isolation; deteksi unmanaged device tidak ditindaklanjuti; tidak ada NAC</t>
  </si>
  <si>
    <t>BYOD policy melarang perangkat pribadi di jaringan internal; WiFi memerlukan password; CrowdStrike mendeteksi unmanaged device; namun tidak ada enforcement teknis, port LAN terbuka, VPN pre-shared key tidak dirotasi, dan deteksi tidak ditindaklanjuti sehingga BYOD policy tidak efektif secara teknis</t>
  </si>
  <si>
    <t>A.8.20 – Keamanan jaringan; 
A.8.21 – Keamanan layanan jaringan; 
A.8.22 – Segregasi jaringan; 
A.5.9 – Inventaris informasi dan aset terkait lainnya</t>
  </si>
  <si>
    <r>
      <rPr>
        <b/>
        <sz val="10"/>
        <color theme="1"/>
        <rFont val="Montserrat"/>
      </rPr>
      <t>Rendah</t>
    </r>
    <r>
      <rPr>
        <sz val="10"/>
        <color theme="1"/>
        <rFont val="Montserrat"/>
      </rPr>
      <t xml:space="preserve"> — perusahaan tidak bersedia membiarkan perangkat tidak terdaftar mengakses jaringan internal yang mengandung core system dan data nasabah tanpa kontrol teknis yang efektif mengingat BYOD policy yang sudah ada tidak memiliki nilai perlindungan tanpa enforcement teknis</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</si>
  <si>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rotasi VPN pre-shared key segera dan implementasi certificate-based authentication sebagai kontrol paling mendesak mengingat pre-shared key yang tidak dirotasi adalah celah akses jaringan internal yang paling eksploitabel, dan (2) prosedur tindak lanjut yang terdefinisi untuk setiap deteksi perangkat unmanaged oleh CrowdStrike sehingga deteksi yang sudah ada dapat berfungsi sebagai kontrol detektif yang efektif</t>
    </r>
  </si>
  <si>
    <t>(1) Review segera seluruh deteksi perangkat unmanaged yang pernah dihasilkan CrowdStrike dan identifikasi perangkat yang masih aktif terkoneksi; blokir akses perangkat tersebut melalui firewall ACL atau switch port disable secara manual; (2) rotasi VPN pre-shared key segera sebagai tindakan pencegahan terhadap potensi pre-shared key yang sudah bocor; (3) lakukan review log jaringan untuk mengidentifikasi aktivitas mencurigakan dari perangkat unmanaged yang terdeteksi dalam periode terakhir; (4) eskalasi kepada manajemen dengan laporan bahwa perangkat unmanaged sudah pernah terdeteksi di jaringan internal tanpa ditindaklanjuti</t>
  </si>
  <si>
    <t>Rotasi VPN pre-shared key segera dan implementasi certificate-based auth; tetapkan prosedur tindak lanjut untuk deteksi CrowdStrike unmanaged; implementasi 802.1X pada port LAN kritis; evaluasi VLAN isolation untuk memisahkan perangkat tidak terdaftar</t>
  </si>
  <si>
    <t>BYOD policy dan CrowdStrike detection sudah tersedia namun tidak memiliki enforcement teknis dan deteksi tidak ditindaklanjuti, perangkat unmanaged sudah pernah terdeteksi di jaringan internal, VPN pre-shared key tidak dirotasi menjadi celah kritis, status In Progress dan menjadi prioritas utama untuk segera dirotasi VPN pre-shared key dan ditetapkan prosedur tindak lanjut deteksi</t>
  </si>
  <si>
    <t>Personel IT Infra - Network berkoordinasi dengan Personel Security Analyst dan Personel IT Governance</t>
  </si>
  <si>
    <t xml:space="preserve"> - Rotasi VPN pre-shared key segera dan implementasi certificate-based authentication — rotasi pre-shared key sebagai tindakan pencegahan darurat; susun roadmap migrasi ke certificate-based authentication yang memastikan hanya perangkat terdaftar dengan certificate valid yang dapat terkoneksi melalui VPN; eliminasi ketergantungan pada pre-shared key yang mudah bocor
 - Tetapkan dan jalankan prosedur tindak lanjut deteksi unmanaged device CrowdStrike — definisikan prosedur yang jelas: setiap deteksi unmanaged device wajib diidentifikasi pemiliknya, dievaluasi risikonya, dan diblokir aksesnya jika tidak dapat diverifikasi sebagai aset resmi; jadikan sebagai SOP yang tidak dapat diabaikan
 - Implementasi 802.1X pada port LAN kritis untuk validasi perangkat — konfigurasikan 802.1X Network Access Control pada port LAN yang terhubung ke area dengan akses ke core system dan data sensitif; hanya perangkat dengan certificate atau credential yang valid yang dapat terkoneksi melalui port tersebut
 - Evaluasi dan implementasi VLAN isolation untuk perangkat tidak terdaftar — pisahkan jaringan untuk perangkat tidak terdaftar dari jaringan yang mengandung resource kritis melalui VLAN isolation; perangkat yang tidak dapat diverifikasi hanya mendapat akses internet tanpa akses ke jaringan internal</t>
  </si>
  <si>
    <r>
      <t xml:space="preserve">Fasilitasi reconnaissance infrastruktur kritis oleh threat actor melalui eksposur dokumen maintenance report berpotensi terjadi tanpa terdeteksi — akibat </t>
    </r>
    <r>
      <rPr>
        <b/>
        <sz val="10"/>
        <color theme="1"/>
        <rFont val="Montserrat"/>
      </rPr>
      <t>dokumen</t>
    </r>
    <r>
      <rPr>
        <sz val="10"/>
        <color theme="1"/>
        <rFont val="Montserrat"/>
      </rPr>
      <t xml:space="preserve"> berisi topologi jaringan, IP scheme, versi firmware, dan jadwal maintenance window</t>
    </r>
    <r>
      <rPr>
        <b/>
        <sz val="10"/>
        <color theme="1"/>
        <rFont val="Montserrat"/>
      </rPr>
      <t xml:space="preserve"> tidak dilindungi enkripsi, tidak diklasifikasikan konsisten</t>
    </r>
    <r>
      <rPr>
        <sz val="10"/>
        <color theme="1"/>
        <rFont val="Montserrat"/>
      </rPr>
      <t>, dan tidak memiliki audit trail</t>
    </r>
  </si>
  <si>
    <t>Kebijakan klasifikasi dokumen tidak diimplementasikan secara konsisten sehingga maintenance report tidak diperlakukan sesuai tingkat sensitifitasnya; dokumen tidak dilindungi enkripsi atau password sehingga dapat dibaca siapapun yang mendapatkan akses ke file; tidak ada audit trail yang mencatat akses atau unduhan dokumen; kontrol teknis tidak diterapkan terhadap dokumen yang diserahkan kepada vendor meskipun NDA sudah tersedia</t>
  </si>
  <si>
    <t>Threat actor yang mendapatkan akses ke dokumen maintenance report memiliki informasi infrastruktur yang jauh lebih akurat dan komprehensif dari hasil reconnaissance mandiri; topologi jaringan dan IP scheme memungkinkan perancangan serangan lateral movement yang lebih efisien; versi firmware yang diketahui memungkinkan identifikasi CVE yang relevan tanpa perlu melakukan scanning yang dapat terdeteksi; jadwal maintenance window memberikan informasi kapan sistem dalam kondisi paling vulnerable</t>
  </si>
  <si>
    <t>Eksposur dokumen kepada vendor atau pihak ketiga yang tidak mematuhi NDA; akses tidak terotorisasi terhadap dokumen oleh personil internal yang tidak berkepentingan; dokumen yang tidak terenkripsi dalam email atau media penyimpanan yang hilang atau dicuri; insider yang menyalin dokumen tanpa dapat terdeteksi akibat tidak adanya audit trail</t>
  </si>
  <si>
    <t>Tidak ada enkripsi atau password pada dokumen; klasifikasi tidak diimplementasikan konsisten; tidak ada audit trail akses dokumen; tidak ada kontrol teknis terhadap dokumen yang diberikan ke vendor; NDA tidak didukung kontrol teknis</t>
  </si>
  <si>
    <t>Kontrol akses pada lokasi penyimpanan sudah diterapkan; kebijakan klasifikasi dokumen sudah tersedia; NDA dengan vendor sudah ditandatangani; namun enkripsi, audit trail, dan implementasi klasifikasi yang konsisten belum ada sehingga perlindungan dokumen tidak memadai</t>
  </si>
  <si>
    <t>8.1 – Perencanaan dan pengendalian operasional; 
5.12 – Klasifikasi informasi</t>
  </si>
  <si>
    <t>A.5.12 – Klasifikasi informasi; 
A.5.13 – Penandaan informasi; 
A.5.14 – Transfer informasi; 
A.5.33 – Perlindungan rekaman</t>
  </si>
  <si>
    <r>
      <rPr>
        <b/>
        <sz val="10"/>
        <color theme="1"/>
        <rFont val="Montserrat"/>
      </rPr>
      <t>Rendah</t>
    </r>
    <r>
      <rPr>
        <sz val="10"/>
        <color theme="1"/>
        <rFont val="Montserrat"/>
      </rPr>
      <t xml:space="preserve"> — perusahaan tidak bersedia membiarkan dokumen yang mengandung peta infrastruktur kritis beredar tanpa enkripsi dan audit trail mengingat eksposur informasi ini secara langsung memfasilitasi perencanaan serangan yang jauh lebih efektif terhadap infrastruktur yang sama</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</si>
  <si>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enkripsi atau password protection pada seluruh dokumen maintenance report yang mengandung informasi infrastruktur kritis, dan (2) implementasi label klasifikasi Confidential atau Restricted secara konsisten pada seluruh dokumen sejenis sebagai panduan penanganan yang tepat bagi seluruh personil</t>
    </r>
  </si>
  <si>
    <t>(1) Lakukan inventarisasi segera terhadap seluruh salinan dokumen maintenance report yang beredar — identifikasi siapa yang memiliki akses, versi mana yang sudah didistribusikan ke vendor, dan melalui channel apa distribusi dilakukan; (2) review log akses yang tersedia untuk mengidentifikasi apakah ada akses yang tidak wajar terhadap dokumen dalam periode terakhir meskipun audit trail tidak lengkap; (3) minta seluruh vendor yang pernah menerima dokumen untuk mengkonfirmasi penghapusan salinan yang dimiliki dan dokumentasikan konfirmasi tersebut; (4) eskalasi kepada manajemen dengan laporan scope distribusi dokumen dan potensi eksposur informasi infrastruktur sebagai justifikasi urgensi implementasi enkripsi dan audit trail</t>
  </si>
  <si>
    <t>Implementasi enkripsi atau password protection pada seluruh dokumen maintenance report; terapkan label klasifikasi secara konsisten; aktifkan audit trail akses dokumen; implementasi kontrol teknis terhadap dokumen yang diserahkan ke vendor</t>
  </si>
  <si>
    <t>Kontrol akses penyimpanan, kebijakan klasifikasi, dan NDA vendor sudah tersedia sebagai fondasi yang ada namun enkripsi, audit trail, dan implementasi klasifikasi konsisten belum ada sehingga dokumen berisi peta infrastruktur kritis tidak terlindungi secara memadai, status In Progress dan menjadi prioritas untuk segera diimplementasikan enkripsi dan diterapkan klasifikasi secara konsisten</t>
  </si>
  <si>
    <t>Personel IT Governance berkoordinasi dengan Personel IT Infra - Sysadmin dan Personel Security Analyst</t>
  </si>
  <si>
    <t xml:space="preserve"> - Implementasi enkripsi atau password protection pada seluruh dokumen maintenance report — terapkan enkripsi pada file dokumen yang mengandung topologi jaringan, IP scheme, versi firmware, dan jadwal maintenance; gunakan password yang berbeda per dokumen dan distribusikan melalui channel terpisah yang aman; pastikan dokumen lama yang sudah beredar juga diproteksi atau ditarik dan digantikan versi yang terproteksi
 - Terapkan label klasifikasi secara konsisten pada seluruh dokumen infrastruktur kritis — review seluruh dokumen maintenance report yang ada dan terapkan label Confidential atau Restricted sesuai kebijakan klasifikasi yang sudah tersedia; sosialisasikan kepada seluruh personil IT bahwa dokumen berlabel tersebut harus diperlakukan dengan kontrol penanganan yang terdefinisi dalam kebijakan
 - Aktifkan audit trail akses dan unduhan dokumen — konfigurasikan platform penyimpanan dokumen yang ada untuk mencatat setiap akses, unduhan, dan modifikasi dokumen maintenance report; review audit trail secara berkala untuk mengidentifikasi pola akses yang tidak wajar
 - Implementasi kontrol teknis terhadap dokumen yang diserahkan ke vendor — buat prosedur yang mewajibkan dokumen yang diserahkan ke vendor dilindungi enkripsi, diberi watermark identitas penerima, dan dibatasi hanya informasi yang benar-benar diperlukan vendor untuk melaksanakan tugasnya; dokumentasikan seluruh distribusi dokumen ke pihak ketiga sebagai audit trail</t>
  </si>
  <si>
    <r>
      <t>Ketidaktersediaan</t>
    </r>
    <r>
      <rPr>
        <b/>
        <sz val="10"/>
        <color theme="1"/>
        <rFont val="Montserrat"/>
      </rPr>
      <t xml:space="preserve"> rekaman contact center</t>
    </r>
    <r>
      <rPr>
        <sz val="10"/>
        <color theme="1"/>
        <rFont val="Montserrat"/>
      </rPr>
      <t xml:space="preserve"> saat dibutuhkan untuk pembuktian hukum, permintaan regulator, atau penyelesaian sengketa nasabah berpotensi terjadi — akibat </t>
    </r>
    <r>
      <rPr>
        <b/>
        <sz val="10"/>
        <color theme="1"/>
        <rFont val="Montserrat"/>
      </rPr>
      <t>penyimpanan pada harddisk eksternal tanpa salinan cadangan</t>
    </r>
    <r>
      <rPr>
        <sz val="10"/>
        <color theme="1"/>
        <rFont val="Montserrat"/>
      </rPr>
      <t>, tidak pernah diverifikasi integritasnya, dan kondisi media tidak diketahui</t>
    </r>
  </si>
  <si>
    <t>Rekaman contact center disimpan hanya pada harddisk eksternal sebagai single point of failure tanpa salinan cadangan; tidak pernah dilakukan restore test untuk memverifikasi integritas dan kemampuan pemutaran ulang rekaman; tidak ada inventarisasi yang mendokumentasikan rekaman mana tersimpan di harddisk mana; media penyimpanan tidak pernah dirotasi atau diperbarui; kebijakan retensi tidak mendefinisikan periode minimum secara terukur</t>
  </si>
  <si>
    <t>Rekaman yang dibutuhkan sebagai bukti sengketa nasabah tidak dapat diakses karena data corrupt atau harddisk rusak; ketidakmampuan memenuhi permintaan regulator OJK untuk menyerahkan rekaman percakapan dalam waktu yang ditentukan; kekalahan dalam sengketa hukum akibat tidak tersedianya bukti rekaman yang seharusnya ada; pelanggaran kewajiban kepatuhan akibat rekaman yang wajib disimpan tidak dapat dibuktikan masih tersedia</t>
  </si>
  <si>
    <t>Kerusakan harddisk eksternal yang mengakibatkan seluruh rekaman hilang permanen; data corruption pada harddisk yang tidak terdeteksi hingga rekaman dibutuhkan; kehilangan fisik harddisk eksternal akibat tidak ada kontrol penyimpanan yang memadai; tuntutan hukum atau sanksi regulasi akibat tidak dapat menyerahkan rekaman yang diminta</t>
  </si>
  <si>
    <t>Harddisk eksternal sebagai single point of failure tanpa salinan cadangan; tidak pernah ada restore test; tidak ada inventarisasi rekaman; tidak ada rotasi media; kondisi harddisk tidak diketahui; kebijakan retensi tidak terukur; durasi penyimpanan tidak terdokumentasi</t>
  </si>
  <si>
    <t>Sistem perekaman contact center aktif beroperasi dan rekaman tersimpan di harddisk eksternal; namun tidak ada restore test, inventarisasi, salinan cadangan, rotasi media, dan kebijakan retensi yang terukur sehingga ketersediaan rekaman saat dibutuhkan tidak dapat dijamin</t>
  </si>
  <si>
    <t>A.8.13 – Backup informasi; 
A.5.33 – Perlindungan rekaman; 
A.5.31 – Persyaratan hukum, undang-undang, peraturan dan kontrak</t>
  </si>
  <si>
    <r>
      <rPr>
        <b/>
        <sz val="10"/>
        <color theme="1"/>
        <rFont val="Montserrat"/>
      </rPr>
      <t>Rendah</t>
    </r>
    <r>
      <rPr>
        <sz val="10"/>
        <color theme="1"/>
        <rFont val="Montserrat"/>
      </rPr>
      <t xml:space="preserve"> — perusahaan tidak bersedia membiarkan rekaman contact center yang berfungsi sebagai bukti hukum dan pemenuhan kewajiban regulasi disimpan tanpa verifikasi integritas dan salinan cadangan mengingat ketidaktersediaan rekaman saat dibutuhkan dapat mengakibatkan kerugian hukum dan sanksi regulasi yang tidak dapat dipulihkan</t>
    </r>
  </si>
  <si>
    <t>Sedang — perusahaan masih dapat beroperasi selama nilai risiko residual ≤ 9; jika residual masih &gt;9, wajib eskalasi ke manajemen senior dan Legal Counsel. 
Sebagai syarat minimum toleransi, organisasi wajib memastikan telah tersedia: (1) restore test yang telah dilaksanakan dan terdokumentasi untuk memverifikasi bahwa rekaman yang tersimpan saat ini masih dapat diputar ulang, dan (2) salinan cadangan dari seluruh harddisk eksternal yang ada sebagai proteksi minimum terhadap single point of failure</t>
  </si>
  <si>
    <t>(1) Lakukan pemeriksaan segera terhadap kondisi fisik seluruh harddisk eksternal dan uji kemampuan pemutaran ulang sampel rekaman untuk mengidentifikasi apakah sudah ada data yang corrupt atau tidak dapat diakses; (2) jika ditemukan harddisk yang bermasalah, aktifkan prosedur data recovery darurat menggunakan layanan forensik profesional sebelum kerusakan bertambah parah; (3) buat salinan darurat dari seluruh harddisk yang masih berfungsi ke media penyimpanan yang berbeda sebagai langkah pengamanan segera; (4) eskalasi kepada manajemen dan Legal Counsel dengan laporan scope rekaman yang berpotensi tidak dapat diakses dan implikasi hukum serta regulasi yang ditimbulkan</t>
  </si>
  <si>
    <t>Lakukan restore test segera untuk memverifikasi integritas rekaman yang ada; buat salinan cadangan ke media yang lebih andal; susun inventarisasi lengkap rekaman; tetapkan kebijakan retensi yang terukur dan prosedur backup yang terjadwal</t>
  </si>
  <si>
    <t>Sistem perekaman aktif berjalan namun seluruh gap kontrol terbuka sepenuhnya — tidak ada restore test, inventarisasi, salinan cadangan, dan kondisi harddisk tidak diketahui, rekaman yang seharusnya menjadi bukti hukum dan pemenuhan kewajiban regulasi tidak dapat dijamin tersedia, status New - Open dan menjadi prioritas utama untuk segera dilakukan restore test dan dibuat salinan cadangan sebelum terjadi kerusakan harddisk yang tidak dapat dipulihkan</t>
  </si>
  <si>
    <t>Personel IT Infra - Sysadmin berkoordinasi dengan Personel IT Governance, Legal Counsel, dan unit Contact Center</t>
  </si>
  <si>
    <t xml:space="preserve"> - Lakukan restore test segera dan inventarisasi seluruh harddisk eksternal — hubungkan seluruh harddisk eksternal dan verifikasi kondisi fisik serta kemampuan baca data; putar ulang sampel rekaman dari setiap harddisk untuk mengidentifikasi yang masih berfungsi dan yang sudah bermasalah; dokumentasikan rekaman mana tersimpan di harddisk mana sebagai inventarisasi pertama yang harus segera ada
 - Buat salinan cadangan segera ke media yang lebih andal — salin seluruh rekaman dari harddisk eksternal ke media penyimpanan yang lebih andal dan memiliki redundansi seperti NAS dengan RAID atau cloud storage; lakukan ini sebelum harddisk yang bermasalah mengalami kerusakan total yang tidak dapat dipulihkan; prioritaskan harddisk yang kondisinya paling mengkhawatirkan
 - Tetapkan kebijakan retensi rekaman yang terukur dan prosedur backup terjadwal — definisikan periode minimum penyimpanan rekaman berdasarkan ketentuan regulasi OJK dan kebutuhan hukum; susun prosedur backup terjadwal dengan verifikasi integritas berkala; tetapkan standar media penyimpanan yang wajib digunakan untuk rekaman contact center ke depannya
 - Evaluasi dan implementasi solusi penyimpanan rekaman yang lebih permanen — kaji opsi penyimpanan jangka panjang yang lebih andal seperti tape backup yang sudah direncanakan, NAS dengan redundansi, atau cloud archival storage; implementasikan solusi yang memberikan redundansi, verifikasi integritas otomatis, dan audit trail akses yang memadai untuk memenuhi kewajiban hukum dan regulasi</t>
  </si>
  <si>
    <r>
      <t xml:space="preserve">Kerugian finansial berlapis, kerusakan reputasi permanen, dan erosi kepercayaan nasabah berpotensi terjadi — akibat tidak adanya </t>
    </r>
    <r>
      <rPr>
        <b/>
        <sz val="10"/>
        <color theme="1"/>
        <rFont val="Montserrat"/>
      </rPr>
      <t>playbook triple extortion</t>
    </r>
    <r>
      <rPr>
        <sz val="10"/>
        <color theme="1"/>
        <rFont val="Montserrat"/>
      </rPr>
      <t xml:space="preserve"> dan</t>
    </r>
    <r>
      <rPr>
        <b/>
        <sz val="10"/>
        <color theme="1"/>
        <rFont val="Montserrat"/>
      </rPr>
      <t xml:space="preserve"> crisis communication yang tervalidasi</t>
    </r>
    <r>
      <rPr>
        <sz val="10"/>
        <color theme="1"/>
        <rFont val="Montserrat"/>
      </rPr>
      <t>, backup yang tidak terenkripsi memungkinkan eksfiltrasi data medis, serta IRP yang belum pernah diuji sehingga respons insiden tidak dapat diandalkan</t>
    </r>
  </si>
  <si>
    <t>Backup tidak dilindungi enkripsi dan password sehingga dapat dieksfiltrasi oleh attacker tanpa hambatan teknis sebelum enkripsi ransomware dilakukan; IRP tersedia namun belum pernah diuji sehingga kemampuan respons aktual tidak tervalidasi; tidak ada playbook khusus untuk skenario triple extortion yang mencakup koordinasi respons terhadap tiga vektor tekanan sekaligus; tidak ada prosedur crisis communication untuk notifikasi nasabah yang terkena dampak; tidak ada cyber insurance sebagai jaring pengaman finansial</t>
  </si>
  <si>
    <t>Operasional lumpuh akibat enkripsi sistem; data medis nasabah yang berhasil dieksfiltrasi menjadi leverage yang sangat efektif karena tidak terenkripsi at rest pada sistem legacy; nasabah yang dihubungi langsung oleh attacker menciptakan tekanan reputasi yang tidak dapat dikendalikan; kerugian finansial berlapis dari biaya pemulihan, potensi denda regulasi, dan tuntutan hukum nasabah tanpa perlindungan cyber insurance; kepercayaan nasabah yang tererosi sulit dipulihkan mengingat sensitifitas data medis</t>
  </si>
  <si>
    <t>Grup ransomware yang secara aktif menargetkan industri asuransi Asia dengan data medis nasabah sebagai leverage; triple extortion yang menciptakan tiga sumber tekanan simultan yang melampaui kapasitas respons organisasi yang tidak terlatih; eksfiltrasi backup yang tidak terenkripsi sebagai sumber data untuk extortion tanpa perlu mendekripsi data yang sudah di-encrypt</t>
  </si>
  <si>
    <t>Backup tidak terenkripsi dan tanpa password; data medis legacy tidak terenkripsi at rest; IRP belum pernah diuji; tidak ada playbook triple extortion; tidak ada crisis communication plan; tidak ada cyber insurance; belum pernah ada tabletop exercise ransomware</t>
  </si>
  <si>
    <t>CrowdStrike EDR aktif; immutable backup tersedia; network segmentation diterapkan; enkripsi sebagian sistem sudah ada; IRP tersedia; namun backup tidak terenkripsi, IRP tidak tervalidasi, tidak ada playbook triple extortion, tidak ada crisis communication, dan tidak ada cyber insurance</t>
  </si>
  <si>
    <t>A.5.26 – Respons terhadap insiden keamanan informasi; 
A.5.29 – Keamanan informasi selama gangguan; 
A.8.13 – Backup informasi; 
A.5.34 – Privasi dan perlindungan informasi pribadi</t>
  </si>
  <si>
    <r>
      <rPr>
        <b/>
        <sz val="10"/>
        <color theme="1"/>
        <rFont val="Montserrat"/>
      </rPr>
      <t>Rendah</t>
    </r>
    <r>
      <rPr>
        <sz val="10"/>
        <color theme="1"/>
        <rFont val="Montserrat"/>
      </rPr>
      <t xml:space="preserve"> — perusahaan tidak bersedia membiarkan skenario triple extortion yang menargetkan data medis nasabah tidak memiliki playbook dan crisis communication yang tervalidasi mengingat dampak reputasi dari nasabah yang dihubungi langsung oleh attacker bersifat irreversible dan melampaui kemampuan pemulihan finansial semata</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</si>
  <si>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enkripsi dan password protection pada seluruh backup sebagai kontrol yang langsung mengeliminasi kemudahan eksfiltrasi data oleh attacker, dan (2) playbook triple extortion yang terdokumentasi mencakup koordinasi respons terhadap tiga vektor tekanan sekaligus termasuk prosedur notifikasi nasabah</t>
    </r>
  </si>
  <si>
    <t>(1) Aktifkan IRP segera dan isolasi sistem yang terkompromi untuk membatasi pergerakan lateral; manfaatkan CrowdStrike untuk identifikasi scope kompromi dan indikasi eksfiltrasi data yang sudah terjadi; (2) aktifkan crisis management team yang melibatkan manajemen senior, Legal Counsel, dan tim komunikasi untuk mengoordinasikan respons terhadap tiga vektor tekanan secara simultan; (3) siapkan prosedur notifikasi nasabah darurat mengacu pada kewajiban UU PDP dan koordinasikan dengan regulator OJK sebelum attacker mendahului menghubungi nasabah; (4) jangan bayar ransom tanpa konsultasi Legal Counsel dan pertimbangan dampak hukum — manfaatkan immutable backup untuk pemulihan sistem</t>
  </si>
  <si>
    <t>Enkripsi dan password protection pada seluruh backup segera; susun playbook triple extortion; uji IRP melalui tabletop exercise; kembangkan prosedur crisis communication untuk notifikasi nasabah; evaluasi cyber insurance</t>
  </si>
  <si>
    <t>Personel Security Analyst berkoordinasi dengan Personel IT Governance, Legal Counsel, dan Personel CTIO</t>
  </si>
  <si>
    <t>CrowdStrike EDR, immutable backup, dan network segmentation sudah memberikan fondasi pertahanan yang memadai, namun backup tidak terenkripsi memudahkan eksfiltrasi, IRP tidak tervalidasi, tidak ada playbook triple extortion dan crisis communication, serta tidak ada cyber insurance sehingga dampak jika serangan berhasil sangat besar dan tidak terlindungi, status In Progress dan menjadi prioritas untuk segera dienkripsi backup dan disusun playbook triple extortion</t>
  </si>
  <si>
    <t xml:space="preserve"> - Enkripsi dan password protection pada seluruh backup segera — implementasi enkripsi pada seluruh backup file yang saat ini tidak terproteksi; ini langsung mengeliminasi kemudahan eksfiltrasi data backup oleh attacker sebagai sumber leverage triple extortion; manfaatkan kapabilitas enkripsi backup yang tersedia di Veeam yang sudah digunakan
 - Susun playbook triple extortion yang mencakup koordinasi tiga vektor tekanan — dokumentasikan prosedur respons yang secara eksplisit menangani tiga skenario sekaligus: enkripsi sistem, ancaman publikasi data, dan kontak langsung ke nasabah; definisikan decision tree yang jelas untuk setiap eskalasi dan pastikan seluruh pemangku kepentingan termasuk Legal Counsel dan manajemen senior memahami peran masing-masing
 - Kembangkan prosedur crisis communication untuk notifikasi nasabah — susun template dan prosedur untuk menghubungi nasabah secara proaktif sebelum attacker mendahului; koordinasikan dengan Legal Counsel untuk memastikan konten notifikasi sesuai kewajiban UU PDP; pastikan prosedur dapat dieksekusi dalam hitungan jam bukan hari
 - Laksanakan tabletop exercise ransomware dan evaluasi cyber insurance — simulasikan skenario triple extortion dengan melibatkan seluruh pemangku kepentingan untuk mengidentifikasi gap respons yang tidak terlihat dalam dokumen; sekaligus evaluasi opsi cyber insurance sebagai jaring pengaman finansial untuk biaya pemulihan dan potensi denda regulasi</t>
  </si>
  <si>
    <r>
      <t xml:space="preserve">Perilaku keamanan personil yang tidak berubah secara nyata meskipun program awareness berjalan berpotensi terus berlanjut — akibat </t>
    </r>
    <r>
      <rPr>
        <b/>
        <sz val="10"/>
        <color theme="1"/>
        <rFont val="Montserrat"/>
      </rPr>
      <t>tidak adanya KPI keamanan per departemen,</t>
    </r>
    <r>
      <rPr>
        <sz val="10"/>
        <color theme="1"/>
        <rFont val="Montserrat"/>
      </rPr>
      <t xml:space="preserve"> tidak adanya akuntabilitas kepala departemen non-IT, dan hasil simulasi phishing yang tidak dimanfaatkan sebagai dasar tindak lanjut</t>
    </r>
  </si>
  <si>
    <t>KPI keamanan informasi tidak ditetapkan untuk departemen non-IT sehingga tidak ada target yang mendorong perubahan perilaku; kepala departemen tidak memiliki akuntabilitas formal terhadap perilaku keamanan timnya; hasil simulasi phishing yang sudah tersedia tidak dimanfaatkan sebagai KPI atau dasar tindak lanjut; tidak ada Security Champion di departemen non-IT yang dapat menjadi agen perubahan perilaku; tidak ada konsekuensi bagi personil yang gagal dalam pengujian keamanan</t>
  </si>
  <si>
    <t>Personil departemen non-IT tetap rentan terhadap serangan phishing dan social engineering karena perilaku tidak berubah; tanggung jawab keamanan informasi yang terpusat di IT menciptakan false sense of security bahwa keamanan adalah urusan IT semata; insiden keamanan yang dipicu oleh perilaku personil non-IT tidak dapat dicegah secara efektif karena tidak ada enforcement; metrik awareness yang dilaporkan kepada manajemen tidak mencerminkan kondisi kerentanan perilaku yang sesungguhnya</t>
  </si>
  <si>
    <t>Serangan phishing yang berhasil karena personil non-IT tidak terlatih secara efektif melalui pengujian nyata; social engineering yang memanfaatkan personil yang tidak memiliki awareness terhadap risiko spesifik di perannya; insider threat yang tidak terdeteksi karena tidak ada monitoring perilaku keamanan per departemen</t>
  </si>
  <si>
    <t>Tidak ada KPI keamanan per departemen; tidak ada akuntabilitas kepala departemen; hasil simulasi phishing tidak dimanfaatkan; tidak ada Security Champion; tidak ada tindak lanjut untuk yang gagal; awareness dianggap urusan IT saja</t>
  </si>
  <si>
    <t>Program awareness berkala sudah berjalan; simulasi phishing pernah dilakukan; awareness bahwa keamanan adalah tanggung jawab bersama sudah ada; namun tidak ada KPI per departemen, tidak ada enforcement, dan hasil simulasi tidak dimanfaatkan</t>
  </si>
  <si>
    <t>7.2 – Kompetensi; 
7.3 – Kesadaran; 
5.1 – Kepemimpinan dan komitmen</t>
  </si>
  <si>
    <t>A.6.3 – Kesadaran, pendidikan dan pelatihan keamanan informasi; 
A.5.2 – Peran dan tanggung jawab keamanan informasi; 
A.5.36 – Kepatuhan terhadap kebijakan dan standar keamanan informasi</t>
  </si>
  <si>
    <r>
      <rPr>
        <b/>
        <sz val="10"/>
        <color theme="1"/>
        <rFont val="Montserrat"/>
      </rPr>
      <t>Sedang</t>
    </r>
    <r>
      <rPr>
        <sz val="10"/>
        <color theme="1"/>
        <rFont val="Montserrat"/>
      </rPr>
      <t xml:space="preserve"> — perusahaan dapat mentolerir ketidaksempurnaan program awareness dalam jangka pendek selama program dasar berjalan, namun tidak bersedia membiarkan KPI keamanan hanya berupa metrik kehadiran tanpa pengukuran perubahan perilaku nyata mengingat personil non-IT adalah vektor serangan yang paling sering dieksploitasi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</si>
  <si>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KPI keamanan informasi yang ditetapkan minimal untuk departemen dengan akses ke data sensitif yang mengukur perubahan perilaku bukan hanya kehadiran, dan (2) pemanfaatan hasil simulasi phishing sebagai dasar tindak lanjut yang terdokumentasi terhadap personil yang teridentifikasi rentan</t>
    </r>
  </si>
  <si>
    <t>(1) Identifikasi departemen dengan tingkat kegagalan simulasi phishing tertinggi berdasarkan data yang sudah ada dan tetapkan program remedial training segera untuk personil yang paling rentan; (2) eskalasi kepada kepala departemen terdampak dengan laporan konkret tingkat kerentanan timnya sebagai justifikasi urgensi keterlibatan aktif mereka; (3) terapkan tindak lanjut segera terhadap personil yang gagal simulasi phishing sebagai signal bahwa ada konsekuensi nyata; (4) eskalasi kepada manajemen senior dengan laporan bahwa program awareness saat ini tidak menghasilkan perubahan perilaku yang terukur dan jadikan sebagai justifikasi penetapan KPI keamanan per departemen</t>
  </si>
  <si>
    <t>Tetapkan KPI keamanan informasi per departemen yang mengukur perubahan perilaku; manfaatkan hasil simulasi phishing sebagai dasar tindak lanjut; tunjuk Security Champion per departemen; tetapkan akuntabilitas kepala departemen terhadap perilaku keamanan timnya</t>
  </si>
  <si>
    <t>Program awareness dan simulasi phishing sudah berjalan sebagai fondasi yang baik namun hasilnya tidak dimanfaatkan dan tidak ada KPI per departemen sehingga tidak ada perubahan perilaku yang terukur, awareness masih dianggap tanggung jawab IT semata, status In Progress dan menjadi prioritas untuk segera ditetapkan KPI keamanan per departemen dan dimanfaatkan hasil simulasi phishing yang sudah ada</t>
  </si>
  <si>
    <t>Personel CTIO berkoordinasi dengan Personel IT Governance, Human Capital, dan seluruh kepala departemen</t>
  </si>
  <si>
    <t xml:space="preserve"> - Tetapkan KPI keamanan informasi per departemen yang mengukur perubahan perilaku — definisikan KPI yang mengukur outcome nyata seperti tingkat klik phishing per departemen, tingkat pelaporan email mencurigakan, dan kepatuhan terhadap kebijakan keamanan; integrasikan ke dalam performance review kepala departemen sebagai sinyal bahwa keamanan informasi adalah tanggung jawab bersama yang diukur dan dievaluasi
 - Manfaatkan hasil simulasi phishing yang sudah ada sebagai dasar tindak lanjut segera — analisis hasil simulasi phishing historis untuk mengidentifikasi departemen dan personil yang paling rentan; eksekusi program remedial training yang ditargetkan; dokumentasikan tindak lanjut sebagai bukti bahwa hasil pengujian digunakan secara aktif bukan hanya disimpan
 - Tunjuk Security Champion per departemen sebagai agen perubahan perilaku — identifikasi dan tunjuk personil yang paling sadar keamanan di setiap departemen sebagai Security Champion; definisikan peran dan tanggung jawabnya; berikan pelatihan tambahan agar dapat menjadi referensi keamanan pertama di departemennya sebelum eskalasi ke IT
 - Jadwalkan simulasi phishing berkala dengan mekanisme tindak lanjut yang terdefinisi — tetapkan frekuensi simulasi phishing minimal kuartalan dengan skenario yang diperbarui; definisikan prosedur tindak lanjut wajib yang mencakup remedial training bagi yang gagal dan reward bagi yang berhasil melaporkan; gunakan tren hasil simulasi sebagai KPI utama efektivitas program awareness</t>
  </si>
  <si>
    <r>
      <t xml:space="preserve">Peningkatan kapabilitas organisasi, pengurangan ketergantungan vendor, dan akselerasi transformasi digital berpotensi terwujud — melalui </t>
    </r>
    <r>
      <rPr>
        <b/>
        <sz val="10"/>
        <color theme="1"/>
        <rFont val="Montserrat"/>
      </rPr>
      <t>investasi program pengembangan kompetensi</t>
    </r>
    <r>
      <rPr>
        <sz val="10"/>
        <color theme="1"/>
        <rFont val="Montserrat"/>
      </rPr>
      <t xml:space="preserve"> terstruktur pada domain cybersecurity, data analytics, AI/ML, dan cloud yang justifikasinya sudah sangat kuat dari dampak gap yang sudah dirasakan nyata</t>
    </r>
  </si>
  <si>
    <t>Gap kompetensi pada domain cybersecurity, data analytics, AI/ML, dan cloud yang sudah menimbulkan dampak nyata pada seluruh dimensi operasional menciptakan justifikasi bisnis yang sangat kuat untuk investasi pengembangan kompetensi; ketergantungan pada vendor yang terus meningkat membuat biaya operasional semakin tinggi sementara kapabilitas internal tidak berkembang; rekrutmen talent dengan skill baru yang sangat mahal membuat investasi pengembangan personil existing jauh lebih efisien secara biaya</t>
  </si>
  <si>
    <t>Pengurangan ketergantungan pada vendor melalui internalisasi kapabilitas teknis yang saat ini harus dibeli dari luar; percepatan project delivery akibat personil memiliki skill yang dibutuhkan tanpa harus menunggu vendor; peningkatan kemampuan memaksimalkan tools yang sudah dibeli sehingga ROI investasi teknologi meningkat; postur keamanan yang lebih kuat melalui peningkatan kompetensi cybersecurity internal; kemampuan mengadopsi teknologi baru lebih cepat dari kompetitor</t>
  </si>
  <si>
    <t>Kompetitor yang lebih agresif dalam pengembangan kompetensi digital akan memiliki keunggulan adopsi teknologi yang semakin sulit dikejar; biaya rekrutmen talent dengan skill baru yang terus meningkat membuat window investasi pengembangan internal semakin bernilai; regulasi OJK yang mensyaratkan kapabilitas teknis tertentu mendorong kebutuhan kompetensi yang tidak dapat terus dipenuhi melalui vendor</t>
  </si>
  <si>
    <t>Belum ada training plan atau learning roadmap yang terdokumentasi sebagai fondasi program; tidak ada anggaran yang dialokasikan secara konsisten; tidak ada mekanisme pengukuran efektivitas investasi kompetensi; risiko personil yang dilatih meninggalkan perusahaan setelah mendapat sertifikasi</t>
  </si>
  <si>
    <t>Beberapa personil mengikuti pelatihan individual atas inisiatif sendiri; ketergantungan vendor sebagai kompensasi gap kompetensi; namun tidak ada training plan, learning roadmap, anggaran konsisten, dan pengukuran efektivitas sehingga peluang belum dikapitalisasi secara terstruktur</t>
  </si>
  <si>
    <t>7.2 – Kompetensi; 
7.1 – Sumber daya; 
5.1 – Kepemimpinan dan komitmen</t>
  </si>
  <si>
    <t>A.6.3 – Kesadaran, pendidikan dan pelatihan keamanan informasi; 
A.5.2 – Peran dan tanggung jawab keamanan informasi</t>
  </si>
  <si>
    <r>
      <rPr>
        <b/>
        <sz val="10"/>
        <color theme="1"/>
        <rFont val="Montserrat"/>
      </rPr>
      <t>Tinggi</t>
    </r>
    <r>
      <rPr>
        <sz val="10"/>
        <color theme="1"/>
        <rFont val="Montserrat"/>
      </rPr>
      <t xml:space="preserve"> — perusahaan memiliki ambisi untuk mengkapitalisasi peluang ini secara aktif mengingat seluruh dampak gap kompetensi sudah dirasakan nyata, domain prioritas sudah terdefinisi, dan investasi pengembangan personil existing jauh lebih efisien dibanding rekrutmen talent baru atau ketergantungan vendor yang terus meningkat</t>
    </r>
  </si>
  <si>
    <r>
      <rPr>
        <b/>
        <sz val="10"/>
        <color theme="1"/>
        <rFont val="Montserrat"/>
      </rPr>
      <t>Sedang</t>
    </r>
    <r>
      <rPr>
        <sz val="10"/>
        <color theme="1"/>
        <rFont val="Montserrat"/>
      </rPr>
      <t xml:space="preserve"> — perusahaan masih dapat beroperasi dengan ketergantungan vendor dalam jangka pendek; namun jika ketergantungan vendor terus meningkat atau project delivery semakin terhambat, realisasi peluang ini wajib dieskalasi sebagai prioritas investasi. 
Sebagai syarat minimum untuk mulai mengkapitalisasi peluang, organisasi wajib memastikan telah tersedia: (1) competency gap assessment yang mendokumentasikan kondisi aktual kompetensi per personil dan per domain sebagai baseline investasi, dan (2) learning roadmap yang terdokumentasi dengan prioritas domain dan target kompetensi yang realistis sesuai kapasitas anggaran yang dapat dialokasikan</t>
    </r>
  </si>
  <si>
    <t>(1) Manfaatkan setiap project yang terhambat atau eskalasi ketergantungan vendor sebagai justifikasi konkret business case investasi kompetensi kepada manajemen; (2) mulai dengan quick win — identifikasi satu domain paling kritis dan satu personil paling potensial untuk diinvestasikan sebagai proof of concept yang dapat menunjukkan ROI nyata; (3) manfaatkan program sertifikasi bersubsidi dari vendor cloud seperti AWS, Google, dan Microsoft yang sering tersedia gratis atau berbiaya sangat rendah sebagai titik awal tanpa beban anggaran besar; (4) eskalasi learning roadmap kepada manajemen dengan framing pengurangan biaya vendor dan percepatan delivery sebagai proposisi nilai finansial yang terukur</t>
  </si>
  <si>
    <t>Lakukan competency gap assessment; susun learning roadmap per domain prioritas; tetapkan anggaran pengembangan kompetensi yang konsisten; manfaatkan program sertifikasi bersubsidi vendor sebagai titik awal berbiaya rendah</t>
  </si>
  <si>
    <t>Personel CTIO berkoordinasi dengan Personel IT Governance dan Human Capital</t>
  </si>
  <si>
    <t>Dampak gap kompetensi sudah sangat nyata pada seluruh dimensi operasional dan domain prioritas sudah terdefinisi sebagai fondasi yang kuat, namun belum ada training plan, learning roadmap, dan anggaran konsisten sehingga peluang belum dikapitalisasi sama sekali, status New - Open dan menjadi prioritas strategis untuk segera dilakukan competency gap assessment dan disusun learning roadmap sebagai landasan business case investasi</t>
  </si>
  <si>
    <t xml:space="preserve"> - Lakukan competency gap assessment per personil dan per domain prioritas — petakan kompetensi aktual setiap personil IT terhadap kompetensi yang dibutuhkan untuk 4 domain prioritas: cybersecurity, data analytics, AI/ML, dan cloud; identifikasi personil dengan potensi tertinggi untuk dikembangkan per domain; gunakan hasil sebagai baseline yang dapat mengukur ROI investasi kompetensi secara objektif
 - Susun learning roadmap per domain prioritas dengan target yang realistis — dokumentasikan jalur pengembangan kompetensi per domain mulai dari level dasar hingga sertifikasi yang diakui industri; sesuaikan timeline dengan kapasitas operasional agar pengembangan kompetensi tidak mengganggu delivery; prioritaskan cybersecurity dan cloud sebagai domain dengan dampak paling langsung terhadap operasional dan keamanan
 - Presentasikan business case investasi kompetensi kepada manajemen — kuantifikasi biaya ketergantungan vendor saat ini versus proyeksi penghematan setelah kompetensi terinternalisasi; bandingkan biaya pengembangan personil existing versus rekrutmen talent baru; gunakan dampak nyata yang sudah dirasakan sebagai justifikasi konkret yang sulit ditolak
 - Manfaatkan program sertifikasi bersubsidi sebagai titik awal berbiaya rendah — identifikasi program sertifikasi gratis atau bersubsidi dari vendor cloud, BSSN, dan lembaga pelatihan keamanan siber; mulai dengan satu personil per domain sebagai pilot; dokumentasikan hasil dan dampak sebagai bukti ROI untuk mendorong perluasan program</t>
  </si>
  <si>
    <r>
      <t xml:space="preserve">Eksposur data sensitif dan pelanggaran kebijakan keamanan yang tidak terdeteksi berpotensi terus terjadi — akibat </t>
    </r>
    <r>
      <rPr>
        <b/>
        <sz val="10"/>
        <color theme="1"/>
        <rFont val="Montserrat"/>
      </rPr>
      <t>program awareness yang berhenti sebagai materi sosialisasi</t>
    </r>
    <r>
      <rPr>
        <sz val="10"/>
        <color theme="1"/>
        <rFont val="Montserrat"/>
      </rPr>
      <t xml:space="preserve"> tanpa verifikasi implementasi sehingga password policy, klasifikasi data, dan larangan WhatsApp untuk informasi sensitif tidak diterapkan dalam perilaku kerja nyata</t>
    </r>
  </si>
  <si>
    <t>Tidak ada mekanisme follow-up untuk memverifikasi bahwa kebijakan yang disosialisasikan benar-benar diimplementasikan dalam perilaku kerja; konsekuensi ketidakpatuhan hanya diterapkan untuk pelanggaran besar yang terlihat sehingga pelanggaran kecil namun berisiko tinggi tidak memiliki deterren; tidak ada kontrol teknis yang menegakkan kebijakan secara otomatis sebagai komplemen dari sosialisasi; quiz pasca sosialisasi hanya mengukur pemahaman kognitif bukan perubahan perilaku aktual</t>
  </si>
  <si>
    <t>Kebocoran data melalui WhatsApp yang tidak dienkripsi dan tidak memiliki kontrol akses korporat; kompromi akun akibat password yang lemah yang tidak pernah diverifikasi kekuatannya; eksfiltrasi data yang difasilitasi oleh klasifikasi yang tidak diterapkan sehingga tidak ada yang tahu data mana yang sensitif; social engineering yang berhasil karena prosedur verifikasi identitas tidak dijalankan meskipun sudah disosialisasikan</t>
  </si>
  <si>
    <t>Tidak ada follow-up verifikasi implementasi; konsekuensi hanya untuk pelanggaran besar; tidak ada kontrol teknis enforcement; quiz hanya ukur pemahaman bukan perilaku; WhatsApp digunakan untuk informasi sensitif; password policy tidak diverifikasi; klasifikasi data tidak diterapkan</t>
  </si>
  <si>
    <t>Program awareness berkala berjalan dengan materi komprehensif; quiz pasca sosialisasi dilakukan; konsekuensi untuk pelanggaran besar ada; namun tidak ada verifikasi implementasi, tidak ada enforcement teknis, dan pelanggaran kecil tidak ditangani sehingga dokumen awareness tidak berdampak pada perubahan perilaku</t>
  </si>
  <si>
    <t>7.3 – Kesadaran; 
7.2 – Kompetensi; 
9.1 – Pemantauan, pengukuran, analisis dan evaluasi</t>
  </si>
  <si>
    <t>A.6.3 – Kesadaran, pendidikan dan pelatihan keamanan informasi; 
A.5.10 – Penggunaan yang dapat diterima atas informasi dan aset terkait lainnya; 
A.5.36 – Kepatuhan terhadap kebijakan dan standar keamanan informasi</t>
  </si>
  <si>
    <r>
      <rPr>
        <b/>
        <sz val="10"/>
        <color theme="1"/>
        <rFont val="Montserrat"/>
      </rPr>
      <t>Rendah</t>
    </r>
    <r>
      <rPr>
        <sz val="10"/>
        <color theme="1"/>
        <rFont val="Montserrat"/>
      </rPr>
      <t xml:space="preserve"> — perusahaan tidak bersedia membiarkan kebijakan keamanan yang sudah disosialisasikan tidak diimplementasikan dalam perilaku kerja nyata mengingat gap implementasi yang paling berbahaya justru yang kecil dan tidak terlihat seperti penggunaan WhatsApp untuk data sensitif dan password yang lemah</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</si>
  <si>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verifikasi implementasi minimal untuk kebijakan berisiko tinggi seperti password policy dan larangan penggunaan channel tidak resmi untuk data sensitif, dan (2) enforcement teknis minimal untuk menghentikan pertukaran data sensitif melalui WhatsApp sebagai perilaku yang paling konkret dan paling mudah ditegakkan secara teknis</t>
    </r>
  </si>
  <si>
    <t>(1) Identifikasi segera scope data sensitif yang sudah dipertukarkan melalui WhatsApp dan channel tidak resmi lainnya; lakukan asesmen risiko eksposur yang sudah terjadi; (2) terapkan tindakan korektif segera terhadap pelanggaran yang teridentifikasi sebagai sinyal bahwa ketidakpatuhan memiliki konsekuensi nyata; (3) implementasikan kontrol teknis darurat untuk menghentikan pertukaran data sensitif melalui channel tidak resmi yang dapat dilakukan segera; (4) eskalasi kepada manajemen dengan laporan gap implementasi yang konkret dan terukur sebagai justifikasi urgensi enforcement yang lebih sistematis</t>
  </si>
  <si>
    <t>Implementasi mekanisme verifikasi implementasi pasca sosialisasi; terapkan enforcement teknis untuk kebijakan berisiko tinggi; perluas konsekuensi ketidakpatuhan untuk mencakup pelanggaran kecil yang berisiko tinggi; lakukan compliance check berkala terhadap kebijakan yang sudah disosialisasikan</t>
  </si>
  <si>
    <t>Program awareness dan quiz pasca sosialisasi sudah berjalan sebagai fondasi yang ada namun seluruh gap implementasi sudah terjadi nyata dan simultan — WhatsApp untuk data sensitif, password tidak diverifikasi, klasifikasi tidak diterapkan — tanpa mekanisme verifikasi dan enforcement yang efektif, status In Progress dan menjadi prioritas untuk segera diimplementasikan enforcement teknis dan mekanisme verifikasi</t>
  </si>
  <si>
    <t>Personel IT Governance berkoordinasi dengan Personel Security Analyst dan seluruh kepala departemen</t>
  </si>
  <si>
    <t xml:space="preserve"> - Implementasi enforcement teknis untuk menghentikan pertukaran data sensitif via WhatsApp — blokir upload dan sharing file ke WhatsApp Web dari perangkat kantor melalui konfigurasi browser policy atau DLP yang sudah tersedia; ini adalah tindakan paling konkret yang dapat dilakukan segera tanpa investasi besar dan langsung menghentikan perilaku berisiko yang sudah terbentuk
 - Implementasi verifikasi password policy secara teknis — aktifkan password complexity enforcement melalui Active Directory atau sistem IAM yang ada; lakukan audit password yang lemah atau digunakan ulang; jangan mengandalkan sosialisasi saja untuk kebijakan yang dapat ditegakkan secara teknis
 - Lakukan compliance check berkala untuk klasifikasi data — jadwalkan pemeriksaan sampel dokumen di setiap departemen secara berkala untuk memverifikasi apakah klasifikasi data diterapkan; dokumentasikan temuan dan tindak lanjuti dengan pembinaan yang terdokumentasi; jadikan sebagai rutinitas yang diketahui seluruh personil sebagai deterren (membuat sadar ada pengawasan dan konsekuensi)
 - Kembangkan framework konsekuensi bertingkat yang mencakup pelanggaran kecil berisiko tinggi — perluas kebijakan konsekuensi untuk mencakup pelanggaran kecil namun berisiko tinggi dengan pendekatan bertingkat: pembinaan untuk pelanggaran pertama, peringatan formal untuk pengulangan, dan eskalasi untuk pola berulang; komunikasikan kepada seluruh personil bahwa enforcement berlaku untuk semua level pelanggaran</t>
  </si>
  <si>
    <r>
      <t xml:space="preserve">Defect berulang di production, rework yang ekstensif, dan kualitas software yang tidak terjamin berpotensi terus terjadi di setiap siklus development — akibat SOP yang mendefinisikan </t>
    </r>
    <r>
      <rPr>
        <b/>
        <sz val="10"/>
        <color theme="1"/>
        <rFont val="Montserrat"/>
      </rPr>
      <t>QA hanya masuk di fase testing</t>
    </r>
    <r>
      <rPr>
        <sz val="10"/>
        <color theme="1"/>
        <rFont val="Montserrat"/>
      </rPr>
      <t xml:space="preserve"> sehingga ambiguitas requirement dan kelemahan keamanan tidak terdeteksi pada fase yang paling efektif untuk diperbaiki</t>
    </r>
  </si>
  <si>
    <t>SOP secara eksplisit mendefinisikan keterlibatan QA hanya pada fase testing setelah development selesai tanpa keterlibatan di fase requirement dan desain; tidak ada mekanisme yang memastikan QA mereview requirement untuk mengidentifikasi ambiguitas sebelum coding dimulai; test case baru dibuat setelah development selesai sehingga tidak dapat berfungsi sebagai spesifikasi yang memandu development; budaya sequential waterfall yang mengasumsikan requirement sempurna dari BA tanpa validasi QA</t>
  </si>
  <si>
    <t>Testing period terkompresi karena development molor sementara deadline tidak bergeser; requirement ambigu baru ketahuan saat testing sehingga membutuhkan rework yang luas dan mahal; security testing tidak dilakukan karena tidak ada waktu di fase testing yang terkompresi; bug yang sama berulang di production karena test case tidak komprehensif akibat dibuat terlambat; UAT menemukan masalah fundamental yang harusnya teridentifikasi jauh lebih awal</t>
  </si>
  <si>
    <t>Defect keamanan yang lolos ke production karena security testing tidak dilakukan akibat testing period terkompresi; bug berulang di production yang berdampak langsung pada layanan nasabah; biaya rework yang terus meningkat akibat defect yang ditemukan terlambat; delivery yang terus terlambat akibat siklus rework yang tidak berkesudahan</t>
  </si>
  <si>
    <t>SOP mendefinisikan QA masuk di fase yang salah; tidak ada keterlibatan QA di requirement dan desain; test case dibuat terlambat; tidak ada shift-left testing approach; budaya waterfall sequential yang terlembaga dalam SOP</t>
  </si>
  <si>
    <t>Fungsi QA tersedia; BRD dapat dibaca QA sebelum testing; namun SOP mendefinisikan keterlibatan QA hanya di fase testing sehingga seluruh gap requirement dan desain tidak teridentifikasi secara dini</t>
  </si>
  <si>
    <t>A.8.25 – Siklus hidup pengembangan yang aman; 
A.8.26 – Persyaratan keamanan aplikasi; 
A.8.29 – Pengujian keamanan dalam pengembangan dan penerimaan</t>
  </si>
  <si>
    <r>
      <rPr>
        <b/>
        <sz val="10"/>
        <color theme="1"/>
        <rFont val="Montserrat"/>
      </rPr>
      <t>Rendah</t>
    </r>
    <r>
      <rPr>
        <sz val="10"/>
        <color theme="1"/>
        <rFont val="Montserrat"/>
      </rPr>
      <t xml:space="preserve"> — perusahaan tidak bersedia membiarkan SOP mendefinisikan pola keterlibatan QA yang secara sistemik menghasilkan defect terlambat, rework mahal, dan security testing yang tidak terlaksana mengingat dampaknya langsung pada kualitas layanan nasabah dan postur keamanan aplikasi</t>
    </r>
  </si>
  <si>
    <t>Sedang — perusahaan masih dapat beroperasi selama nilai risiko residual ≤ 9; jika residual masih &gt;9, wajib eskalasi ke manajemen. 
Sebagai syarat minimum toleransi, organisasi wajib memastikan telah tersedia: (1) keterlibatan QA dalam review requirement sebagai langkah minimum shift-left yang dapat diimplementasikan segera tanpa mengubah seluruh SOP, dan (2) alokasi waktu testing minimum yang tidak dapat dikurangi meskipun development molor sebagai perlindungan dasar terhadap testing terkompresi</t>
  </si>
  <si>
    <t>(1) Identifikasi defect yang sedang aktif di production dan lacak apakah akar penyebabnya adalah requirement ambigu atau security gap yang tidak tertest; gunakan sebagai justifikasi urgensi perubahan pola keterlibatan QA; (2) untuk project yang sedang berjalan dengan testing period terkompresi, negosiasikan perpanjangan testing window atau pengurangan scope delivery daripada mengorbankan kualitas; (3) prioritaskan security testing pada komponen yang paling berisiko meskipun waktu terbatas; (4) eskalasi kepada manajemen dengan data konkret biaya rework kumulatif sebagai justifikasi investasi perubahan SOP</t>
  </si>
  <si>
    <t>Revisi SOP untuk mendefinisikan keterlibatan QA sejak fase requirement; implementasi minimum testing window yang tidak dapat dikompromikan; terapkan shift-left testing approach secara bertahap</t>
  </si>
  <si>
    <t>QA tersedia sebagai fungsi yang ada namun SOP secara eksplisit mendefinisikan keterlibatan di fase yang salah dan seluruh dampak sudah terjadi di setiap project secara konsisten, pola ini akan terus berulang selama SOP tidak direvisi, status New - Open dan menjadi prioritas untuk segera direvisi SOP dan ditetapkan minimum testing window</t>
  </si>
  <si>
    <t>Personel Quality Assurance berkoordinasi dengan Personel IT Governance, Personel Business Analyst, dan Personel IT Core Development</t>
  </si>
  <si>
    <t xml:space="preserve"> - Revisi SOP untuk mendefinisikan keterlibatan QA sejak fase requirement review — ubah SOP yang berlaku untuk mewajibkan QA mereview BRD dan FSD sebelum coding dimulai; definisikan output wajib dari keterlibatan awal QA berupa daftar pertanyaan klarifikasi requirement dan draft test case awal; ini tidak membutuhkan perubahan tooling apapun dan dapat diimplementasikan segera
 - Tetapkan minimum testing window per kategori project yang tidak dapat dikompromikan — definisikan durasi testing minimum berdasarkan kompleksitas project yang tidak dapat dipotong meskipun development molor; jika development terlambat, konsekuensinya adalah penundaan go-live bukan pengurangan testing window; jadikan sebagai kebijakan yang memerlukan persetujuan manajemen senior untuk dikompromikan
 - Wajibkan security testing sebagai komponen testing yang tidak dapat dilewati — definisikan security test case minimum yang wajib dieksekusi di setiap project terlepas dari tekanan waktu; integrasikan ke dalam definition of done sehingga tidak ada delivery yang dapat dianggap selesai tanpa security testing yang terdokumentasi
 - Implementasi shift-left secara bertahap dimulai dari pilot satu project — pilih satu project aktif sebagai pilot penerapan shift-left approach; ukur perbedaan jumlah defect, biaya rework, dan durasi testing dibandingkan project sebelumnya; gunakan data perbandingan sebagai justifikasi perluasan pendekatan ke seluruh project</t>
  </si>
  <si>
    <r>
      <t>Sengketa</t>
    </r>
    <r>
      <rPr>
        <b/>
        <sz val="10"/>
        <color theme="1"/>
        <rFont val="Montserrat"/>
      </rPr>
      <t xml:space="preserve"> Kepemilikan Source Code</t>
    </r>
    <r>
      <rPr>
        <sz val="10"/>
        <color theme="1"/>
        <rFont val="Montserrat"/>
      </rPr>
      <t xml:space="preserve"> Vendor – Ketiadaan klausul IP Assignment yang eksplisit dalam PKS dengan vendor software house membuka peluang sengketa kepemilikan dan penolakan penyerahan source code aplikasi yang dikembangkan pihak ketiga</t>
    </r>
  </si>
  <si>
    <r>
      <t xml:space="preserve">Pelanggaran HKI melalui Output Generative AI – Developer dan Tim UI/UX menggunakan </t>
    </r>
    <r>
      <rPr>
        <b/>
        <sz val="10"/>
        <color theme="1"/>
        <rFont val="Montserrat"/>
      </rPr>
      <t>tools AI generatif untuk menghasilkan kode</t>
    </r>
    <r>
      <rPr>
        <sz val="10"/>
        <color theme="1"/>
        <rFont val="Montserrat"/>
      </rPr>
      <t xml:space="preserve"> dan aset visual aplikasi tanpa verifikasi HKI, berpotensi mereproduksi karya berlisensi pihak ketiga secara tidak sengaja</t>
    </r>
  </si>
  <si>
    <r>
      <t xml:space="preserve">Sengketa Hak Cipta Karya Karyawan – </t>
    </r>
    <r>
      <rPr>
        <b/>
        <sz val="10"/>
        <color theme="1"/>
        <rFont val="Montserrat"/>
      </rPr>
      <t xml:space="preserve">Karyawan internal mendaftarkan HKI atas karya inovasi </t>
    </r>
    <r>
      <rPr>
        <sz val="10"/>
        <color theme="1"/>
        <rFont val="Montserrat"/>
      </rPr>
      <t>yang diciptakan menggunakan fasilitas dan waktu kerja perusahaan atas nama pribadi akibat tidak adanya klausul pengalihan hak ekonomi yang spesifik dalam kontrak kerja</t>
    </r>
  </si>
  <si>
    <r>
      <t xml:space="preserve">Pelanggaran Paten Fitur Digital – Tim IT mengembangkan dan </t>
    </r>
    <r>
      <rPr>
        <b/>
        <sz val="10"/>
        <color theme="1"/>
        <rFont val="Montserrat"/>
      </rPr>
      <t>merilis fitur baru yang terinspirasi dari kompetitor</t>
    </r>
    <r>
      <rPr>
        <sz val="10"/>
        <color theme="1"/>
        <rFont val="Montserrat"/>
      </rPr>
      <t xml:space="preserve"> tanpa melalui proses verifikasi legal terkait status paten atas alur proses bisnis digital yang dikembangkan</t>
    </r>
  </si>
  <si>
    <r>
      <rPr>
        <b/>
        <sz val="10"/>
        <color theme="1"/>
        <rFont val="Montserrat"/>
      </rPr>
      <t>Kehilangan aset intelektual strategis</t>
    </r>
    <r>
      <rPr>
        <sz val="10"/>
        <color theme="1"/>
        <rFont val="Montserrat"/>
      </rPr>
      <t xml:space="preserve"> berupa source code aplikasi dan dokumen strategis yang berpotensi dicuri, dieksfiltrasi, dan diperjualbelikan oleh karyawan atau kompetitor kepada pihak yang tidak berwenang</t>
    </r>
  </si>
  <si>
    <r>
      <t>Algoritma pricing, formula underwriting, dan source code</t>
    </r>
    <r>
      <rPr>
        <b/>
        <sz val="10"/>
        <color theme="1"/>
        <rFont val="Montserrat"/>
      </rPr>
      <t xml:space="preserve"> proprietary berpotensi bocor ke platform repository publik</t>
    </r>
    <r>
      <rPr>
        <sz val="10"/>
        <color theme="1"/>
        <rFont val="Montserrat"/>
      </rPr>
      <t xml:space="preserve"> seperti GitHub dan Kaggle — akibat karyawan yang keluar mempublikasikan IP perusahaan sebagai portofolio pencarian kerja tanpa hambatan hukum maupun teknis karena </t>
    </r>
    <r>
      <rPr>
        <b/>
        <sz val="10"/>
        <color theme="1"/>
        <rFont val="Montserrat"/>
      </rPr>
      <t>tidak ada klausul HKI dalam kontrak</t>
    </r>
    <r>
      <rPr>
        <sz val="10"/>
        <color theme="1"/>
        <rFont val="Montserrat"/>
      </rPr>
      <t>, tidak ada briefing batas IP, dan tidak ada monitoring platform publik</t>
    </r>
  </si>
  <si>
    <t>Kontrak karyawan tidak memuat klausul HKI yang secara eksplisit mendefinisikan kepemilikan IP dan melarang publikasi ke platform publik; developer tidak mendapat briefing yang mendefinisikan batas antara karya yang dapat diklaim sebagai portofolio pribadi dan IP yang menjadi milik perusahaan; offboarding tidak memverifikasi penghapusan IP dari perangkat pribadi; tidak ada inventarisasi IP terdokumentasi yang dapat digunakan sebagai dasar klaim kepemilikan; tidak ada monitoring terhadap publikasi IP di platform publik</t>
  </si>
  <si>
    <t>Algoritma pricing dan formula underwriting yang menjadi competitive advantage dipublikasikan ke platform publik dan dapat diakses oleh kompetitor dan broker; source code aplikasi yang mengandung logika bisnis inti terekspos sehingga memfasilitasi identifikasi kerentanan keamanan; hilangnya keunggulan kompetitif yang telah dibangun melalui investasi riset dan development yang signifikan; kesulitan pembuktian kepemilikan IP secara hukum akibat tidak adanya inventarisasi yang terdokumentasi</t>
  </si>
  <si>
    <t>Karyawan yang resign mempublikasikan algoritma pricing atau formula underwriting ke GitHub sebagai portofolio tanpa menyadari pelanggaran HKI; kompetitor yang menemukan repository publik menggunakan IP untuk keunggulan kompetitif; broker yang memahami formula underwriting melakukan adverse selection terhadap portofolio risiko; attacker yang menemukan source code menggunakannya untuk mengidentifikasi kerentanan yang dapat dieksploitasi</t>
  </si>
  <si>
    <t>Tidak ada klausul HKI dalam kontrak; tidak ada briefing batas IP; offboarding tidak verifikasi IP; tidak ada inventarisasi IP terdokumentasi; tidak ada monitoring repository publik; NDA tidak spesifik melarang publikasi ke platform publik</t>
  </si>
  <si>
    <t>Checklist offboarding tersedia; NDA ditandatangani karyawan; namun tidak ada klausul HKI, briefing batas IP, verifikasi offboarding untuk IP, inventarisasi IP, dan monitoring platform publik sehingga kebocoran IP tidak dapat dicegah maupun dideteksi</t>
  </si>
  <si>
    <t>A.5.32 – Hak kekayaan intelektual; 
A.6.2 – Syarat dan ketentuan kepegawaian; 
A.5.10 – Penggunaan yang dapat diterima atas informasi dan aset terkait lainnya; 
A.5.14 – Transfer informasi</t>
  </si>
  <si>
    <r>
      <rPr>
        <b/>
        <sz val="10"/>
        <color theme="1"/>
        <rFont val="Montserrat"/>
      </rPr>
      <t>Rendah</t>
    </r>
    <r>
      <rPr>
        <sz val="10"/>
        <color theme="1"/>
        <rFont val="Montserrat"/>
      </rPr>
      <t xml:space="preserve"> — perusahaan tidak bersedia membiarkan algoritma pricing, formula underwriting, dan source code proprietary berpotensi dipublikasikan ke platform publik tanpa hambatan hukum maupun teknis mengingat aset-aset ini merupakan competitive advantage utama yang hilangnya bersifat permanen dan tidak dapat dipulihkan setelah terpublikasi</t>
    </r>
  </si>
  <si>
    <r>
      <rPr>
        <b/>
        <sz val="10"/>
        <color theme="1"/>
        <rFont val="Montserrat"/>
      </rPr>
      <t>Sedang</t>
    </r>
    <r>
      <rPr>
        <sz val="10"/>
        <color theme="1"/>
        <rFont val="Montserrat"/>
      </rPr>
      <t xml:space="preserve"> — perusahaan masih dapat beroperasi dalam jangka pendek selama belum ada kejadian kebocoran yang teridentifikasi; namun mengingat tidak ada kontrol apapun yang aktif mencegah atau mendeteksi, eskalasi segera diperlukan. 
Sebagai syarat minimum toleransi, organisasi wajib memastikan telah tersedia: (1) klausul HKI yang ditambahkan dalam kontrak karyawan yang secara eksplisit mendefinisikan kepemilikan IP perusahaan dan melarang publikasi ke platform publik, dan (2) briefing wajib kepada seluruh developer aktif yang mendefinisikan batas antara IP pribadi dan IP perusahaan</t>
    </r>
  </si>
  <si>
    <t>(1) Lakukan scanning segera terhadap platform publik seperti GitHub, GitLab, dan Kaggle menggunakan kata kunci spesifik nama perusahaan, nama produk, dan pola kode untuk mengidentifikasi apakah IP sudah terpublikasi; (2) jika IP teridentifikasi sudah dipublikasikan, engajemen Legal Counsel segera untuk asesmen opsi hukum termasuk DMCA takedown notice dan tindakan hukum terhadap mantan karyawan; (3) identifikasi scope IP yang terpublikasi dan asesmen dampak kompetitif serta keamanan yang ditimbulkan; (4) eskalasi kepada manajemen senior dengan laporan scope eksposur dan jadikan sebagai justifikasi urgensi implementasi klausul HKI dalam kontrak</t>
  </si>
  <si>
    <t>Tambahkan klausul HKI dalam kontrak karyawan; selenggarakan briefing wajib batas IP kepada developer; perbarui checklist offboarding untuk mencakup verifikasi penghapusan IP; implementasi monitoring repository publik; susun inventarisasi aset IP yang terdokumentasi</t>
  </si>
  <si>
    <t>Checklist offboarding dan NDA sudah ada sebagai fondasi minimal namun tidak ada klausul HKI, briefing batas IP, monitoring platform publik, dan verifikasi offboarding sehingga kebocoran IP tidak dapat dicegah maupun dideteksi, status In Progress dan menjadi prioritas utama untuk segera dilakukan scanning platform publik dan ditambahkan klausul HKI dalam kontrak</t>
  </si>
  <si>
    <t>Personel IT Governance berkoordinasi dengan Legal Counsel, Human Capital, dan Personel CTIO</t>
  </si>
  <si>
    <t xml:space="preserve"> - Tambahkan klausul HKI eksplisit dalam template kontrak karyawan — definisikan secara eksplisit bahwa seluruh karya intelektual yang dibuat dalam lingkup pekerjaan adalah milik perusahaan; larang secara spesifik publikasi ke platform publik seperti GitHub, GitLab, Kaggle, dan sejenisnya; koordinasikan dengan Legal Counsel untuk memastikan klausul memiliki kekuatan hukum yang memadai; terapkan sebagai addendum untuk karyawan aktif yang belum memiliki klausul ini
 - Selenggarakan briefing wajib batas IP kepada seluruh developer aktif — definisikan secara konkret dengan contoh nyata apa yang boleh dan tidak boleh dipublikasikan sebagai portofolio pribadi; jelaskan konsekuensi hukum publikasi IP perusahaan; sertakan dalam program onboarding sebagai materi wajib untuk developer baru
 - Perbarui checklist offboarding untuk mencakup verifikasi penghapusan IP — tambahkan langkah konfirmasi bahwa mantan karyawan telah menghapus seluruh IP perusahaan dari perangkat pribadi, cloud storage, dan repository pribadi; minta tanda tangan konfirmasi sebagai bukti komitmen yang dapat digunakan secara hukum jika terjadi kebocoran setelah offboarding
 - Implementasi monitoring repository publik dan susun inventarisasi IP — konfigurasi tool monitoring seperti GitHub search atau layanan khusus untuk mendeteksi publikasi yang mengandung pola kode atau konten yang mengidentifikasi IP perusahaan; susun inventarisasi aset IP yang terdokumentasi sebagai dasar klaim kepemilikan yang dapat dipertahankan secara hukum</t>
  </si>
  <si>
    <r>
      <t>Kerentanan pada Dependensi Pihak Ketiga – Penggunaan library/</t>
    </r>
    <r>
      <rPr>
        <b/>
        <sz val="10"/>
        <color theme="1"/>
        <rFont val="Montserrat"/>
      </rPr>
      <t>package open-source</t>
    </r>
    <r>
      <rPr>
        <sz val="10"/>
        <color theme="1"/>
        <rFont val="Montserrat"/>
      </rPr>
      <t xml:space="preserve"> yang mengandung celah keamanan (</t>
    </r>
    <r>
      <rPr>
        <b/>
        <sz val="10"/>
        <color theme="1"/>
        <rFont val="Montserrat"/>
      </rPr>
      <t>CVE</t>
    </r>
    <r>
      <rPr>
        <sz val="10"/>
        <color theme="1"/>
        <rFont val="Montserrat"/>
      </rPr>
      <t>) yang belum di-patch</t>
    </r>
  </si>
  <si>
    <t>Insiden Critical atau Major yang melampaui SLA tidak diketahui oleh manajemen secara tepat waktu; personil penanganan tidak memiliki tekanan eskalasi otomatis yang mendorong penyelesaian sesuai target; tren kepatuhan SLA tidak dapat dianalisis untuk perbaikan berkelanjutan; pengguna dan nasabah tidak mendapat kepastian kapan insiden akan diselesaikan; manajemen tidak dapat mempertanggungjawabkan kinerja layanan IT berdasarkan data yang terukur</t>
  </si>
  <si>
    <t>Tidak ada eskalasi otomatis saat SLA terlampaui; tidak ada pelaporan kepatuhan SLA; SLA tracking di helpdesk belum dikonfirmasi; tidak ada dashboard monitoring SLA real-time; tidak ada mekanisme notifikasi kepada manajemen</t>
  </si>
  <si>
    <t>SOP dengan kategorisasi severity dan SLA yang komprehensif sudah tersedia dan disahkan; formulir pelaporan tersedia; helpdesk aktif; namun eskalasi otomatis dan monitoring SLA compliance belum terdefinisi sehingga SLA tidak berfungsi sebagai kontrol operasional yang dapat diukur</t>
  </si>
  <si>
    <t>SOP mendefinisikan SLA dengan baik namun tidak memuat mekanisme eskalasi otomatis saat SLA terlampaui; tidak ada ketentuan pelaporan kepatuhan SLA kepada manajemen secara berkala; tidak ada mekanisme monitoring yang memvalidasi apakah SLA dipenuhi dalam operasional aktual; helpdesk tersedia namun SLA tracking otomatis belum dikonfirmasi aktif</t>
  </si>
  <si>
    <t>9.1 – Pemantauan, pengukuran, analisis dan evaluasi; 
8.1 – Perencanaan dan pengendalian operasional</t>
  </si>
  <si>
    <t>A.5.26 – Respons terhadap insiden keamanan informasi; 
A.5.35 – Tinjauan independen keamanan informasi; 
A.5.37 – Prosedur operasi yang terdokumentasi</t>
  </si>
  <si>
    <t>(1) Lakukan review manual terhadap seluruh tiket insiden yang sedang berjalan untuk mengidentifikasi yang sudah melampaui SLA dan belum terselesaikan; eskalasi manual kepada PIC yang bertanggung jawab; (2) prioritaskan penyelesaian tiket Critical dan Major yang melampaui SLA dengan melibatkan kepala departemen yang bertanggung jawab sesuai PO-ITS-106; (3) komunikasikan kepada pengguna terdampak mengenai status dan estimasi penyelesaian yang diperbarui; (4) eskalasi kepada manajemen dengan laporan pelanggaran SLA yang teridentifikasi sebagai justifikasi urgensi implementasi monitoring otomatis</t>
  </si>
  <si>
    <t>Aktifkan SLA tracking otomatis di helpdesk yang mengirimkan notifikasi saat SLA mendekati batas; implementasi mekanisme eskalasi otomatis kepada kepala departemen untuk tiket yang melampaui SLA; tetapkan laporan kepatuhan SLA bulanan kepada manajemen</t>
  </si>
  <si>
    <t>Personel IT Prod-Support berkoordinasi dengan Personel IT Governance dan Personel CTIO</t>
  </si>
  <si>
    <t>SOP dengan SLA yang sangat komprehensif sudah tersedia sebagai fondasi yang sangat baik; gap utama hanya pada mekanisme monitoring dan eskalasi otomatis yang belum terdefinisi sehingga SLA belum berfungsi sebagai kontrol operasional yang terukur, status In Progress dan menjadi prioritas untuk segera dikonfigurasi SLA tracking otomatis di helpdesk yang sudah tersedia</t>
  </si>
  <si>
    <t xml:space="preserve"> - Aktifkan SLA tracking otomatis di helpdesk dengan notifikasi mendekati batas — konfigurasi sistem helpdesk yang sudah ada untuk secara otomatis menghitung waktu yang berjalan sejak tiket dibuat dan mengirimkan notifikasi kepada PIC yang bertanggung jawab saat tiket mendekati 80% batas SLA; ini memanfaatkan infrastruktur yang sudah ada tanpa investasi tambahan
 - Implementasi mekanisme eskalasi otomatis untuk tiket yang melampaui SLA — konfigurasi eskalasi otomatis kepada kepala departemen yang bertanggung jawab sesuai SOP saat tiket melampaui batas SLA; pastikan eskalasi berjenjang sesuai tingkat severity sehingga tiket Critical mendapat perhatian yang lebih cepat dari tiket Minor
 - Tetapkan laporan kepatuhan SLA bulanan kepada manajemen — buat template laporan yang menampilkan jumlah tiket per kategori severity, persentase yang diselesaikan dalam SLA, rata-rata waktu penyelesaian, dan tren dari bulan ke bulan; sampaikan kepada manajemen sebagai bagian dari evaluasi kinerja IT bulanan
 - Integrasikan SLA compliance ke dalam KPI IT Prod-Support — jadikan persentase kepatuhan SLA sebagai KPI utama yang dievaluasi secara berkala; tetapkan target minimum kepatuhan SLA per kategori severity sebagai standar kinerja yang harus dipenuhi tim IT Prod-Support</t>
  </si>
  <si>
    <r>
      <rPr>
        <b/>
        <sz val="10"/>
        <color theme="1"/>
        <rFont val="Montserrat"/>
      </rPr>
      <t>Sedang</t>
    </r>
    <r>
      <rPr>
        <sz val="10"/>
        <color theme="1"/>
        <rFont val="Montserrat"/>
      </rPr>
      <t xml:space="preserve"> — perusahaan dapat mentolerir ketidaksempurnaan monitoring SLA dalam jangka pendek mengingat prosedur sudah sangat komprehensif, namun tidak bersedia membiarkan SLA yang terdefinisi tidak memiliki mekanisme enforcement dan monitoring yang memastikan kepatuhan dapat diukur dan dipertanggungjawabkan</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</si>
  <si>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eskalasi otomatis yang aktif di sistem helpdesk untuk insiden Critical dan Major yang mendekati atau melampaui batas SLA, dan (2) laporan kepatuhan SLA minimal bulanan yang disampaikan kepada manajemen sebagai dasar evaluasi kinerja layanan IT</t>
    </r>
  </si>
  <si>
    <r>
      <t xml:space="preserve">Penanganan insiden yang melampaui SLA tanpa terdeteksi dan tanpa dilaporkan kepada manajemen berpotensi terjadi secara konsisten — akibat tidak adanya </t>
    </r>
    <r>
      <rPr>
        <b/>
        <sz val="10"/>
        <color theme="1"/>
        <rFont val="Montserrat"/>
      </rPr>
      <t>mekanisme eskalasi otomatis</t>
    </r>
    <r>
      <rPr>
        <sz val="10"/>
        <color theme="1"/>
        <rFont val="Montserrat"/>
      </rPr>
      <t xml:space="preserve"> saat SLA terlampaui dan tidak adanya pelaporan kepatuhan SLA yang terstruktur kepada manajemen</t>
    </r>
  </si>
  <si>
    <r>
      <rPr>
        <b/>
        <sz val="10"/>
        <color theme="1"/>
        <rFont val="Montserrat"/>
      </rPr>
      <t>Topologi Jaringan</t>
    </r>
    <r>
      <rPr>
        <sz val="10"/>
        <color theme="1"/>
        <rFont val="Montserrat"/>
      </rPr>
      <t xml:space="preserve"> menyebabkan bottleneck yang tidak terdeteksi dan berdampak pada kualitas layanan nasabah.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</si>
</sst>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x14ac:knownFonts="1">
    <font>
      <sz val="11"/>
      <color theme="1"/>
      <name val="Calibri"/>
      <scheme val="minor"/>
    </font>
    <font>
      <sz val="10"/>
      <color theme="1"/>
      <name val="Montserrat"/>
    </font>
    <font>
      <b/>
      <sz val="10"/>
      <color theme="1"/>
      <name val="Montserrat"/>
    </font>
    <font>
      <sz val="11"/>
      <name val="Calibri"/>
      <family val="2"/>
    </font>
    <font>
      <b/>
      <i/>
      <sz val="10"/>
      <color theme="1"/>
      <name val="Montserrat"/>
    </font>
    <font>
      <b/>
      <u/>
      <sz val="10"/>
      <color theme="1"/>
      <name val="Montserrat"/>
    </font>
    <font>
      <b/>
      <sz val="10"/>
      <color theme="1"/>
      <name val="Calibri"/>
      <family val="2"/>
    </font>
    <font>
      <sz val="10"/>
      <color theme="1"/>
      <name val="Calibri"/>
      <family val="2"/>
    </font>
    <font>
      <b/>
      <sz val="14"/>
      <color theme="1"/>
      <name val="Calibri"/>
      <family val="2"/>
    </font>
    <font>
      <sz val="11"/>
      <color theme="1"/>
      <name val="Calibri"/>
      <family val="2"/>
    </font>
    <font>
      <u/>
      <sz val="10"/>
      <color theme="1"/>
      <name val="Arial"/>
      <family val="2"/>
    </font>
    <font>
      <b/>
      <sz val="14"/>
      <color theme="1"/>
      <name val="Arial"/>
      <family val="2"/>
    </font>
    <font>
      <b/>
      <sz val="11"/>
      <color theme="1"/>
      <name val="Calibri"/>
      <family val="2"/>
    </font>
    <font>
      <b/>
      <sz val="11"/>
      <color rgb="FF000000"/>
      <name val="Calibri"/>
      <family val="2"/>
    </font>
    <font>
      <b/>
      <sz val="10"/>
      <color theme="1"/>
      <name val="Arial"/>
      <family val="2"/>
    </font>
    <font>
      <sz val="11"/>
      <color rgb="FF000000"/>
      <name val="Calibri"/>
      <family val="2"/>
    </font>
    <font>
      <sz val="11"/>
      <color theme="1"/>
      <name val="Calibri"/>
      <family val="2"/>
      <scheme val="minor"/>
    </font>
    <font>
      <b/>
      <sz val="12"/>
      <color theme="1"/>
      <name val="Calibri"/>
      <family val="2"/>
    </font>
    <font>
      <b/>
      <sz val="10"/>
      <color theme="1"/>
      <name val="Times New Roman"/>
      <family val="1"/>
    </font>
    <font>
      <b/>
      <sz val="10"/>
      <color rgb="FF000000"/>
      <name val="Times New Roman"/>
      <family val="1"/>
    </font>
    <font>
      <sz val="9"/>
      <color theme="1"/>
      <name val="Times New Roman"/>
      <family val="1"/>
    </font>
    <font>
      <sz val="8"/>
      <color theme="1"/>
      <name val="Arial"/>
      <family val="2"/>
    </font>
    <font>
      <b/>
      <sz val="12"/>
      <color rgb="FF0070C0"/>
      <name val="Calibri"/>
      <family val="2"/>
    </font>
    <font>
      <b/>
      <sz val="12"/>
      <color theme="1"/>
      <name val="Raleway"/>
    </font>
    <font>
      <b/>
      <sz val="10"/>
      <color rgb="FFFFFFFF"/>
      <name val="Montserrat"/>
    </font>
    <font>
      <b/>
      <sz val="10"/>
      <name val="Montserrat"/>
    </font>
    <font>
      <i/>
      <sz val="10"/>
      <color theme="1"/>
      <name val="Montserrat"/>
    </font>
  </fonts>
  <fills count="26">
    <fill>
      <patternFill patternType="none"/>
    </fill>
    <fill>
      <patternFill patternType="gray125"/>
    </fill>
    <fill>
      <patternFill patternType="solid">
        <fgColor rgb="FFD9E2F3"/>
        <bgColor rgb="FFD9E2F3"/>
      </patternFill>
    </fill>
    <fill>
      <patternFill patternType="solid">
        <fgColor rgb="FFD8D8D8"/>
        <bgColor rgb="FFD8D8D8"/>
      </patternFill>
    </fill>
    <fill>
      <patternFill patternType="solid">
        <fgColor rgb="FFFEF2CB"/>
        <bgColor rgb="FFFEF2CB"/>
      </patternFill>
    </fill>
    <fill>
      <patternFill patternType="solid">
        <fgColor rgb="FFB4C6E7"/>
        <bgColor rgb="FFB4C6E7"/>
      </patternFill>
    </fill>
    <fill>
      <patternFill patternType="solid">
        <fgColor theme="9"/>
        <bgColor theme="9"/>
      </patternFill>
    </fill>
    <fill>
      <patternFill patternType="solid">
        <fgColor rgb="FF595959"/>
        <bgColor rgb="FF595959"/>
      </patternFill>
    </fill>
    <fill>
      <patternFill patternType="solid">
        <fgColor rgb="FFF4B083"/>
        <bgColor rgb="FFF4B083"/>
      </patternFill>
    </fill>
    <fill>
      <patternFill patternType="solid">
        <fgColor rgb="FFFF0000"/>
        <bgColor rgb="FFFF0000"/>
      </patternFill>
    </fill>
    <fill>
      <patternFill patternType="solid">
        <fgColor rgb="FF808080"/>
        <bgColor rgb="FF808080"/>
      </patternFill>
    </fill>
    <fill>
      <patternFill patternType="solid">
        <fgColor rgb="FFC0C0C0"/>
        <bgColor rgb="FFC0C0C0"/>
      </patternFill>
    </fill>
    <fill>
      <patternFill patternType="solid">
        <fgColor rgb="FFFFD965"/>
        <bgColor rgb="FFFFD965"/>
      </patternFill>
    </fill>
    <fill>
      <patternFill patternType="solid">
        <fgColor theme="0"/>
        <bgColor theme="0"/>
      </patternFill>
    </fill>
    <fill>
      <patternFill patternType="solid">
        <fgColor rgb="FFCC99FF"/>
        <bgColor rgb="FFCC99FF"/>
      </patternFill>
    </fill>
    <fill>
      <patternFill patternType="solid">
        <fgColor rgb="FF99CC00"/>
        <bgColor rgb="FF99CC00"/>
      </patternFill>
    </fill>
    <fill>
      <patternFill patternType="solid">
        <fgColor rgb="FFFFFF00"/>
        <bgColor rgb="FFFFFF00"/>
      </patternFill>
    </fill>
    <fill>
      <patternFill patternType="solid">
        <fgColor rgb="FFFFCC00"/>
        <bgColor rgb="FFFFCC00"/>
      </patternFill>
    </fill>
    <fill>
      <patternFill patternType="solid">
        <fgColor rgb="FF339966"/>
        <bgColor rgb="FF339966"/>
      </patternFill>
    </fill>
    <fill>
      <patternFill patternType="solid">
        <fgColor rgb="FFFF9900"/>
        <bgColor rgb="FFFF9900"/>
      </patternFill>
    </fill>
    <fill>
      <patternFill patternType="solid">
        <fgColor rgb="FF00FF00"/>
        <bgColor rgb="FF00FF00"/>
      </patternFill>
    </fill>
    <fill>
      <patternFill patternType="solid">
        <fgColor rgb="FFD6DCE4"/>
        <bgColor rgb="FFD6DCE4"/>
      </patternFill>
    </fill>
    <fill>
      <patternFill patternType="solid">
        <fgColor rgb="FF366092"/>
        <bgColor rgb="FF366092"/>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tint="0.59999389629810485"/>
        <bgColor indexed="64"/>
      </patternFill>
    </fill>
  </fills>
  <borders count="102">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double">
        <color rgb="FF000000"/>
      </left>
      <right style="thin">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top style="medium">
        <color indexed="64"/>
      </top>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top style="medium">
        <color indexed="64"/>
      </top>
      <bottom style="thin">
        <color rgb="FF000000"/>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rgb="FF000000"/>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rgb="FF000000"/>
      </top>
      <bottom style="thin">
        <color rgb="FF000000"/>
      </bottom>
      <diagonal/>
    </border>
    <border>
      <left style="thin">
        <color rgb="FF000000"/>
      </left>
      <right style="medium">
        <color indexed="64"/>
      </right>
      <top style="medium">
        <color rgb="FF000000"/>
      </top>
      <bottom/>
      <diagonal/>
    </border>
    <border>
      <left style="medium">
        <color indexed="64"/>
      </left>
      <right style="thin">
        <color rgb="FF000000"/>
      </right>
      <top style="thin">
        <color rgb="FF000000"/>
      </top>
      <bottom/>
      <diagonal/>
    </border>
    <border>
      <left style="medium">
        <color indexed="64"/>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bottom/>
      <diagonal/>
    </border>
    <border>
      <left/>
      <right style="thin">
        <color auto="1"/>
      </right>
      <top style="thin">
        <color auto="1"/>
      </top>
      <bottom style="medium">
        <color indexed="64"/>
      </bottom>
      <diagonal/>
    </border>
    <border>
      <left style="thin">
        <color rgb="FF000000"/>
      </left>
      <right style="medium">
        <color indexed="64"/>
      </right>
      <top style="medium">
        <color indexed="64"/>
      </top>
      <bottom/>
      <diagonal/>
    </border>
    <border>
      <left style="medium">
        <color indexed="64"/>
      </left>
      <right style="thin">
        <color rgb="FF000000"/>
      </right>
      <top style="medium">
        <color indexed="64"/>
      </top>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rgb="FF000000"/>
      </right>
      <top style="medium">
        <color indexed="64"/>
      </top>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rgb="FF000000"/>
      </top>
      <bottom style="medium">
        <color indexed="64"/>
      </bottom>
      <diagonal/>
    </border>
  </borders>
  <cellStyleXfs count="1">
    <xf numFmtId="0" fontId="0" fillId="0" borderId="0"/>
  </cellStyleXfs>
  <cellXfs count="281">
    <xf numFmtId="0" fontId="0" fillId="0" borderId="0" xfId="0"/>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vertical="top" wrapText="1"/>
    </xf>
    <xf numFmtId="0" fontId="4" fillId="5" borderId="10" xfId="0" applyFont="1" applyFill="1" applyBorder="1" applyAlignment="1">
      <alignment horizontal="center" vertical="top" wrapText="1"/>
    </xf>
    <xf numFmtId="0" fontId="4" fillId="6" borderId="10" xfId="0" applyFont="1" applyFill="1" applyBorder="1" applyAlignment="1">
      <alignment horizontal="center" vertical="top" wrapText="1"/>
    </xf>
    <xf numFmtId="0" fontId="7" fillId="0" borderId="0" xfId="0" applyFont="1"/>
    <xf numFmtId="0" fontId="8" fillId="0" borderId="0" xfId="0" applyFont="1" applyAlignment="1">
      <alignment vertical="center" wrapText="1"/>
    </xf>
    <xf numFmtId="0" fontId="6" fillId="11" borderId="10" xfId="0" applyFont="1" applyFill="1" applyBorder="1" applyAlignment="1">
      <alignment horizontal="center" vertical="center" wrapText="1"/>
    </xf>
    <xf numFmtId="0" fontId="7" fillId="0" borderId="10" xfId="0" applyFont="1" applyBorder="1" applyAlignment="1">
      <alignment horizontal="center" vertical="center"/>
    </xf>
    <xf numFmtId="0" fontId="7" fillId="0" borderId="10" xfId="0" applyFont="1" applyBorder="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wrapText="1"/>
    </xf>
    <xf numFmtId="0" fontId="7" fillId="0" borderId="0" xfId="0" applyFont="1" applyAlignment="1">
      <alignment horizontal="center" vertical="center"/>
    </xf>
    <xf numFmtId="0" fontId="7" fillId="0" borderId="0" xfId="0" applyFont="1" applyAlignment="1">
      <alignment vertical="center"/>
    </xf>
    <xf numFmtId="0" fontId="6" fillId="11" borderId="11" xfId="0" applyFont="1" applyFill="1" applyBorder="1" applyAlignment="1">
      <alignment horizontal="center" vertical="center"/>
    </xf>
    <xf numFmtId="0" fontId="6" fillId="11" borderId="11" xfId="0" applyFont="1" applyFill="1" applyBorder="1" applyAlignment="1">
      <alignment horizontal="center" vertical="center" wrapText="1"/>
    </xf>
    <xf numFmtId="0" fontId="6" fillId="11" borderId="18" xfId="0" applyFont="1" applyFill="1" applyBorder="1" applyAlignment="1">
      <alignment horizontal="center" vertical="center" wrapText="1"/>
    </xf>
    <xf numFmtId="0" fontId="7" fillId="0" borderId="10" xfId="0" applyFont="1" applyBorder="1" applyAlignment="1">
      <alignment horizontal="center" vertical="center" wrapText="1"/>
    </xf>
    <xf numFmtId="0" fontId="7" fillId="0" borderId="13" xfId="0" applyFont="1" applyBorder="1" applyAlignment="1">
      <alignment horizontal="center" vertical="center" wrapText="1"/>
    </xf>
    <xf numFmtId="0" fontId="7" fillId="13" borderId="19" xfId="0" applyFont="1" applyFill="1" applyBorder="1" applyAlignment="1">
      <alignment horizontal="center" vertical="center" wrapText="1"/>
    </xf>
    <xf numFmtId="0" fontId="7" fillId="13" borderId="11"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10" xfId="0" applyFont="1" applyFill="1" applyBorder="1" applyAlignment="1">
      <alignment horizontal="center" vertical="center" wrapText="1"/>
    </xf>
    <xf numFmtId="0" fontId="6" fillId="14" borderId="29" xfId="0" applyFont="1" applyFill="1" applyBorder="1" applyAlignment="1">
      <alignment horizontal="center"/>
    </xf>
    <xf numFmtId="0" fontId="13" fillId="11" borderId="29" xfId="0" applyFont="1" applyFill="1" applyBorder="1" applyAlignment="1">
      <alignment horizontal="center"/>
    </xf>
    <xf numFmtId="0" fontId="13" fillId="11" borderId="29" xfId="0" applyFont="1" applyFill="1" applyBorder="1" applyAlignment="1">
      <alignment horizontal="center" vertical="center" wrapText="1"/>
    </xf>
    <xf numFmtId="1" fontId="14" fillId="14" borderId="29" xfId="0" applyNumberFormat="1" applyFont="1" applyFill="1" applyBorder="1" applyAlignment="1">
      <alignment horizontal="center" vertical="center"/>
    </xf>
    <xf numFmtId="0" fontId="6" fillId="11" borderId="29" xfId="0" applyFont="1" applyFill="1" applyBorder="1" applyAlignment="1">
      <alignment vertical="center" wrapText="1"/>
    </xf>
    <xf numFmtId="1" fontId="15" fillId="15" borderId="29" xfId="0" applyNumberFormat="1" applyFont="1" applyFill="1" applyBorder="1" applyAlignment="1">
      <alignment horizontal="center"/>
    </xf>
    <xf numFmtId="1" fontId="15" fillId="16" borderId="29" xfId="0" applyNumberFormat="1" applyFont="1" applyFill="1" applyBorder="1" applyAlignment="1">
      <alignment horizontal="center"/>
    </xf>
    <xf numFmtId="1" fontId="15" fillId="17" borderId="29" xfId="0" applyNumberFormat="1" applyFont="1" applyFill="1" applyBorder="1" applyAlignment="1">
      <alignment horizontal="center"/>
    </xf>
    <xf numFmtId="1" fontId="15" fillId="9" borderId="29" xfId="0" applyNumberFormat="1" applyFont="1" applyFill="1" applyBorder="1" applyAlignment="1">
      <alignment horizontal="center"/>
    </xf>
    <xf numFmtId="1" fontId="13" fillId="15" borderId="29" xfId="0" applyNumberFormat="1" applyFont="1" applyFill="1" applyBorder="1" applyAlignment="1">
      <alignment horizontal="center" vertical="center" wrapText="1"/>
    </xf>
    <xf numFmtId="1" fontId="13" fillId="16" borderId="29" xfId="0" applyNumberFormat="1" applyFont="1" applyFill="1" applyBorder="1" applyAlignment="1">
      <alignment horizontal="center" vertical="center" wrapText="1"/>
    </xf>
    <xf numFmtId="1" fontId="13" fillId="17" borderId="29" xfId="0" applyNumberFormat="1" applyFont="1" applyFill="1" applyBorder="1" applyAlignment="1">
      <alignment horizontal="center" vertical="center" wrapText="1"/>
    </xf>
    <xf numFmtId="1" fontId="13" fillId="9" borderId="29" xfId="0" applyNumberFormat="1" applyFont="1" applyFill="1" applyBorder="1" applyAlignment="1">
      <alignment horizontal="center" vertical="center" wrapText="1"/>
    </xf>
    <xf numFmtId="0" fontId="15" fillId="0" borderId="0" xfId="0" applyFont="1"/>
    <xf numFmtId="1" fontId="15" fillId="18" borderId="29" xfId="0" applyNumberFormat="1" applyFont="1" applyFill="1" applyBorder="1" applyAlignment="1">
      <alignment horizontal="center"/>
    </xf>
    <xf numFmtId="1" fontId="13" fillId="18" borderId="29" xfId="0" applyNumberFormat="1" applyFont="1" applyFill="1" applyBorder="1" applyAlignment="1">
      <alignment horizontal="center" vertical="center" wrapText="1"/>
    </xf>
    <xf numFmtId="1" fontId="15" fillId="19" borderId="29" xfId="0" applyNumberFormat="1" applyFont="1" applyFill="1" applyBorder="1" applyAlignment="1">
      <alignment horizontal="center"/>
    </xf>
    <xf numFmtId="1" fontId="15" fillId="20" borderId="29" xfId="0" applyNumberFormat="1" applyFont="1" applyFill="1" applyBorder="1" applyAlignment="1">
      <alignment horizontal="center"/>
    </xf>
    <xf numFmtId="0" fontId="8" fillId="0" borderId="0" xfId="0" applyFont="1"/>
    <xf numFmtId="0" fontId="6" fillId="0" borderId="0" xfId="0" applyFont="1"/>
    <xf numFmtId="0" fontId="16" fillId="0" borderId="0" xfId="0" applyFont="1"/>
    <xf numFmtId="0" fontId="15" fillId="11" borderId="10" xfId="0" applyFont="1" applyFill="1" applyBorder="1" applyAlignment="1">
      <alignment horizontal="center" vertical="center"/>
    </xf>
    <xf numFmtId="0" fontId="7" fillId="11" borderId="10" xfId="0" applyFont="1" applyFill="1" applyBorder="1" applyAlignment="1">
      <alignment horizontal="center" vertical="center"/>
    </xf>
    <xf numFmtId="0" fontId="6" fillId="18" borderId="10" xfId="0" applyFont="1" applyFill="1" applyBorder="1" applyAlignment="1">
      <alignment horizontal="center" vertical="center"/>
    </xf>
    <xf numFmtId="0" fontId="7" fillId="0" borderId="10" xfId="0" applyFont="1" applyBorder="1" applyAlignment="1">
      <alignment vertical="center"/>
    </xf>
    <xf numFmtId="1" fontId="15" fillId="0" borderId="0" xfId="0" applyNumberFormat="1" applyFont="1" applyAlignment="1">
      <alignment horizontal="center"/>
    </xf>
    <xf numFmtId="0" fontId="6" fillId="15" borderId="10" xfId="0" applyFont="1" applyFill="1" applyBorder="1" applyAlignment="1">
      <alignment horizontal="center" vertical="center"/>
    </xf>
    <xf numFmtId="0" fontId="6" fillId="16" borderId="10" xfId="0" applyFont="1" applyFill="1" applyBorder="1" applyAlignment="1">
      <alignment horizontal="center" vertical="center"/>
    </xf>
    <xf numFmtId="0" fontId="6" fillId="17" borderId="10" xfId="0" applyFont="1" applyFill="1" applyBorder="1" applyAlignment="1">
      <alignment horizontal="center" vertical="center"/>
    </xf>
    <xf numFmtId="0" fontId="6" fillId="9" borderId="10" xfId="0" applyFont="1" applyFill="1" applyBorder="1" applyAlignment="1">
      <alignment horizontal="center" vertical="center"/>
    </xf>
    <xf numFmtId="0" fontId="12" fillId="0" borderId="0" xfId="0" applyFont="1" applyAlignment="1">
      <alignment horizontal="left" vertical="center"/>
    </xf>
    <xf numFmtId="2" fontId="7" fillId="0" borderId="0" xfId="0" applyNumberFormat="1" applyFont="1"/>
    <xf numFmtId="0" fontId="6" fillId="11" borderId="10" xfId="0" applyFont="1" applyFill="1" applyBorder="1" applyAlignment="1">
      <alignment horizontal="center" wrapText="1"/>
    </xf>
    <xf numFmtId="1" fontId="15" fillId="18" borderId="10" xfId="0" applyNumberFormat="1" applyFont="1" applyFill="1" applyBorder="1" applyAlignment="1">
      <alignment horizontal="center"/>
    </xf>
    <xf numFmtId="1" fontId="7" fillId="0" borderId="10" xfId="0" applyNumberFormat="1" applyFont="1" applyBorder="1" applyAlignment="1">
      <alignment horizontal="center"/>
    </xf>
    <xf numFmtId="0" fontId="7" fillId="0" borderId="10" xfId="0" applyFont="1" applyBorder="1" applyAlignment="1">
      <alignment horizontal="center"/>
    </xf>
    <xf numFmtId="0" fontId="7" fillId="18" borderId="10" xfId="0" applyFont="1" applyFill="1" applyBorder="1" applyAlignment="1">
      <alignment horizontal="center" vertical="center"/>
    </xf>
    <xf numFmtId="1" fontId="15" fillId="15" borderId="10" xfId="0" applyNumberFormat="1" applyFont="1" applyFill="1" applyBorder="1" applyAlignment="1">
      <alignment horizontal="center"/>
    </xf>
    <xf numFmtId="1" fontId="15" fillId="16" borderId="10" xfId="0" applyNumberFormat="1" applyFont="1" applyFill="1" applyBorder="1" applyAlignment="1">
      <alignment horizontal="center"/>
    </xf>
    <xf numFmtId="1" fontId="15" fillId="17" borderId="10" xfId="0" applyNumberFormat="1" applyFont="1" applyFill="1" applyBorder="1" applyAlignment="1">
      <alignment horizontal="center"/>
    </xf>
    <xf numFmtId="1" fontId="15" fillId="9" borderId="10" xfId="0" applyNumberFormat="1" applyFont="1" applyFill="1" applyBorder="1" applyAlignment="1">
      <alignment horizontal="center"/>
    </xf>
    <xf numFmtId="0" fontId="12" fillId="0" borderId="0" xfId="0" applyFont="1"/>
    <xf numFmtId="0" fontId="7" fillId="13" borderId="37" xfId="0" applyFont="1" applyFill="1" applyBorder="1"/>
    <xf numFmtId="0" fontId="6" fillId="13" borderId="37" xfId="0" applyFont="1" applyFill="1" applyBorder="1"/>
    <xf numFmtId="0" fontId="18" fillId="4" borderId="10" xfId="0" applyFont="1" applyFill="1" applyBorder="1" applyAlignment="1">
      <alignment horizontal="center" vertical="top"/>
    </xf>
    <xf numFmtId="0" fontId="19" fillId="3" borderId="40"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7" fillId="0" borderId="10" xfId="0" applyFont="1" applyBorder="1" applyAlignment="1">
      <alignment horizontal="center" vertical="top"/>
    </xf>
    <xf numFmtId="0" fontId="20" fillId="0" borderId="10" xfId="0" applyFont="1" applyBorder="1" applyAlignment="1">
      <alignment horizontal="left" vertical="top" wrapText="1"/>
    </xf>
    <xf numFmtId="0" fontId="21" fillId="0" borderId="10" xfId="0" applyFont="1" applyBorder="1" applyAlignment="1">
      <alignment horizontal="center" vertical="center" wrapText="1"/>
    </xf>
    <xf numFmtId="0" fontId="20" fillId="0" borderId="10" xfId="0" applyFont="1" applyBorder="1" applyAlignment="1">
      <alignment horizontal="center" vertical="top" wrapText="1"/>
    </xf>
    <xf numFmtId="0" fontId="7" fillId="13" borderId="37" xfId="0" applyFont="1" applyFill="1" applyBorder="1" applyAlignment="1">
      <alignment horizontal="center" vertical="center"/>
    </xf>
    <xf numFmtId="0" fontId="7" fillId="13" borderId="10" xfId="0" applyFont="1" applyFill="1" applyBorder="1" applyAlignment="1">
      <alignment horizontal="center" vertical="center"/>
    </xf>
    <xf numFmtId="0" fontId="12" fillId="13" borderId="10" xfId="0" applyFont="1" applyFill="1" applyBorder="1" applyAlignment="1">
      <alignment horizontal="center" vertical="center"/>
    </xf>
    <xf numFmtId="0" fontId="12" fillId="13" borderId="10"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3" borderId="10" xfId="0" applyFont="1" applyFill="1" applyBorder="1" applyAlignment="1">
      <alignment horizontal="left" vertical="center" wrapText="1"/>
    </xf>
    <xf numFmtId="0" fontId="9" fillId="13" borderId="11" xfId="0" applyFont="1" applyFill="1" applyBorder="1" applyAlignment="1">
      <alignment horizontal="center" vertical="center" wrapText="1"/>
    </xf>
    <xf numFmtId="0" fontId="9" fillId="13" borderId="11" xfId="0" applyFont="1" applyFill="1" applyBorder="1" applyAlignment="1">
      <alignment horizontal="left" vertical="center" wrapText="1"/>
    </xf>
    <xf numFmtId="0" fontId="1" fillId="0" borderId="56" xfId="0" applyFont="1" applyBorder="1" applyAlignment="1">
      <alignment horizontal="center" vertical="top"/>
    </xf>
    <xf numFmtId="0" fontId="1" fillId="0" borderId="57" xfId="0" applyFont="1" applyBorder="1" applyAlignment="1">
      <alignment horizontal="left" vertical="top"/>
    </xf>
    <xf numFmtId="0" fontId="1" fillId="0" borderId="58" xfId="0" applyFont="1" applyBorder="1" applyAlignment="1">
      <alignment horizontal="left" vertical="top" wrapText="1"/>
    </xf>
    <xf numFmtId="0" fontId="1" fillId="0" borderId="57" xfId="0" quotePrefix="1" applyFont="1" applyBorder="1" applyAlignment="1">
      <alignment horizontal="left" vertical="top" wrapText="1"/>
    </xf>
    <xf numFmtId="0" fontId="1" fillId="0" borderId="57" xfId="0" applyFont="1" applyBorder="1" applyAlignment="1">
      <alignment horizontal="center" vertical="top" wrapText="1"/>
    </xf>
    <xf numFmtId="0" fontId="1" fillId="0" borderId="60" xfId="0" applyFont="1" applyBorder="1" applyAlignment="1">
      <alignment horizontal="left" vertical="top"/>
    </xf>
    <xf numFmtId="0" fontId="1" fillId="0" borderId="45" xfId="0" applyFont="1" applyBorder="1" applyAlignment="1">
      <alignment horizontal="left" vertical="top"/>
    </xf>
    <xf numFmtId="0" fontId="1" fillId="0" borderId="45" xfId="0" applyFont="1" applyBorder="1" applyAlignment="1">
      <alignment horizontal="center" vertical="top"/>
    </xf>
    <xf numFmtId="0" fontId="0" fillId="0" borderId="0" xfId="0" applyAlignment="1">
      <alignment horizontal="center"/>
    </xf>
    <xf numFmtId="0" fontId="2" fillId="3" borderId="40" xfId="0" applyFont="1" applyFill="1" applyBorder="1" applyAlignment="1">
      <alignment horizontal="center" vertical="top" wrapText="1"/>
    </xf>
    <xf numFmtId="0" fontId="2" fillId="4" borderId="40" xfId="0" applyFont="1" applyFill="1" applyBorder="1" applyAlignment="1">
      <alignment horizontal="center" vertical="top" wrapText="1"/>
    </xf>
    <xf numFmtId="0" fontId="24" fillId="22" borderId="50" xfId="0" applyFont="1" applyFill="1" applyBorder="1" applyAlignment="1">
      <alignment horizontal="center" vertical="center" wrapText="1"/>
    </xf>
    <xf numFmtId="0" fontId="1" fillId="0" borderId="0" xfId="0" applyFont="1"/>
    <xf numFmtId="0" fontId="1" fillId="0" borderId="50" xfId="0" applyFont="1" applyBorder="1" applyAlignment="1">
      <alignment vertical="top" wrapText="1"/>
    </xf>
    <xf numFmtId="0" fontId="2" fillId="7" borderId="61" xfId="0" applyFont="1" applyFill="1" applyBorder="1" applyAlignment="1">
      <alignment horizontal="center" vertical="top" wrapText="1"/>
    </xf>
    <xf numFmtId="0" fontId="2" fillId="7" borderId="49" xfId="0" applyFont="1" applyFill="1" applyBorder="1" applyAlignment="1">
      <alignment horizontal="center" vertical="top" wrapText="1"/>
    </xf>
    <xf numFmtId="0" fontId="2" fillId="7" borderId="44" xfId="0" applyFont="1" applyFill="1" applyBorder="1" applyAlignment="1">
      <alignment horizontal="center" vertical="top" wrapText="1"/>
    </xf>
    <xf numFmtId="0" fontId="2" fillId="7" borderId="46" xfId="0" applyFont="1" applyFill="1" applyBorder="1" applyAlignment="1">
      <alignment horizontal="center" vertical="top" wrapText="1"/>
    </xf>
    <xf numFmtId="0" fontId="2" fillId="7" borderId="62" xfId="0" applyFont="1" applyFill="1" applyBorder="1" applyAlignment="1">
      <alignment horizontal="center" vertical="top" wrapText="1"/>
    </xf>
    <xf numFmtId="0" fontId="1" fillId="0" borderId="50" xfId="0" applyFont="1" applyBorder="1" applyAlignment="1">
      <alignment horizontal="left" vertical="top" wrapText="1"/>
    </xf>
    <xf numFmtId="0" fontId="1" fillId="0" borderId="50" xfId="0" applyFont="1" applyBorder="1" applyAlignment="1">
      <alignment horizontal="center" vertical="top" wrapText="1"/>
    </xf>
    <xf numFmtId="0" fontId="1" fillId="0" borderId="50" xfId="0" quotePrefix="1" applyFont="1" applyBorder="1" applyAlignment="1">
      <alignment horizontal="left" vertical="top" wrapText="1"/>
    </xf>
    <xf numFmtId="0" fontId="1" fillId="0" borderId="64" xfId="0" applyFont="1" applyBorder="1" applyAlignment="1">
      <alignment horizontal="center" vertical="top"/>
    </xf>
    <xf numFmtId="0" fontId="1" fillId="0" borderId="65" xfId="0" applyFont="1" applyBorder="1" applyAlignment="1">
      <alignment horizontal="left" vertical="top" wrapText="1"/>
    </xf>
    <xf numFmtId="0" fontId="1" fillId="0" borderId="65" xfId="0" applyFont="1" applyBorder="1" applyAlignment="1">
      <alignment horizontal="left" vertical="top"/>
    </xf>
    <xf numFmtId="0" fontId="1" fillId="0" borderId="66" xfId="0" applyFont="1" applyBorder="1" applyAlignment="1">
      <alignment horizontal="center" vertical="top" wrapText="1"/>
    </xf>
    <xf numFmtId="0" fontId="1" fillId="0" borderId="67" xfId="0" applyFont="1" applyBorder="1" applyAlignment="1">
      <alignment horizontal="center" vertical="top" wrapText="1"/>
    </xf>
    <xf numFmtId="49" fontId="1" fillId="8" borderId="65" xfId="0" applyNumberFormat="1" applyFont="1" applyFill="1" applyBorder="1" applyAlignment="1">
      <alignment horizontal="center" vertical="top" wrapText="1"/>
    </xf>
    <xf numFmtId="49" fontId="1" fillId="8" borderId="64" xfId="0" applyNumberFormat="1" applyFont="1" applyFill="1" applyBorder="1" applyAlignment="1">
      <alignment horizontal="center" vertical="top" wrapText="1"/>
    </xf>
    <xf numFmtId="49" fontId="1" fillId="8" borderId="56" xfId="0" applyNumberFormat="1" applyFont="1" applyFill="1" applyBorder="1" applyAlignment="1">
      <alignment horizontal="center" vertical="top" wrapText="1"/>
    </xf>
    <xf numFmtId="49" fontId="1" fillId="8" borderId="60" xfId="0" applyNumberFormat="1" applyFont="1" applyFill="1" applyBorder="1" applyAlignment="1">
      <alignment horizontal="center" vertical="top"/>
    </xf>
    <xf numFmtId="0" fontId="2" fillId="3" borderId="63" xfId="0" applyFont="1" applyFill="1" applyBorder="1" applyAlignment="1">
      <alignment horizontal="center" vertical="top"/>
    </xf>
    <xf numFmtId="0" fontId="1" fillId="0" borderId="66" xfId="0" applyFont="1" applyBorder="1" applyAlignment="1">
      <alignment horizontal="left" vertical="top" wrapText="1"/>
    </xf>
    <xf numFmtId="0" fontId="1" fillId="0" borderId="58" xfId="0" applyFont="1" applyBorder="1" applyAlignment="1">
      <alignment horizontal="left" vertical="top"/>
    </xf>
    <xf numFmtId="0" fontId="1" fillId="0" borderId="64" xfId="0" applyFont="1" applyBorder="1" applyAlignment="1">
      <alignment horizontal="left" vertical="top" wrapText="1"/>
    </xf>
    <xf numFmtId="0" fontId="1" fillId="0" borderId="64" xfId="0" quotePrefix="1" applyFont="1" applyBorder="1" applyAlignment="1">
      <alignment horizontal="left" vertical="top" wrapText="1"/>
    </xf>
    <xf numFmtId="0" fontId="1" fillId="0" borderId="56" xfId="0" quotePrefix="1" applyFont="1" applyBorder="1" applyAlignment="1">
      <alignment horizontal="left" vertical="top" wrapText="1"/>
    </xf>
    <xf numFmtId="0" fontId="2" fillId="3" borderId="69" xfId="0" applyFont="1" applyFill="1" applyBorder="1" applyAlignment="1">
      <alignment horizontal="center" vertical="top"/>
    </xf>
    <xf numFmtId="0" fontId="1" fillId="0" borderId="67" xfId="0" applyFont="1" applyBorder="1" applyAlignment="1">
      <alignment horizontal="left" vertical="top" wrapText="1"/>
    </xf>
    <xf numFmtId="0" fontId="1" fillId="0" borderId="59" xfId="0" applyFont="1" applyBorder="1" applyAlignment="1">
      <alignment horizontal="left" vertical="top"/>
    </xf>
    <xf numFmtId="0" fontId="2" fillId="3" borderId="74" xfId="0" applyFont="1" applyFill="1" applyBorder="1" applyAlignment="1">
      <alignment horizontal="center" vertical="top" wrapText="1"/>
    </xf>
    <xf numFmtId="0" fontId="2" fillId="3" borderId="55" xfId="0" applyFont="1" applyFill="1" applyBorder="1" applyAlignment="1">
      <alignment horizontal="center" vertical="top" wrapText="1"/>
    </xf>
    <xf numFmtId="0" fontId="2" fillId="4" borderId="74" xfId="0" applyFont="1" applyFill="1" applyBorder="1" applyAlignment="1">
      <alignment horizontal="center" vertical="top" wrapText="1"/>
    </xf>
    <xf numFmtId="0" fontId="3" fillId="0" borderId="75" xfId="0" applyFont="1" applyBorder="1"/>
    <xf numFmtId="0" fontId="2" fillId="3" borderId="79" xfId="0" applyFont="1" applyFill="1" applyBorder="1" applyAlignment="1">
      <alignment horizontal="center" vertical="top" wrapText="1"/>
    </xf>
    <xf numFmtId="0" fontId="2" fillId="3" borderId="77" xfId="0" applyFont="1" applyFill="1" applyBorder="1" applyAlignment="1">
      <alignment horizontal="center" vertical="top" wrapText="1"/>
    </xf>
    <xf numFmtId="0" fontId="2" fillId="3" borderId="80" xfId="0" applyFont="1" applyFill="1" applyBorder="1" applyAlignment="1">
      <alignment horizontal="center" vertical="top" wrapText="1"/>
    </xf>
    <xf numFmtId="0" fontId="2" fillId="4" borderId="79" xfId="0" applyFont="1" applyFill="1" applyBorder="1" applyAlignment="1">
      <alignment horizontal="center" vertical="top" wrapText="1"/>
    </xf>
    <xf numFmtId="0" fontId="2" fillId="4" borderId="77" xfId="0" applyFont="1" applyFill="1" applyBorder="1" applyAlignment="1">
      <alignment horizontal="center" vertical="top" wrapText="1"/>
    </xf>
    <xf numFmtId="0" fontId="25" fillId="0" borderId="77" xfId="0" applyFont="1" applyBorder="1" applyAlignment="1">
      <alignment horizontal="center"/>
    </xf>
    <xf numFmtId="0" fontId="25" fillId="0" borderId="78" xfId="0" applyFont="1" applyBorder="1" applyAlignment="1">
      <alignment horizontal="center"/>
    </xf>
    <xf numFmtId="0" fontId="25" fillId="0" borderId="76" xfId="0" applyFont="1" applyBorder="1" applyAlignment="1">
      <alignment horizontal="center"/>
    </xf>
    <xf numFmtId="0" fontId="25" fillId="0" borderId="80" xfId="0" applyFont="1" applyBorder="1" applyAlignment="1">
      <alignment horizontal="center"/>
    </xf>
    <xf numFmtId="14" fontId="1" fillId="0" borderId="50" xfId="0" applyNumberFormat="1" applyFont="1" applyBorder="1" applyAlignment="1">
      <alignment horizontal="left" vertical="top" wrapText="1"/>
    </xf>
    <xf numFmtId="0" fontId="3" fillId="0" borderId="76" xfId="0" applyFont="1" applyBorder="1" applyAlignment="1">
      <alignment horizontal="center"/>
    </xf>
    <xf numFmtId="0" fontId="2" fillId="0" borderId="66" xfId="0" applyFont="1" applyBorder="1" applyAlignment="1">
      <alignment horizontal="center" vertical="top" wrapText="1"/>
    </xf>
    <xf numFmtId="0" fontId="1" fillId="0" borderId="58" xfId="0" applyFont="1" applyBorder="1" applyAlignment="1">
      <alignment horizontal="center" vertical="top" wrapText="1"/>
    </xf>
    <xf numFmtId="0" fontId="23" fillId="0" borderId="81" xfId="0" applyFont="1" applyBorder="1" applyAlignment="1">
      <alignment horizontal="center" vertical="top" wrapText="1"/>
    </xf>
    <xf numFmtId="0" fontId="23" fillId="0" borderId="82" xfId="0" applyFont="1" applyBorder="1" applyAlignment="1">
      <alignment horizontal="center" vertical="top" wrapText="1"/>
    </xf>
    <xf numFmtId="0" fontId="23" fillId="0" borderId="83" xfId="0" applyFont="1" applyBorder="1" applyAlignment="1">
      <alignment horizontal="center" vertical="top" wrapText="1"/>
    </xf>
    <xf numFmtId="0" fontId="5" fillId="0" borderId="0" xfId="0" applyFont="1" applyAlignment="1">
      <alignment horizontal="center" vertical="top"/>
    </xf>
    <xf numFmtId="0" fontId="2" fillId="4" borderId="55"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78" xfId="0" applyFont="1" applyFill="1" applyBorder="1" applyAlignment="1">
      <alignment horizontal="center" vertical="top" wrapText="1"/>
    </xf>
    <xf numFmtId="14" fontId="2" fillId="0" borderId="66" xfId="0" applyNumberFormat="1" applyFont="1" applyBorder="1" applyAlignment="1">
      <alignment horizontal="center" vertical="top" wrapText="1"/>
    </xf>
    <xf numFmtId="164" fontId="2" fillId="0" borderId="58" xfId="0" applyNumberFormat="1" applyFont="1" applyBorder="1" applyAlignment="1">
      <alignment horizontal="center" vertical="top" wrapText="1"/>
    </xf>
    <xf numFmtId="0" fontId="2" fillId="7" borderId="85" xfId="0" applyFont="1" applyFill="1" applyBorder="1" applyAlignment="1">
      <alignment horizontal="center" vertical="top" wrapText="1"/>
    </xf>
    <xf numFmtId="0" fontId="2" fillId="4" borderId="61" xfId="0" applyFont="1" applyFill="1" applyBorder="1" applyAlignment="1">
      <alignment horizontal="center" vertical="top" wrapText="1"/>
    </xf>
    <xf numFmtId="0" fontId="2" fillId="4" borderId="62" xfId="0" applyFont="1" applyFill="1" applyBorder="1" applyAlignment="1">
      <alignment horizontal="center" vertical="top" wrapText="1"/>
    </xf>
    <xf numFmtId="0" fontId="2" fillId="4" borderId="80" xfId="0" applyFont="1" applyFill="1" applyBorder="1" applyAlignment="1">
      <alignment horizontal="center" vertical="top" wrapText="1"/>
    </xf>
    <xf numFmtId="0" fontId="2" fillId="7" borderId="88" xfId="0" applyFont="1" applyFill="1" applyBorder="1" applyAlignment="1">
      <alignment horizontal="center" vertical="top" wrapText="1"/>
    </xf>
    <xf numFmtId="14" fontId="2" fillId="0" borderId="64" xfId="0" applyNumberFormat="1" applyFont="1" applyBorder="1" applyAlignment="1">
      <alignment horizontal="center" vertical="top" wrapText="1"/>
    </xf>
    <xf numFmtId="0" fontId="26" fillId="0" borderId="65" xfId="0" applyFont="1" applyBorder="1" applyAlignment="1">
      <alignment horizontal="left" vertical="top" wrapText="1"/>
    </xf>
    <xf numFmtId="14" fontId="1" fillId="0" borderId="64" xfId="0" applyNumberFormat="1" applyFont="1" applyBorder="1" applyAlignment="1">
      <alignment horizontal="center" vertical="top" wrapText="1"/>
    </xf>
    <xf numFmtId="0" fontId="1" fillId="0" borderId="60" xfId="0" applyFont="1" applyBorder="1" applyAlignment="1">
      <alignment horizontal="left" vertical="top" wrapText="1"/>
    </xf>
    <xf numFmtId="0" fontId="2" fillId="0" borderId="67" xfId="0" applyFont="1" applyBorder="1" applyAlignment="1">
      <alignment horizontal="center" vertical="top" wrapText="1"/>
    </xf>
    <xf numFmtId="0" fontId="23" fillId="0" borderId="89" xfId="0" applyFont="1" applyBorder="1" applyAlignment="1">
      <alignment horizontal="center" vertical="top" wrapText="1"/>
    </xf>
    <xf numFmtId="0" fontId="1" fillId="0" borderId="64" xfId="0" applyFont="1" applyBorder="1" applyAlignment="1">
      <alignment horizontal="center" vertical="top" wrapText="1"/>
    </xf>
    <xf numFmtId="0" fontId="1" fillId="0" borderId="56" xfId="0" applyFont="1" applyBorder="1" applyAlignment="1">
      <alignment horizontal="center" vertical="top" wrapText="1"/>
    </xf>
    <xf numFmtId="0" fontId="2" fillId="0" borderId="66" xfId="0" applyFont="1" applyBorder="1" applyAlignment="1">
      <alignment horizontal="center" vertical="top"/>
    </xf>
    <xf numFmtId="0" fontId="25" fillId="0" borderId="84" xfId="0" applyFont="1" applyBorder="1" applyAlignment="1">
      <alignment horizontal="center"/>
    </xf>
    <xf numFmtId="0" fontId="1" fillId="23" borderId="82" xfId="0" applyFont="1" applyFill="1" applyBorder="1" applyAlignment="1">
      <alignment horizontal="center" vertical="top" wrapText="1"/>
    </xf>
    <xf numFmtId="0" fontId="1" fillId="23" borderId="101" xfId="0" applyFont="1" applyFill="1" applyBorder="1" applyAlignment="1">
      <alignment horizontal="center" vertical="top" wrapText="1"/>
    </xf>
    <xf numFmtId="0" fontId="25" fillId="0" borderId="79" xfId="0" applyFont="1" applyBorder="1" applyAlignment="1">
      <alignment horizontal="center"/>
    </xf>
    <xf numFmtId="0" fontId="1" fillId="0" borderId="65" xfId="0" applyFont="1" applyBorder="1" applyAlignment="1">
      <alignment horizontal="center" vertical="top" wrapText="1"/>
    </xf>
    <xf numFmtId="0" fontId="1" fillId="0" borderId="56" xfId="0" applyFont="1" applyBorder="1" applyAlignment="1">
      <alignment horizontal="left" vertical="top" wrapText="1"/>
    </xf>
    <xf numFmtId="0" fontId="1" fillId="24" borderId="50" xfId="0" applyFont="1" applyFill="1" applyBorder="1" applyAlignment="1">
      <alignment horizontal="center" vertical="top" wrapText="1"/>
    </xf>
    <xf numFmtId="0" fontId="1" fillId="25" borderId="50" xfId="0" applyFont="1" applyFill="1" applyBorder="1" applyAlignment="1">
      <alignment horizontal="center" vertical="top" wrapText="1"/>
    </xf>
    <xf numFmtId="0" fontId="0" fillId="0" borderId="0" xfId="0" applyAlignment="1">
      <alignment horizontal="center"/>
    </xf>
    <xf numFmtId="0" fontId="2" fillId="3" borderId="3" xfId="0" applyFont="1" applyFill="1" applyBorder="1" applyAlignment="1">
      <alignment horizontal="center" vertical="top" wrapText="1"/>
    </xf>
    <xf numFmtId="0" fontId="3" fillId="0" borderId="44" xfId="0" applyFont="1" applyBorder="1"/>
    <xf numFmtId="0" fontId="2" fillId="3" borderId="6" xfId="0" applyFont="1" applyFill="1" applyBorder="1" applyAlignment="1">
      <alignment horizontal="center" vertical="top" wrapText="1"/>
    </xf>
    <xf numFmtId="0" fontId="2" fillId="3" borderId="51" xfId="0" applyFont="1" applyFill="1" applyBorder="1" applyAlignment="1">
      <alignment horizontal="center" vertical="top" wrapText="1"/>
    </xf>
    <xf numFmtId="0" fontId="3" fillId="0" borderId="54" xfId="0" applyFont="1" applyBorder="1"/>
    <xf numFmtId="0" fontId="1" fillId="0" borderId="0" xfId="0" applyFont="1" applyAlignment="1">
      <alignment horizontal="center" vertical="top"/>
    </xf>
    <xf numFmtId="0" fontId="2" fillId="3" borderId="94" xfId="0" applyFont="1" applyFill="1" applyBorder="1" applyAlignment="1">
      <alignment horizontal="center" vertical="top" wrapText="1"/>
    </xf>
    <xf numFmtId="0" fontId="3" fillId="0" borderId="100" xfId="0" applyFont="1" applyBorder="1"/>
    <xf numFmtId="0" fontId="2" fillId="3" borderId="5" xfId="0" applyFont="1" applyFill="1" applyBorder="1" applyAlignment="1">
      <alignment horizontal="center" vertical="top" wrapText="1"/>
    </xf>
    <xf numFmtId="0" fontId="3" fillId="0" borderId="49" xfId="0" applyFont="1" applyBorder="1"/>
    <xf numFmtId="0" fontId="2" fillId="3" borderId="73" xfId="0" applyFont="1" applyFill="1" applyBorder="1" applyAlignment="1">
      <alignment horizontal="center" vertical="top" wrapText="1"/>
    </xf>
    <xf numFmtId="0" fontId="3" fillId="0" borderId="62" xfId="0" applyFont="1" applyBorder="1"/>
    <xf numFmtId="0" fontId="5" fillId="0" borderId="0" xfId="0" applyFont="1" applyAlignment="1">
      <alignment horizontal="center" vertical="top"/>
    </xf>
    <xf numFmtId="0" fontId="2" fillId="2" borderId="90" xfId="0" applyFont="1" applyFill="1" applyBorder="1" applyAlignment="1">
      <alignment horizontal="center" vertical="top" wrapText="1"/>
    </xf>
    <xf numFmtId="0" fontId="3" fillId="0" borderId="93" xfId="0" applyFont="1" applyBorder="1"/>
    <xf numFmtId="0" fontId="2" fillId="4" borderId="51" xfId="0" applyFont="1" applyFill="1" applyBorder="1" applyAlignment="1">
      <alignment horizontal="center" vertical="top" wrapText="1"/>
    </xf>
    <xf numFmtId="0" fontId="3" fillId="0" borderId="52" xfId="0" applyFont="1" applyBorder="1" applyAlignment="1">
      <alignment horizontal="center"/>
    </xf>
    <xf numFmtId="0" fontId="2" fillId="4" borderId="68" xfId="0" applyFont="1" applyFill="1" applyBorder="1" applyAlignment="1">
      <alignment horizontal="center" vertical="top" wrapText="1"/>
    </xf>
    <xf numFmtId="0" fontId="2" fillId="4" borderId="16" xfId="0" applyFont="1" applyFill="1" applyBorder="1" applyAlignment="1">
      <alignment horizontal="center" vertical="top" wrapText="1"/>
    </xf>
    <xf numFmtId="0" fontId="2" fillId="4" borderId="86" xfId="0" applyFont="1" applyFill="1" applyBorder="1" applyAlignment="1">
      <alignment horizontal="center" vertical="top" wrapText="1"/>
    </xf>
    <xf numFmtId="0" fontId="2" fillId="4" borderId="87" xfId="0" applyFont="1" applyFill="1" applyBorder="1" applyAlignment="1">
      <alignment horizontal="center" vertical="top" wrapText="1"/>
    </xf>
    <xf numFmtId="0" fontId="3" fillId="0" borderId="88" xfId="0" applyFont="1" applyBorder="1"/>
    <xf numFmtId="0" fontId="2" fillId="4" borderId="91" xfId="0" applyFont="1" applyFill="1" applyBorder="1" applyAlignment="1">
      <alignment horizontal="center" vertical="top" wrapText="1"/>
    </xf>
    <xf numFmtId="0" fontId="3" fillId="0" borderId="92" xfId="0" applyFont="1" applyBorder="1"/>
    <xf numFmtId="0" fontId="2" fillId="4" borderId="90" xfId="0" applyFont="1" applyFill="1" applyBorder="1" applyAlignment="1">
      <alignment horizontal="center" vertical="top" wrapText="1"/>
    </xf>
    <xf numFmtId="0" fontId="2" fillId="2" borderId="70" xfId="0" applyFont="1" applyFill="1" applyBorder="1" applyAlignment="1">
      <alignment horizontal="center" vertical="top"/>
    </xf>
    <xf numFmtId="0" fontId="3" fillId="0" borderId="53" xfId="0" applyFont="1" applyBorder="1"/>
    <xf numFmtId="0" fontId="2" fillId="3" borderId="70" xfId="0" applyFont="1" applyFill="1" applyBorder="1" applyAlignment="1">
      <alignment horizontal="center" vertical="top"/>
    </xf>
    <xf numFmtId="0" fontId="3" fillId="0" borderId="71" xfId="0" applyFont="1" applyBorder="1"/>
    <xf numFmtId="0" fontId="2" fillId="4" borderId="51" xfId="0" applyFont="1" applyFill="1" applyBorder="1" applyAlignment="1">
      <alignment horizontal="center" vertical="top"/>
    </xf>
    <xf numFmtId="0" fontId="3" fillId="0" borderId="52" xfId="0" applyFont="1" applyBorder="1"/>
    <xf numFmtId="0" fontId="3" fillId="0" borderId="53" xfId="0" applyFont="1" applyBorder="1" applyAlignment="1">
      <alignment horizontal="center"/>
    </xf>
    <xf numFmtId="0" fontId="2" fillId="2" borderId="70" xfId="0" applyFont="1" applyFill="1" applyBorder="1" applyAlignment="1">
      <alignment horizontal="center" vertical="top" wrapText="1"/>
    </xf>
    <xf numFmtId="0" fontId="3" fillId="0" borderId="95" xfId="0" applyFont="1" applyBorder="1"/>
    <xf numFmtId="0" fontId="3" fillId="0" borderId="96" xfId="0" applyFont="1" applyBorder="1"/>
    <xf numFmtId="0" fontId="3" fillId="0" borderId="97" xfId="0" applyFont="1" applyBorder="1"/>
    <xf numFmtId="0" fontId="2" fillId="2" borderId="98" xfId="0" applyFont="1" applyFill="1" applyBorder="1" applyAlignment="1">
      <alignment horizontal="center" vertical="top" wrapText="1"/>
    </xf>
    <xf numFmtId="0" fontId="3" fillId="0" borderId="99" xfId="0" applyFont="1" applyBorder="1"/>
    <xf numFmtId="0" fontId="2" fillId="2" borderId="95" xfId="0" applyFont="1" applyFill="1" applyBorder="1" applyAlignment="1">
      <alignment horizontal="center" vertical="top" wrapText="1"/>
    </xf>
    <xf numFmtId="0" fontId="2" fillId="3" borderId="72" xfId="0" applyFont="1" applyFill="1" applyBorder="1" applyAlignment="1">
      <alignment horizontal="center" vertical="top" wrapText="1"/>
    </xf>
    <xf numFmtId="0" fontId="3" fillId="0" borderId="4" xfId="0" applyFont="1" applyBorder="1"/>
    <xf numFmtId="0" fontId="2" fillId="3" borderId="1" xfId="0" applyFont="1" applyFill="1" applyBorder="1" applyAlignment="1">
      <alignment horizontal="center" vertical="top" wrapText="1"/>
    </xf>
    <xf numFmtId="0" fontId="3" fillId="0" borderId="46" xfId="0" applyFont="1" applyBorder="1"/>
    <xf numFmtId="0" fontId="2" fillId="2" borderId="91" xfId="0" applyFont="1" applyFill="1" applyBorder="1" applyAlignment="1">
      <alignment horizontal="center" vertical="top" wrapText="1"/>
    </xf>
    <xf numFmtId="0" fontId="6" fillId="12" borderId="2" xfId="0" applyFont="1" applyFill="1" applyBorder="1" applyAlignment="1">
      <alignment horizontal="center" vertical="center" wrapText="1"/>
    </xf>
    <xf numFmtId="0" fontId="3" fillId="0" borderId="17" xfId="0" applyFont="1" applyBorder="1"/>
    <xf numFmtId="0" fontId="12" fillId="14" borderId="24" xfId="0" applyFont="1" applyFill="1" applyBorder="1" applyAlignment="1">
      <alignment horizontal="center" vertical="center"/>
    </xf>
    <xf numFmtId="0" fontId="3" fillId="0" borderId="25" xfId="0" applyFont="1" applyBorder="1"/>
    <xf numFmtId="0" fontId="3" fillId="0" borderId="26" xfId="0" applyFont="1" applyBorder="1"/>
    <xf numFmtId="0" fontId="8" fillId="10" borderId="9" xfId="0" applyFont="1" applyFill="1" applyBorder="1" applyAlignment="1">
      <alignment horizontal="center" vertical="center" wrapText="1"/>
    </xf>
    <xf numFmtId="0" fontId="3" fillId="0" borderId="7" xfId="0" applyFont="1" applyBorder="1"/>
    <xf numFmtId="0" fontId="3" fillId="0" borderId="8" xfId="0" applyFont="1" applyBorder="1"/>
    <xf numFmtId="0" fontId="8" fillId="10" borderId="12" xfId="0" applyFont="1" applyFill="1" applyBorder="1" applyAlignment="1">
      <alignment horizontal="center" vertical="center"/>
    </xf>
    <xf numFmtId="0" fontId="3" fillId="0" borderId="14" xfId="0" applyFont="1" applyBorder="1"/>
    <xf numFmtId="0" fontId="3" fillId="0" borderId="15" xfId="0" applyFont="1" applyBorder="1"/>
    <xf numFmtId="0" fontId="6" fillId="12" borderId="9"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9" xfId="0" applyFont="1" applyFill="1" applyBorder="1" applyAlignment="1">
      <alignment horizontal="center" vertical="center"/>
    </xf>
    <xf numFmtId="0" fontId="3" fillId="0" borderId="16" xfId="0" applyFont="1" applyBorder="1"/>
    <xf numFmtId="0" fontId="11" fillId="10" borderId="21" xfId="0" applyFont="1" applyFill="1" applyBorder="1" applyAlignment="1">
      <alignment horizontal="center" vertical="center"/>
    </xf>
    <xf numFmtId="0" fontId="3" fillId="0" borderId="22" xfId="0" applyFont="1" applyBorder="1"/>
    <xf numFmtId="0" fontId="3" fillId="0" borderId="23" xfId="0" applyFont="1" applyBorder="1"/>
    <xf numFmtId="0" fontId="3" fillId="0" borderId="27" xfId="0" applyFont="1" applyBorder="1"/>
    <xf numFmtId="0" fontId="0" fillId="0" borderId="0" xfId="0"/>
    <xf numFmtId="0" fontId="3" fillId="0" borderId="28" xfId="0" applyFont="1" applyBorder="1"/>
    <xf numFmtId="0" fontId="3" fillId="0" borderId="30" xfId="0" applyFont="1" applyBorder="1"/>
    <xf numFmtId="0" fontId="3" fillId="0" borderId="31" xfId="0" applyFont="1" applyBorder="1"/>
    <xf numFmtId="0" fontId="3" fillId="0" borderId="32" xfId="0" applyFont="1" applyBorder="1"/>
    <xf numFmtId="0" fontId="14" fillId="14" borderId="33" xfId="0" applyFont="1" applyFill="1" applyBorder="1" applyAlignment="1">
      <alignment horizontal="center" vertical="center" textRotation="90"/>
    </xf>
    <xf numFmtId="0" fontId="3" fillId="0" borderId="34" xfId="0" applyFont="1" applyBorder="1"/>
    <xf numFmtId="0" fontId="3" fillId="0" borderId="35" xfId="0" applyFont="1" applyBorder="1"/>
    <xf numFmtId="0" fontId="6" fillId="11" borderId="9"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8" fillId="2" borderId="9" xfId="0" applyFont="1" applyFill="1" applyBorder="1" applyAlignment="1">
      <alignment horizontal="center" vertical="top"/>
    </xf>
    <xf numFmtId="0" fontId="18" fillId="3" borderId="9" xfId="0" applyFont="1" applyFill="1" applyBorder="1" applyAlignment="1">
      <alignment horizontal="center" vertical="top"/>
    </xf>
    <xf numFmtId="0" fontId="19" fillId="2" borderId="3" xfId="0" applyFont="1" applyFill="1" applyBorder="1" applyAlignment="1">
      <alignment horizontal="center" vertical="center" wrapText="1"/>
    </xf>
    <xf numFmtId="0" fontId="3" fillId="0" borderId="1" xfId="0" applyFont="1" applyBorder="1"/>
    <xf numFmtId="0" fontId="3" fillId="0" borderId="41" xfId="0" applyFont="1" applyBorder="1"/>
    <xf numFmtId="0" fontId="3" fillId="0" borderId="42" xfId="0" applyFont="1" applyBorder="1"/>
    <xf numFmtId="0" fontId="19" fillId="3" borderId="2" xfId="0" applyFont="1" applyFill="1" applyBorder="1" applyAlignment="1">
      <alignment horizontal="center" vertical="center" wrapText="1"/>
    </xf>
    <xf numFmtId="0" fontId="9" fillId="13" borderId="2" xfId="0" applyFont="1" applyFill="1" applyBorder="1" applyAlignment="1">
      <alignment horizontal="center" vertical="center"/>
    </xf>
    <xf numFmtId="0" fontId="3" fillId="0" borderId="47" xfId="0" applyFont="1" applyBorder="1"/>
    <xf numFmtId="0" fontId="3" fillId="0" borderId="48" xfId="0" applyFont="1" applyBorder="1"/>
    <xf numFmtId="0" fontId="9" fillId="0" borderId="47" xfId="0" applyFont="1" applyBorder="1"/>
    <xf numFmtId="0" fontId="9" fillId="21" borderId="49" xfId="0" applyFont="1" applyFill="1" applyBorder="1"/>
    <xf numFmtId="0" fontId="12" fillId="4"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7" fillId="13" borderId="3" xfId="0" applyFont="1" applyFill="1" applyBorder="1" applyAlignment="1">
      <alignment horizontal="center" vertical="center"/>
    </xf>
    <xf numFmtId="0" fontId="3" fillId="0" borderId="36" xfId="0" applyFont="1" applyBorder="1"/>
    <xf numFmtId="0" fontId="3" fillId="0" borderId="38" xfId="0" applyFont="1" applyBorder="1"/>
    <xf numFmtId="0" fontId="3" fillId="0" borderId="39" xfId="0" applyFont="1" applyBorder="1"/>
    <xf numFmtId="0" fontId="3" fillId="0" borderId="43" xfId="0" applyFont="1" applyBorder="1"/>
    <xf numFmtId="0" fontId="22" fillId="13" borderId="44" xfId="0" applyFont="1" applyFill="1" applyBorder="1" applyAlignment="1">
      <alignment horizontal="center" vertical="center"/>
    </xf>
    <xf numFmtId="0" fontId="3" fillId="0" borderId="45" xfId="0" applyFont="1" applyBorder="1"/>
    <xf numFmtId="0" fontId="12" fillId="13" borderId="9" xfId="0" applyFont="1" applyFill="1" applyBorder="1" applyAlignment="1">
      <alignment horizontal="center"/>
    </xf>
    <xf numFmtId="0" fontId="9" fillId="13" borderId="9" xfId="0" applyFont="1" applyFill="1" applyBorder="1" applyAlignment="1">
      <alignment horizontal="center" vertical="center"/>
    </xf>
    <xf numFmtId="0" fontId="9" fillId="13" borderId="9" xfId="0" quotePrefix="1" applyFont="1" applyFill="1" applyBorder="1" applyAlignment="1">
      <alignment horizontal="center" vertical="center"/>
    </xf>
  </cellXfs>
  <cellStyles count="1">
    <cellStyle name="Normal" xfId="0" builtinId="0"/>
  </cellStyles>
  <dxfs count="130">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bgColor rgb="FF339966"/>
        </patternFill>
      </fill>
    </dxf>
    <dxf>
      <fill>
        <patternFill>
          <bgColor rgb="FFFF0000"/>
        </patternFill>
      </fill>
    </dxf>
    <dxf>
      <fill>
        <patternFill>
          <bgColor rgb="FFFFFF00"/>
        </patternFill>
      </fill>
    </dxf>
    <dxf>
      <fill>
        <patternFill>
          <bgColor rgb="FFFFCC00"/>
        </patternFill>
      </fill>
    </dxf>
    <dxf>
      <fill>
        <patternFill>
          <bgColor rgb="FF99CC00"/>
        </patternFill>
      </fill>
    </dxf>
    <dxf>
      <font>
        <b/>
        <i val="0"/>
      </font>
      <fill>
        <patternFill>
          <bgColor theme="9"/>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bgColor rgb="FF339966"/>
        </patternFill>
      </fill>
    </dxf>
    <dxf>
      <fill>
        <patternFill>
          <bgColor rgb="FFFF0000"/>
        </patternFill>
      </fill>
    </dxf>
    <dxf>
      <fill>
        <patternFill>
          <bgColor rgb="FFFFFF00"/>
        </patternFill>
      </fill>
    </dxf>
    <dxf>
      <fill>
        <patternFill>
          <bgColor rgb="FFFFCC00"/>
        </patternFill>
      </fill>
    </dxf>
    <dxf>
      <fill>
        <patternFill>
          <bgColor rgb="FF99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U153"/>
  <sheetViews>
    <sheetView showGridLines="0" tabSelected="1" topLeftCell="A13" zoomScale="85" zoomScaleNormal="85" workbookViewId="0">
      <pane xSplit="4" ySplit="2" topLeftCell="E44" activePane="bottomRight" state="frozen"/>
      <selection activeCell="A13" sqref="A13"/>
      <selection pane="topRight" activeCell="E13" sqref="E13"/>
      <selection pane="bottomLeft" activeCell="A15" sqref="A15"/>
      <selection pane="bottomRight" activeCell="C44" sqref="C44"/>
    </sheetView>
  </sheetViews>
  <sheetFormatPr defaultColWidth="14.44140625" defaultRowHeight="14.4" x14ac:dyDescent="0.3"/>
  <cols>
    <col min="1" max="1" width="5.77734375" customWidth="1"/>
    <col min="2" max="2" width="4.44140625" style="100" customWidth="1"/>
    <col min="3" max="4" width="40.77734375" customWidth="1"/>
    <col min="5" max="8" width="20.77734375" customWidth="1"/>
    <col min="9" max="10" width="41" customWidth="1"/>
    <col min="11" max="13" width="42" customWidth="1"/>
    <col min="14" max="14" width="31.21875" customWidth="1"/>
    <col min="15" max="16" width="25.21875" customWidth="1"/>
    <col min="17" max="17" width="14.33203125" customWidth="1"/>
    <col min="18" max="18" width="17" customWidth="1"/>
    <col min="19" max="19" width="10" customWidth="1"/>
    <col min="20" max="20" width="12.44140625" customWidth="1"/>
    <col min="21" max="22" width="49.5546875" customWidth="1"/>
    <col min="23" max="23" width="68.6640625" customWidth="1"/>
    <col min="24" max="24" width="56.33203125" customWidth="1"/>
    <col min="25" max="26" width="26.88671875" customWidth="1"/>
    <col min="27" max="27" width="81.21875" customWidth="1"/>
    <col min="28" max="28" width="26.88671875" customWidth="1"/>
    <col min="29" max="29" width="13.6640625" style="100" bestFit="1" customWidth="1"/>
    <col min="30" max="30" width="13.77734375" style="100" bestFit="1" customWidth="1"/>
    <col min="31" max="31" width="43" customWidth="1"/>
    <col min="32" max="32" width="13.77734375" style="100" hidden="1" customWidth="1"/>
    <col min="33" max="33" width="43" hidden="1" customWidth="1"/>
    <col min="34" max="34" width="13.77734375" style="100" hidden="1" customWidth="1"/>
    <col min="35" max="35" width="43" hidden="1" customWidth="1"/>
    <col min="36" max="36" width="13.77734375" style="100" hidden="1" customWidth="1"/>
    <col min="37" max="37" width="43" hidden="1" customWidth="1"/>
    <col min="38" max="38" width="10.77734375" style="100" customWidth="1"/>
    <col min="39" max="39" width="13.77734375" style="100" customWidth="1"/>
    <col min="40" max="40" width="10.77734375" style="100" customWidth="1"/>
    <col min="41" max="41" width="14.5546875" customWidth="1"/>
    <col min="42" max="42" width="21.88671875" customWidth="1"/>
    <col min="43" max="43" width="32.88671875" customWidth="1"/>
    <col min="44" max="66" width="10.77734375" customWidth="1"/>
  </cols>
  <sheetData>
    <row r="2" spans="1:47" ht="18" x14ac:dyDescent="0.3">
      <c r="A2" s="3"/>
      <c r="B2" s="2"/>
      <c r="C2" s="4" t="s">
        <v>0</v>
      </c>
      <c r="D2" s="5" t="s">
        <v>1</v>
      </c>
      <c r="E2" s="6"/>
      <c r="G2" s="2"/>
      <c r="H2" s="2"/>
      <c r="I2" s="3"/>
      <c r="J2" s="3"/>
      <c r="K2" s="3"/>
      <c r="L2" s="3"/>
      <c r="M2" s="3"/>
      <c r="N2" s="3"/>
      <c r="O2" s="2"/>
      <c r="P2" s="2"/>
      <c r="Q2" s="2"/>
      <c r="R2" s="2"/>
      <c r="S2" s="2"/>
      <c r="T2" s="3"/>
      <c r="U2" s="3"/>
      <c r="V2" s="3"/>
      <c r="W2" s="3"/>
      <c r="X2" s="3"/>
      <c r="Y2" s="3"/>
      <c r="Z2" s="3"/>
      <c r="AA2" s="3"/>
      <c r="AB2" s="3"/>
      <c r="AC2" s="2"/>
      <c r="AD2" s="2"/>
      <c r="AE2" s="3"/>
      <c r="AF2" s="2"/>
      <c r="AG2" s="3"/>
      <c r="AH2" s="2"/>
      <c r="AI2" s="3"/>
      <c r="AJ2" s="2"/>
      <c r="AK2" s="3"/>
      <c r="AL2" s="2"/>
      <c r="AM2" s="2"/>
      <c r="AN2" s="2"/>
      <c r="AO2" s="3"/>
      <c r="AP2" s="3"/>
      <c r="AQ2" s="3"/>
      <c r="AR2" s="3"/>
      <c r="AS2" s="3"/>
      <c r="AT2" s="3"/>
      <c r="AU2" s="3"/>
    </row>
    <row r="3" spans="1:47" ht="18" x14ac:dyDescent="0.3">
      <c r="A3" s="3"/>
      <c r="B3" s="2"/>
      <c r="C3" s="4" t="s">
        <v>2</v>
      </c>
      <c r="D3" s="5" t="s">
        <v>3</v>
      </c>
      <c r="E3" s="6"/>
      <c r="G3" s="2"/>
      <c r="H3" s="2"/>
      <c r="I3" s="3"/>
      <c r="J3" s="3"/>
      <c r="K3" s="3"/>
      <c r="L3" s="3"/>
      <c r="M3" s="3"/>
      <c r="N3" s="3"/>
      <c r="O3" s="2"/>
      <c r="P3" s="2"/>
      <c r="Q3" s="2"/>
      <c r="R3" s="2"/>
      <c r="S3" s="2"/>
      <c r="T3" s="3"/>
      <c r="U3" s="3"/>
      <c r="V3" s="3"/>
      <c r="W3" s="3"/>
      <c r="X3" s="3"/>
      <c r="Y3" s="3"/>
      <c r="Z3" s="3"/>
      <c r="AA3" s="3"/>
      <c r="AB3" s="3"/>
      <c r="AC3" s="2"/>
      <c r="AD3" s="2"/>
      <c r="AE3" s="3"/>
      <c r="AF3" s="2"/>
      <c r="AG3" s="3"/>
      <c r="AH3" s="2"/>
      <c r="AI3" s="3"/>
      <c r="AJ3" s="2"/>
      <c r="AK3" s="3"/>
      <c r="AL3" s="2"/>
      <c r="AM3" s="2"/>
      <c r="AN3" s="2"/>
      <c r="AO3" s="3"/>
      <c r="AP3" s="3"/>
      <c r="AQ3" s="3"/>
      <c r="AR3" s="3"/>
      <c r="AS3" s="3"/>
      <c r="AT3" s="3"/>
      <c r="AU3" s="3"/>
    </row>
    <row r="4" spans="1:47" ht="18" x14ac:dyDescent="0.3">
      <c r="A4" s="3"/>
      <c r="B4" s="2"/>
      <c r="C4" s="4"/>
      <c r="D4" s="5" t="s">
        <v>4</v>
      </c>
      <c r="E4" s="6"/>
      <c r="G4" s="2"/>
      <c r="H4" s="2"/>
      <c r="I4" s="3"/>
      <c r="J4" s="3"/>
      <c r="K4" s="3"/>
      <c r="L4" s="3"/>
      <c r="M4" s="3"/>
      <c r="N4" s="3"/>
      <c r="O4" s="2"/>
      <c r="P4" s="2"/>
      <c r="Q4" s="2"/>
      <c r="R4" s="2"/>
      <c r="S4" s="2"/>
      <c r="T4" s="3"/>
      <c r="U4" s="3"/>
      <c r="V4" s="3"/>
      <c r="W4" s="3"/>
      <c r="X4" s="3"/>
      <c r="Y4" s="3"/>
      <c r="Z4" s="3"/>
      <c r="AA4" s="3"/>
      <c r="AB4" s="3"/>
      <c r="AC4" s="2"/>
      <c r="AD4" s="2"/>
      <c r="AE4" s="3"/>
      <c r="AF4" s="2"/>
      <c r="AG4" s="3"/>
      <c r="AH4" s="2"/>
      <c r="AI4" s="3"/>
      <c r="AJ4" s="2"/>
      <c r="AK4" s="3"/>
      <c r="AL4" s="2"/>
      <c r="AM4" s="2"/>
      <c r="AN4" s="2"/>
      <c r="AO4" s="3"/>
      <c r="AP4" s="3"/>
      <c r="AQ4" s="3"/>
      <c r="AR4" s="3"/>
      <c r="AS4" s="3"/>
      <c r="AT4" s="3"/>
      <c r="AU4" s="3"/>
    </row>
    <row r="5" spans="1:47" ht="18" x14ac:dyDescent="0.3">
      <c r="A5" s="3"/>
      <c r="B5" s="2"/>
      <c r="C5" s="4"/>
      <c r="D5" s="5" t="s">
        <v>5</v>
      </c>
      <c r="E5" s="6"/>
      <c r="G5" s="2"/>
      <c r="H5" s="2"/>
      <c r="I5" s="3"/>
      <c r="J5" s="3"/>
      <c r="K5" s="3"/>
      <c r="L5" s="3"/>
      <c r="M5" s="3"/>
      <c r="N5" s="3"/>
      <c r="O5" s="2"/>
      <c r="P5" s="2"/>
      <c r="Q5" s="2"/>
      <c r="R5" s="2"/>
      <c r="S5" s="2"/>
      <c r="T5" s="3"/>
      <c r="U5" s="3"/>
      <c r="V5" s="3"/>
      <c r="W5" s="3"/>
      <c r="X5" s="3"/>
      <c r="Y5" s="3"/>
      <c r="Z5" s="3"/>
      <c r="AA5" s="3"/>
      <c r="AB5" s="3"/>
      <c r="AC5" s="2"/>
      <c r="AD5" s="2"/>
      <c r="AE5" s="3"/>
      <c r="AF5" s="2"/>
      <c r="AG5" s="3"/>
      <c r="AH5" s="2"/>
      <c r="AI5" s="3"/>
      <c r="AJ5" s="2"/>
      <c r="AK5" s="3"/>
      <c r="AL5" s="2"/>
      <c r="AM5" s="2"/>
      <c r="AN5" s="2"/>
      <c r="AR5" s="3"/>
      <c r="AS5" s="3"/>
      <c r="AT5" s="3"/>
      <c r="AU5" s="3"/>
    </row>
    <row r="6" spans="1:47" ht="18" x14ac:dyDescent="0.3">
      <c r="A6" s="3"/>
      <c r="B6" s="2"/>
      <c r="C6" s="4"/>
      <c r="D6" s="5" t="s">
        <v>6</v>
      </c>
      <c r="E6" s="6"/>
      <c r="G6" s="2"/>
      <c r="H6" s="2"/>
      <c r="I6" s="3"/>
      <c r="J6" s="3"/>
      <c r="K6" s="3"/>
      <c r="L6" s="3"/>
      <c r="M6" s="3"/>
      <c r="N6" s="3"/>
      <c r="O6" s="2"/>
      <c r="P6" s="2"/>
      <c r="Q6" s="2"/>
      <c r="R6" s="2"/>
      <c r="S6" s="2"/>
      <c r="T6" s="3"/>
      <c r="U6" s="3"/>
      <c r="V6" s="3"/>
      <c r="W6" s="3"/>
      <c r="X6" s="3"/>
      <c r="Y6" s="3"/>
      <c r="Z6" s="3"/>
      <c r="AA6" s="3"/>
      <c r="AB6" s="3"/>
      <c r="AC6" s="2"/>
      <c r="AD6" s="2"/>
      <c r="AE6" s="3"/>
      <c r="AF6" s="2"/>
      <c r="AG6" s="3"/>
      <c r="AH6" s="2"/>
      <c r="AI6" s="3"/>
      <c r="AJ6" s="2"/>
      <c r="AK6" s="3"/>
      <c r="AL6" s="2"/>
      <c r="AM6" s="2"/>
      <c r="AN6" s="2"/>
      <c r="AO6" s="3"/>
      <c r="AP6" s="3"/>
      <c r="AQ6" s="3"/>
      <c r="AR6" s="3"/>
      <c r="AS6" s="3"/>
      <c r="AT6" s="3"/>
      <c r="AU6" s="3"/>
    </row>
    <row r="7" spans="1:47" ht="18" customHeight="1" x14ac:dyDescent="0.3">
      <c r="A7" s="3"/>
      <c r="B7" s="2"/>
      <c r="C7" s="7" t="s">
        <v>7</v>
      </c>
      <c r="D7" s="7" t="s">
        <v>364</v>
      </c>
      <c r="E7" s="7"/>
      <c r="G7" s="7"/>
      <c r="H7" s="7"/>
      <c r="I7" s="4"/>
      <c r="J7" s="3"/>
      <c r="K7" s="3"/>
      <c r="L7" s="3"/>
      <c r="M7" s="3"/>
      <c r="N7" s="3"/>
      <c r="O7" s="2"/>
      <c r="P7" s="2"/>
      <c r="Q7" s="2"/>
      <c r="R7" s="2"/>
      <c r="S7" s="2"/>
      <c r="T7" s="3"/>
      <c r="U7" s="3"/>
      <c r="V7" s="3"/>
      <c r="W7" s="3"/>
      <c r="X7" s="3"/>
      <c r="Y7" s="3"/>
      <c r="Z7" s="3"/>
      <c r="AA7" s="3"/>
      <c r="AB7" s="3"/>
      <c r="AC7" s="2"/>
      <c r="AD7" s="2"/>
      <c r="AE7" s="3"/>
      <c r="AF7" s="2"/>
      <c r="AG7" s="3"/>
      <c r="AH7" s="2"/>
      <c r="AI7" s="3"/>
      <c r="AJ7" s="2"/>
      <c r="AK7" s="3"/>
      <c r="AL7" s="2"/>
      <c r="AM7" s="2"/>
      <c r="AN7" s="2"/>
      <c r="AO7" s="3"/>
      <c r="AP7" s="3"/>
      <c r="AQ7" s="3"/>
      <c r="AR7" s="3"/>
      <c r="AS7" s="3"/>
      <c r="AT7" s="3"/>
      <c r="AU7" s="3"/>
    </row>
    <row r="8" spans="1:47" ht="18" x14ac:dyDescent="0.3">
      <c r="A8" s="1"/>
      <c r="B8" s="2"/>
      <c r="C8" s="5" t="s">
        <v>8</v>
      </c>
      <c r="D8" s="5" t="s">
        <v>251</v>
      </c>
      <c r="E8" s="2"/>
      <c r="G8" s="2"/>
      <c r="H8" s="2"/>
      <c r="I8" s="1"/>
      <c r="J8" s="1"/>
      <c r="K8" s="1"/>
      <c r="L8" s="1"/>
      <c r="M8" s="1"/>
      <c r="N8" s="1"/>
      <c r="O8" s="2"/>
      <c r="P8" s="2"/>
      <c r="Q8" s="2"/>
      <c r="R8" s="2"/>
      <c r="S8" s="2"/>
      <c r="T8" s="1"/>
      <c r="U8" s="1"/>
      <c r="V8" s="1"/>
      <c r="W8" s="1"/>
      <c r="X8" s="1"/>
      <c r="Y8" s="1"/>
      <c r="Z8" s="1"/>
      <c r="AA8" s="1"/>
      <c r="AB8" s="1"/>
      <c r="AC8" s="2"/>
      <c r="AD8" s="2"/>
      <c r="AE8" s="1"/>
      <c r="AF8" s="2"/>
      <c r="AG8" s="1"/>
      <c r="AH8" s="2"/>
      <c r="AI8" s="1"/>
      <c r="AJ8" s="2"/>
      <c r="AK8" s="1"/>
      <c r="AL8" s="2"/>
      <c r="AM8" s="2"/>
      <c r="AN8" s="2"/>
      <c r="AO8" s="1"/>
      <c r="AP8" s="1"/>
      <c r="AQ8" s="1"/>
      <c r="AR8" s="1"/>
      <c r="AS8" s="1"/>
      <c r="AT8" s="1"/>
      <c r="AU8" s="1"/>
    </row>
    <row r="9" spans="1:47" ht="18.600000000000001" thickBot="1" x14ac:dyDescent="0.35">
      <c r="A9" s="98"/>
      <c r="B9" s="99"/>
      <c r="C9" s="98"/>
      <c r="D9" s="99"/>
      <c r="E9" s="99"/>
      <c r="F9" s="99"/>
      <c r="G9" s="99"/>
      <c r="H9" s="99"/>
      <c r="I9" s="98"/>
      <c r="J9" s="98"/>
      <c r="K9" s="98"/>
      <c r="L9" s="98"/>
      <c r="M9" s="98"/>
      <c r="N9" s="98"/>
      <c r="O9" s="99"/>
      <c r="P9" s="99"/>
      <c r="Q9" s="99"/>
      <c r="R9" s="99"/>
      <c r="S9" s="99"/>
      <c r="T9" s="98"/>
      <c r="U9" s="98"/>
      <c r="V9" s="98"/>
      <c r="W9" s="98"/>
      <c r="X9" s="98"/>
      <c r="Y9" s="98"/>
      <c r="Z9" s="98"/>
      <c r="AA9" s="98"/>
      <c r="AB9" s="98"/>
      <c r="AC9" s="99"/>
      <c r="AD9" s="99"/>
      <c r="AE9" s="98"/>
      <c r="AF9" s="99"/>
      <c r="AG9" s="98"/>
      <c r="AH9" s="99"/>
      <c r="AI9" s="98"/>
      <c r="AJ9" s="99"/>
      <c r="AK9" s="98"/>
      <c r="AL9" s="99"/>
      <c r="AM9" s="99"/>
      <c r="AN9" s="99"/>
      <c r="AO9" s="98"/>
      <c r="AP9" s="98"/>
      <c r="AQ9" s="98"/>
      <c r="AR9" s="1"/>
      <c r="AS9" s="1"/>
      <c r="AT9" s="1"/>
      <c r="AU9" s="1"/>
    </row>
    <row r="10" spans="1:47" ht="18.600000000000001" thickBot="1" x14ac:dyDescent="0.35">
      <c r="A10" s="206" t="s">
        <v>9</v>
      </c>
      <c r="B10" s="207"/>
      <c r="C10" s="207"/>
      <c r="D10" s="207"/>
      <c r="E10" s="207"/>
      <c r="F10" s="207"/>
      <c r="G10" s="207"/>
      <c r="H10" s="207"/>
      <c r="I10" s="208" t="s">
        <v>10</v>
      </c>
      <c r="J10" s="207"/>
      <c r="K10" s="207"/>
      <c r="L10" s="207"/>
      <c r="M10" s="207"/>
      <c r="N10" s="207"/>
      <c r="O10" s="207"/>
      <c r="P10" s="207"/>
      <c r="Q10" s="207"/>
      <c r="R10" s="207"/>
      <c r="S10" s="207"/>
      <c r="T10" s="209"/>
      <c r="U10" s="129"/>
      <c r="V10" s="123"/>
      <c r="W10" s="123"/>
      <c r="X10" s="123"/>
      <c r="Y10" s="123"/>
      <c r="Z10" s="123"/>
      <c r="AA10" s="210" t="s">
        <v>11</v>
      </c>
      <c r="AB10" s="211"/>
      <c r="AC10" s="211"/>
      <c r="AD10" s="207"/>
      <c r="AE10" s="207"/>
      <c r="AF10" s="207"/>
      <c r="AG10" s="207"/>
      <c r="AH10" s="207"/>
      <c r="AI10" s="207"/>
      <c r="AJ10" s="207"/>
      <c r="AK10" s="207"/>
      <c r="AL10" s="212"/>
      <c r="AM10" s="212"/>
      <c r="AN10" s="212"/>
      <c r="AO10" s="207"/>
      <c r="AP10" s="207"/>
      <c r="AQ10" s="209"/>
      <c r="AR10" s="1"/>
      <c r="AS10" s="1"/>
      <c r="AT10" s="1"/>
      <c r="AU10" s="1"/>
    </row>
    <row r="11" spans="1:47" ht="18" customHeight="1" x14ac:dyDescent="0.3">
      <c r="A11" s="213" t="s">
        <v>12</v>
      </c>
      <c r="B11" s="214"/>
      <c r="C11" s="217" t="s">
        <v>13</v>
      </c>
      <c r="D11" s="224" t="s">
        <v>16</v>
      </c>
      <c r="E11" s="194" t="s">
        <v>17</v>
      </c>
      <c r="F11" s="219" t="s">
        <v>14</v>
      </c>
      <c r="G11" s="217" t="s">
        <v>15</v>
      </c>
      <c r="H11" s="187" t="s">
        <v>24</v>
      </c>
      <c r="I11" s="220" t="s">
        <v>18</v>
      </c>
      <c r="J11" s="221"/>
      <c r="K11" s="189" t="s">
        <v>19</v>
      </c>
      <c r="L11" s="189" t="s">
        <v>20</v>
      </c>
      <c r="M11" s="189" t="s">
        <v>21</v>
      </c>
      <c r="N11" s="183" t="s">
        <v>22</v>
      </c>
      <c r="O11" s="184" t="s">
        <v>23</v>
      </c>
      <c r="P11" s="185"/>
      <c r="Q11" s="189" t="s">
        <v>25</v>
      </c>
      <c r="R11" s="189" t="s">
        <v>26</v>
      </c>
      <c r="S11" s="189" t="s">
        <v>27</v>
      </c>
      <c r="T11" s="191" t="s">
        <v>28</v>
      </c>
      <c r="U11" s="222" t="s">
        <v>29</v>
      </c>
      <c r="V11" s="181" t="s">
        <v>30</v>
      </c>
      <c r="W11" s="181" t="s">
        <v>387</v>
      </c>
      <c r="X11" s="181" t="s">
        <v>388</v>
      </c>
      <c r="Y11" s="181" t="s">
        <v>389</v>
      </c>
      <c r="Z11" s="181" t="s">
        <v>389</v>
      </c>
      <c r="AA11" s="198" t="s">
        <v>31</v>
      </c>
      <c r="AB11" s="199"/>
      <c r="AC11" s="199"/>
      <c r="AD11" s="200" t="s">
        <v>1161</v>
      </c>
      <c r="AE11" s="201"/>
      <c r="AF11" s="200" t="s">
        <v>1162</v>
      </c>
      <c r="AG11" s="201"/>
      <c r="AH11" s="200" t="s">
        <v>1168</v>
      </c>
      <c r="AI11" s="201"/>
      <c r="AJ11" s="200" t="s">
        <v>1168</v>
      </c>
      <c r="AK11" s="201"/>
      <c r="AL11" s="196" t="s">
        <v>32</v>
      </c>
      <c r="AM11" s="197"/>
      <c r="AN11" s="197"/>
      <c r="AO11" s="187" t="s">
        <v>28</v>
      </c>
      <c r="AP11" s="203" t="s">
        <v>33</v>
      </c>
      <c r="AQ11" s="205" t="s">
        <v>34</v>
      </c>
      <c r="AR11" s="1"/>
    </row>
    <row r="12" spans="1:47" ht="72.599999999999994" thickBot="1" x14ac:dyDescent="0.35">
      <c r="A12" s="215"/>
      <c r="B12" s="216"/>
      <c r="C12" s="218"/>
      <c r="D12" s="204"/>
      <c r="E12" s="195"/>
      <c r="F12" s="216"/>
      <c r="G12" s="218"/>
      <c r="H12" s="188"/>
      <c r="I12" s="132" t="s">
        <v>36</v>
      </c>
      <c r="J12" s="101" t="s">
        <v>37</v>
      </c>
      <c r="K12" s="190"/>
      <c r="L12" s="190"/>
      <c r="M12" s="190"/>
      <c r="N12" s="182"/>
      <c r="O12" s="132" t="s">
        <v>38</v>
      </c>
      <c r="P12" s="133" t="s">
        <v>39</v>
      </c>
      <c r="Q12" s="190"/>
      <c r="R12" s="190"/>
      <c r="S12" s="190"/>
      <c r="T12" s="192"/>
      <c r="U12" s="223"/>
      <c r="V12" s="182"/>
      <c r="W12" s="182"/>
      <c r="X12" s="182"/>
      <c r="Y12" s="182"/>
      <c r="Z12" s="182"/>
      <c r="AA12" s="134" t="s">
        <v>40</v>
      </c>
      <c r="AB12" s="102" t="s">
        <v>41</v>
      </c>
      <c r="AC12" s="154" t="s">
        <v>42</v>
      </c>
      <c r="AD12" s="159" t="s">
        <v>1159</v>
      </c>
      <c r="AE12" s="160" t="s">
        <v>44</v>
      </c>
      <c r="AF12" s="134" t="s">
        <v>1163</v>
      </c>
      <c r="AG12" s="153" t="s">
        <v>44</v>
      </c>
      <c r="AH12" s="134" t="s">
        <v>1160</v>
      </c>
      <c r="AI12" s="153" t="s">
        <v>44</v>
      </c>
      <c r="AJ12" s="134" t="s">
        <v>1171</v>
      </c>
      <c r="AK12" s="153" t="s">
        <v>44</v>
      </c>
      <c r="AL12" s="134" t="s">
        <v>45</v>
      </c>
      <c r="AM12" s="102" t="s">
        <v>46</v>
      </c>
      <c r="AN12" s="154" t="s">
        <v>47</v>
      </c>
      <c r="AO12" s="202"/>
      <c r="AP12" s="204"/>
      <c r="AQ12" s="195"/>
      <c r="AR12" s="1"/>
      <c r="AS12" s="8" t="s">
        <v>250</v>
      </c>
      <c r="AT12" s="9" t="s">
        <v>35</v>
      </c>
      <c r="AU12" s="9" t="s">
        <v>249</v>
      </c>
    </row>
    <row r="13" spans="1:47" ht="18.600000000000001" thickBot="1" x14ac:dyDescent="0.6">
      <c r="A13" s="135"/>
      <c r="B13" s="146"/>
      <c r="C13" s="142" t="s">
        <v>13</v>
      </c>
      <c r="D13" s="175" t="s">
        <v>193</v>
      </c>
      <c r="E13" s="144" t="s">
        <v>194</v>
      </c>
      <c r="F13" s="143" t="s">
        <v>14</v>
      </c>
      <c r="G13" s="142" t="s">
        <v>390</v>
      </c>
      <c r="H13" s="172" t="s">
        <v>391</v>
      </c>
      <c r="I13" s="136" t="s">
        <v>1089</v>
      </c>
      <c r="J13" s="137" t="s">
        <v>1090</v>
      </c>
      <c r="K13" s="141" t="s">
        <v>1091</v>
      </c>
      <c r="L13" s="141" t="s">
        <v>1092</v>
      </c>
      <c r="M13" s="141" t="s">
        <v>21</v>
      </c>
      <c r="N13" s="142" t="s">
        <v>360</v>
      </c>
      <c r="O13" s="136" t="s">
        <v>38</v>
      </c>
      <c r="P13" s="138" t="s">
        <v>39</v>
      </c>
      <c r="Q13" s="141" t="s">
        <v>45</v>
      </c>
      <c r="R13" s="141" t="s">
        <v>46</v>
      </c>
      <c r="S13" s="141" t="s">
        <v>59</v>
      </c>
      <c r="T13" s="144" t="s">
        <v>392</v>
      </c>
      <c r="U13" s="143" t="s">
        <v>393</v>
      </c>
      <c r="V13" s="142" t="s">
        <v>394</v>
      </c>
      <c r="W13" s="142" t="s">
        <v>395</v>
      </c>
      <c r="X13" s="142" t="s">
        <v>1100</v>
      </c>
      <c r="Y13" s="142" t="s">
        <v>724</v>
      </c>
      <c r="Z13" s="142" t="s">
        <v>723</v>
      </c>
      <c r="AA13" s="139" t="s">
        <v>40</v>
      </c>
      <c r="AB13" s="140" t="s">
        <v>41</v>
      </c>
      <c r="AC13" s="155" t="s">
        <v>396</v>
      </c>
      <c r="AD13" s="139" t="s">
        <v>1164</v>
      </c>
      <c r="AE13" s="161" t="s">
        <v>1166</v>
      </c>
      <c r="AF13" s="139" t="s">
        <v>1165</v>
      </c>
      <c r="AG13" s="161" t="s">
        <v>1167</v>
      </c>
      <c r="AH13" s="139" t="s">
        <v>1169</v>
      </c>
      <c r="AI13" s="161" t="s">
        <v>1170</v>
      </c>
      <c r="AJ13" s="139" t="s">
        <v>1172</v>
      </c>
      <c r="AK13" s="161" t="s">
        <v>1173</v>
      </c>
      <c r="AL13" s="139" t="s">
        <v>45</v>
      </c>
      <c r="AM13" s="140" t="s">
        <v>46</v>
      </c>
      <c r="AN13" s="155" t="s">
        <v>59</v>
      </c>
      <c r="AO13" s="172" t="s">
        <v>392</v>
      </c>
      <c r="AP13" s="143" t="s">
        <v>33</v>
      </c>
      <c r="AQ13" s="144" t="s">
        <v>34</v>
      </c>
      <c r="AR13" s="1"/>
      <c r="AS13" s="1"/>
      <c r="AT13" s="1"/>
      <c r="AU13" s="1"/>
    </row>
    <row r="14" spans="1:47" ht="18.600000000000001" thickBot="1" x14ac:dyDescent="0.35">
      <c r="A14" s="106">
        <v>1</v>
      </c>
      <c r="B14" s="107">
        <f t="shared" ref="B14" si="0">A14+1</f>
        <v>2</v>
      </c>
      <c r="C14" s="108">
        <f t="shared" ref="C14:X14" si="1">B14+1</f>
        <v>3</v>
      </c>
      <c r="D14" s="106">
        <f t="shared" si="1"/>
        <v>4</v>
      </c>
      <c r="E14" s="110">
        <f t="shared" si="1"/>
        <v>5</v>
      </c>
      <c r="F14" s="109">
        <f t="shared" si="1"/>
        <v>6</v>
      </c>
      <c r="G14" s="108">
        <f t="shared" si="1"/>
        <v>7</v>
      </c>
      <c r="H14" s="162">
        <f t="shared" si="1"/>
        <v>8</v>
      </c>
      <c r="I14" s="106">
        <f t="shared" si="1"/>
        <v>9</v>
      </c>
      <c r="J14" s="107">
        <f t="shared" si="1"/>
        <v>10</v>
      </c>
      <c r="K14" s="107">
        <f t="shared" si="1"/>
        <v>11</v>
      </c>
      <c r="L14" s="107">
        <f t="shared" si="1"/>
        <v>12</v>
      </c>
      <c r="M14" s="107">
        <f t="shared" si="1"/>
        <v>13</v>
      </c>
      <c r="N14" s="108">
        <f t="shared" si="1"/>
        <v>14</v>
      </c>
      <c r="O14" s="106">
        <f t="shared" si="1"/>
        <v>15</v>
      </c>
      <c r="P14" s="110">
        <f t="shared" si="1"/>
        <v>16</v>
      </c>
      <c r="Q14" s="107">
        <f t="shared" si="1"/>
        <v>17</v>
      </c>
      <c r="R14" s="107">
        <f t="shared" si="1"/>
        <v>18</v>
      </c>
      <c r="S14" s="107">
        <f t="shared" si="1"/>
        <v>19</v>
      </c>
      <c r="T14" s="110">
        <f t="shared" si="1"/>
        <v>20</v>
      </c>
      <c r="U14" s="110">
        <f t="shared" si="1"/>
        <v>21</v>
      </c>
      <c r="V14" s="110">
        <f t="shared" si="1"/>
        <v>22</v>
      </c>
      <c r="W14" s="110">
        <f t="shared" si="1"/>
        <v>23</v>
      </c>
      <c r="X14" s="110">
        <f t="shared" si="1"/>
        <v>24</v>
      </c>
      <c r="Y14" s="110">
        <f>W14+1</f>
        <v>24</v>
      </c>
      <c r="Z14" s="110">
        <f>X14+1</f>
        <v>25</v>
      </c>
      <c r="AA14" s="110">
        <f t="shared" ref="AA14:AQ14" si="2">Z14+1</f>
        <v>26</v>
      </c>
      <c r="AB14" s="110">
        <f t="shared" si="2"/>
        <v>27</v>
      </c>
      <c r="AC14" s="108">
        <f t="shared" si="2"/>
        <v>28</v>
      </c>
      <c r="AD14" s="162">
        <f t="shared" si="2"/>
        <v>29</v>
      </c>
      <c r="AE14" s="110">
        <f t="shared" si="2"/>
        <v>30</v>
      </c>
      <c r="AF14" s="162">
        <f t="shared" si="2"/>
        <v>31</v>
      </c>
      <c r="AG14" s="110">
        <f t="shared" si="2"/>
        <v>32</v>
      </c>
      <c r="AH14" s="162">
        <f t="shared" si="2"/>
        <v>33</v>
      </c>
      <c r="AI14" s="110">
        <f t="shared" si="2"/>
        <v>34</v>
      </c>
      <c r="AJ14" s="162">
        <f t="shared" si="2"/>
        <v>35</v>
      </c>
      <c r="AK14" s="110">
        <f t="shared" si="2"/>
        <v>36</v>
      </c>
      <c r="AL14" s="162">
        <f t="shared" si="2"/>
        <v>37</v>
      </c>
      <c r="AM14" s="110">
        <f t="shared" si="2"/>
        <v>38</v>
      </c>
      <c r="AN14" s="108">
        <f t="shared" si="2"/>
        <v>39</v>
      </c>
      <c r="AO14" s="162">
        <f t="shared" si="2"/>
        <v>40</v>
      </c>
      <c r="AP14" s="158">
        <f t="shared" si="2"/>
        <v>41</v>
      </c>
      <c r="AQ14" s="110">
        <f t="shared" si="2"/>
        <v>42</v>
      </c>
      <c r="AR14" s="1"/>
      <c r="AS14" s="1"/>
      <c r="AT14" s="1"/>
      <c r="AU14" s="1"/>
    </row>
    <row r="15" spans="1:47" ht="360" x14ac:dyDescent="0.3">
      <c r="A15" s="114" t="s">
        <v>48</v>
      </c>
      <c r="B15" s="112">
        <f>ROW()-ROW($B$14)</f>
        <v>1</v>
      </c>
      <c r="C15" s="124" t="s">
        <v>1438</v>
      </c>
      <c r="D15" s="169" t="s">
        <v>824</v>
      </c>
      <c r="E15" s="176" t="s">
        <v>256</v>
      </c>
      <c r="F15" s="118" t="s">
        <v>368</v>
      </c>
      <c r="G15" s="117" t="s">
        <v>377</v>
      </c>
      <c r="H15" s="173" t="s">
        <v>50</v>
      </c>
      <c r="I15" s="127" t="s">
        <v>1382</v>
      </c>
      <c r="J15" s="113" t="s">
        <v>1383</v>
      </c>
      <c r="K15" s="113" t="s">
        <v>1384</v>
      </c>
      <c r="L15" s="113" t="s">
        <v>1385</v>
      </c>
      <c r="M15" s="113" t="s">
        <v>1386</v>
      </c>
      <c r="N15" s="117" t="s">
        <v>382</v>
      </c>
      <c r="O15" s="120" t="s">
        <v>670</v>
      </c>
      <c r="P15" s="119" t="s">
        <v>1387</v>
      </c>
      <c r="Q15" s="112">
        <v>4</v>
      </c>
      <c r="R15" s="112">
        <v>3</v>
      </c>
      <c r="S15" s="147">
        <f t="shared" ref="S15:S45" si="3">Q15*R15</f>
        <v>12</v>
      </c>
      <c r="T15" s="149" t="str">
        <f>_xlfn.IFNA(VLOOKUP(S15,Parameter!$D$53:$E$77,2),"")</f>
        <v>SEDANG</v>
      </c>
      <c r="U15" s="130" t="s">
        <v>1388</v>
      </c>
      <c r="V15" s="124" t="s">
        <v>1389</v>
      </c>
      <c r="W15" s="124" t="s">
        <v>1390</v>
      </c>
      <c r="X15" s="124" t="s">
        <v>1391</v>
      </c>
      <c r="Y15" s="124" t="s">
        <v>254</v>
      </c>
      <c r="Z15" s="124" t="s">
        <v>290</v>
      </c>
      <c r="AA15" s="126" t="s">
        <v>1394</v>
      </c>
      <c r="AB15" s="111" t="s">
        <v>1393</v>
      </c>
      <c r="AC15" s="156">
        <v>46387</v>
      </c>
      <c r="AD15" s="163">
        <v>46102</v>
      </c>
      <c r="AE15" s="115" t="s">
        <v>1392</v>
      </c>
      <c r="AF15" s="163"/>
      <c r="AG15" s="115"/>
      <c r="AH15" s="163"/>
      <c r="AI15" s="115"/>
      <c r="AJ15" s="163"/>
      <c r="AK15" s="115"/>
      <c r="AL15" s="169">
        <f t="shared" ref="AL15:AL39" si="4">Q15</f>
        <v>4</v>
      </c>
      <c r="AM15" s="112">
        <f t="shared" ref="AM15:AM39" si="5">R15</f>
        <v>3</v>
      </c>
      <c r="AN15" s="171">
        <f t="shared" ref="AN15:AN45" si="6">AL15*AM15</f>
        <v>12</v>
      </c>
      <c r="AO15" s="150" t="str">
        <f>_xlfn.IFNA(VLOOKUP(AN15,Parameter!$D$53:$E$77,2),"")</f>
        <v>SEDANG</v>
      </c>
      <c r="AP15" s="167" t="s">
        <v>379</v>
      </c>
      <c r="AQ15" s="116"/>
      <c r="AR15" s="1"/>
      <c r="AS15" s="1"/>
      <c r="AT15" s="1"/>
      <c r="AU15" s="1"/>
    </row>
    <row r="16" spans="1:47" ht="360" x14ac:dyDescent="0.3">
      <c r="A16" s="114" t="s">
        <v>48</v>
      </c>
      <c r="B16" s="112">
        <f t="shared" ref="B16:B101" si="7">ROW()-ROW($B$14)</f>
        <v>2</v>
      </c>
      <c r="C16" s="124" t="s">
        <v>1436</v>
      </c>
      <c r="D16" s="169" t="s">
        <v>824</v>
      </c>
      <c r="E16" s="176" t="s">
        <v>256</v>
      </c>
      <c r="F16" s="118" t="s">
        <v>368</v>
      </c>
      <c r="G16" s="117" t="s">
        <v>377</v>
      </c>
      <c r="H16" s="173" t="s">
        <v>50</v>
      </c>
      <c r="I16" s="127" t="s">
        <v>1145</v>
      </c>
      <c r="J16" s="113" t="s">
        <v>1146</v>
      </c>
      <c r="K16" s="113" t="s">
        <v>1147</v>
      </c>
      <c r="L16" s="113" t="s">
        <v>1148</v>
      </c>
      <c r="M16" s="113" t="s">
        <v>1149</v>
      </c>
      <c r="N16" s="117" t="s">
        <v>361</v>
      </c>
      <c r="O16" s="120" t="s">
        <v>1150</v>
      </c>
      <c r="P16" s="119" t="s">
        <v>1151</v>
      </c>
      <c r="Q16" s="112">
        <v>3</v>
      </c>
      <c r="R16" s="112">
        <v>3</v>
      </c>
      <c r="S16" s="147">
        <f t="shared" si="3"/>
        <v>9</v>
      </c>
      <c r="T16" s="150" t="str">
        <f>_xlfn.IFNA(VLOOKUP(S16,Parameter!$D$53:$E$77,2),"")</f>
        <v>SEDANG-RENDAH</v>
      </c>
      <c r="U16" s="130" t="s">
        <v>1152</v>
      </c>
      <c r="V16" s="124" t="s">
        <v>1153</v>
      </c>
      <c r="W16" s="124" t="s">
        <v>1154</v>
      </c>
      <c r="X16" s="124" t="s">
        <v>1155</v>
      </c>
      <c r="Y16" s="124" t="s">
        <v>254</v>
      </c>
      <c r="Z16" s="124"/>
      <c r="AA16" s="126" t="s">
        <v>1158</v>
      </c>
      <c r="AB16" s="111" t="s">
        <v>1157</v>
      </c>
      <c r="AC16" s="156">
        <v>46387</v>
      </c>
      <c r="AD16" s="163">
        <v>46102</v>
      </c>
      <c r="AE16" s="115" t="s">
        <v>1156</v>
      </c>
      <c r="AF16" s="163"/>
      <c r="AG16" s="115"/>
      <c r="AH16" s="163"/>
      <c r="AI16" s="115"/>
      <c r="AJ16" s="163"/>
      <c r="AK16" s="115"/>
      <c r="AL16" s="169">
        <f t="shared" si="4"/>
        <v>3</v>
      </c>
      <c r="AM16" s="112">
        <f t="shared" si="5"/>
        <v>3</v>
      </c>
      <c r="AN16" s="171">
        <f t="shared" si="6"/>
        <v>9</v>
      </c>
      <c r="AO16" s="150" t="str">
        <f>_xlfn.IFNA(VLOOKUP(AN16,Parameter!$D$53:$E$77,2),"")</f>
        <v>SEDANG-RENDAH</v>
      </c>
      <c r="AP16" s="167" t="s">
        <v>379</v>
      </c>
      <c r="AQ16" s="116"/>
      <c r="AR16" s="1"/>
      <c r="AS16" s="1"/>
      <c r="AT16" s="1"/>
      <c r="AU16" s="1"/>
    </row>
    <row r="17" spans="1:43" ht="360" x14ac:dyDescent="0.3">
      <c r="A17" s="114" t="s">
        <v>48</v>
      </c>
      <c r="B17" s="112">
        <f t="shared" si="7"/>
        <v>3</v>
      </c>
      <c r="C17" s="124" t="s">
        <v>1437</v>
      </c>
      <c r="D17" s="169" t="s">
        <v>824</v>
      </c>
      <c r="E17" s="176" t="s">
        <v>256</v>
      </c>
      <c r="F17" s="118" t="s">
        <v>367</v>
      </c>
      <c r="G17" s="117" t="s">
        <v>377</v>
      </c>
      <c r="H17" s="173" t="s">
        <v>50</v>
      </c>
      <c r="I17" s="127" t="s">
        <v>1174</v>
      </c>
      <c r="J17" s="113" t="s">
        <v>1175</v>
      </c>
      <c r="K17" s="113" t="s">
        <v>1176</v>
      </c>
      <c r="L17" s="113" t="s">
        <v>1177</v>
      </c>
      <c r="M17" s="113" t="s">
        <v>1178</v>
      </c>
      <c r="N17" s="117" t="s">
        <v>384</v>
      </c>
      <c r="O17" s="120" t="s">
        <v>747</v>
      </c>
      <c r="P17" s="119" t="s">
        <v>1179</v>
      </c>
      <c r="Q17" s="112">
        <v>3</v>
      </c>
      <c r="R17" s="112">
        <v>3</v>
      </c>
      <c r="S17" s="147">
        <f t="shared" si="3"/>
        <v>9</v>
      </c>
      <c r="T17" s="150" t="str">
        <f>_xlfn.IFNA(VLOOKUP(S17,Parameter!$D$53:$E$77,2),"")</f>
        <v>SEDANG-RENDAH</v>
      </c>
      <c r="U17" s="130" t="s">
        <v>1180</v>
      </c>
      <c r="V17" s="124" t="s">
        <v>1181</v>
      </c>
      <c r="W17" s="124" t="s">
        <v>1182</v>
      </c>
      <c r="X17" s="124" t="s">
        <v>1183</v>
      </c>
      <c r="Y17" s="124" t="s">
        <v>254</v>
      </c>
      <c r="Z17" s="124"/>
      <c r="AA17" s="126" t="s">
        <v>1186</v>
      </c>
      <c r="AB17" s="111" t="s">
        <v>1185</v>
      </c>
      <c r="AC17" s="156">
        <v>46387</v>
      </c>
      <c r="AD17" s="163">
        <v>46102</v>
      </c>
      <c r="AE17" s="115" t="s">
        <v>1184</v>
      </c>
      <c r="AF17" s="163"/>
      <c r="AG17" s="115"/>
      <c r="AH17" s="163"/>
      <c r="AI17" s="115"/>
      <c r="AJ17" s="163"/>
      <c r="AK17" s="115"/>
      <c r="AL17" s="169">
        <f t="shared" si="4"/>
        <v>3</v>
      </c>
      <c r="AM17" s="112">
        <f t="shared" si="5"/>
        <v>3</v>
      </c>
      <c r="AN17" s="171">
        <f t="shared" si="6"/>
        <v>9</v>
      </c>
      <c r="AO17" s="150" t="str">
        <f>_xlfn.IFNA(VLOOKUP(AN17,Parameter!$D$53:$E$77,2),"")</f>
        <v>SEDANG-RENDAH</v>
      </c>
      <c r="AP17" s="167" t="s">
        <v>379</v>
      </c>
      <c r="AQ17" s="116"/>
    </row>
    <row r="18" spans="1:43" ht="342" x14ac:dyDescent="0.3">
      <c r="A18" s="114" t="s">
        <v>48</v>
      </c>
      <c r="B18" s="112">
        <f t="shared" si="7"/>
        <v>4</v>
      </c>
      <c r="C18" s="124" t="s">
        <v>1439</v>
      </c>
      <c r="D18" s="169" t="s">
        <v>952</v>
      </c>
      <c r="E18" s="176" t="s">
        <v>256</v>
      </c>
      <c r="F18" s="118" t="s">
        <v>368</v>
      </c>
      <c r="G18" s="117" t="s">
        <v>377</v>
      </c>
      <c r="H18" s="173" t="s">
        <v>50</v>
      </c>
      <c r="I18" s="127" t="s">
        <v>1395</v>
      </c>
      <c r="J18" s="113" t="s">
        <v>1396</v>
      </c>
      <c r="K18" s="113" t="s">
        <v>1397</v>
      </c>
      <c r="L18" s="113" t="s">
        <v>1398</v>
      </c>
      <c r="M18" s="113" t="s">
        <v>1399</v>
      </c>
      <c r="N18" s="117" t="s">
        <v>382</v>
      </c>
      <c r="O18" s="120" t="s">
        <v>713</v>
      </c>
      <c r="P18" s="119" t="s">
        <v>1400</v>
      </c>
      <c r="Q18" s="112">
        <v>4</v>
      </c>
      <c r="R18" s="112">
        <v>5</v>
      </c>
      <c r="S18" s="147">
        <f t="shared" si="3"/>
        <v>20</v>
      </c>
      <c r="T18" s="150" t="str">
        <f>_xlfn.IFNA(VLOOKUP(S18,Parameter!$D$53:$E$77,2),"")</f>
        <v>TINGGI</v>
      </c>
      <c r="U18" s="130" t="s">
        <v>1401</v>
      </c>
      <c r="V18" s="124" t="s">
        <v>1402</v>
      </c>
      <c r="W18" s="124" t="s">
        <v>1403</v>
      </c>
      <c r="X18" s="124" t="s">
        <v>1404</v>
      </c>
      <c r="Y18" s="124" t="s">
        <v>321</v>
      </c>
      <c r="Z18" s="124"/>
      <c r="AA18" s="126" t="s">
        <v>1407</v>
      </c>
      <c r="AB18" s="111" t="s">
        <v>1406</v>
      </c>
      <c r="AC18" s="156">
        <v>46387</v>
      </c>
      <c r="AD18" s="163">
        <v>46102</v>
      </c>
      <c r="AE18" s="115" t="s">
        <v>1405</v>
      </c>
      <c r="AF18" s="163"/>
      <c r="AG18" s="115"/>
      <c r="AH18" s="163"/>
      <c r="AI18" s="115"/>
      <c r="AJ18" s="163"/>
      <c r="AK18" s="115"/>
      <c r="AL18" s="169">
        <f t="shared" si="4"/>
        <v>4</v>
      </c>
      <c r="AM18" s="112">
        <f t="shared" si="5"/>
        <v>5</v>
      </c>
      <c r="AN18" s="171">
        <f t="shared" si="6"/>
        <v>20</v>
      </c>
      <c r="AO18" s="150" t="str">
        <f>_xlfn.IFNA(VLOOKUP(AN18,Parameter!$D$53:$E$77,2),"")</f>
        <v>TINGGI</v>
      </c>
      <c r="AP18" s="167" t="s">
        <v>379</v>
      </c>
      <c r="AQ18" s="116"/>
    </row>
    <row r="19" spans="1:43" ht="409.6" x14ac:dyDescent="0.3">
      <c r="A19" s="114" t="s">
        <v>48</v>
      </c>
      <c r="B19" s="112">
        <f t="shared" si="7"/>
        <v>5</v>
      </c>
      <c r="C19" s="124" t="s">
        <v>1440</v>
      </c>
      <c r="D19" s="169" t="s">
        <v>952</v>
      </c>
      <c r="E19" s="176" t="s">
        <v>52</v>
      </c>
      <c r="F19" s="118" t="s">
        <v>367</v>
      </c>
      <c r="G19" s="117" t="s">
        <v>49</v>
      </c>
      <c r="H19" s="173" t="s">
        <v>50</v>
      </c>
      <c r="I19" s="127" t="s">
        <v>1408</v>
      </c>
      <c r="J19" s="113" t="s">
        <v>1409</v>
      </c>
      <c r="K19" s="113" t="s">
        <v>1410</v>
      </c>
      <c r="L19" s="113" t="s">
        <v>1411</v>
      </c>
      <c r="M19" s="113" t="s">
        <v>1412</v>
      </c>
      <c r="N19" s="117" t="s">
        <v>385</v>
      </c>
      <c r="O19" s="120" t="s">
        <v>1413</v>
      </c>
      <c r="P19" s="119" t="s">
        <v>1414</v>
      </c>
      <c r="Q19" s="112">
        <v>4</v>
      </c>
      <c r="R19" s="112">
        <v>4</v>
      </c>
      <c r="S19" s="147">
        <f t="shared" si="3"/>
        <v>16</v>
      </c>
      <c r="T19" s="150" t="str">
        <f>_xlfn.IFNA(VLOOKUP(S19,Parameter!$D$53:$E$77,2),"")</f>
        <v>SEDANG-TINGGI</v>
      </c>
      <c r="U19" s="130" t="s">
        <v>1415</v>
      </c>
      <c r="V19" s="124" t="s">
        <v>1416</v>
      </c>
      <c r="W19" s="124" t="s">
        <v>1417</v>
      </c>
      <c r="X19" s="124" t="s">
        <v>1418</v>
      </c>
      <c r="Y19" s="124" t="s">
        <v>327</v>
      </c>
      <c r="Z19" s="124" t="s">
        <v>321</v>
      </c>
      <c r="AA19" s="126" t="s">
        <v>1421</v>
      </c>
      <c r="AB19" s="111" t="s">
        <v>1420</v>
      </c>
      <c r="AC19" s="156">
        <v>46387</v>
      </c>
      <c r="AD19" s="163">
        <v>46102</v>
      </c>
      <c r="AE19" s="115" t="s">
        <v>1419</v>
      </c>
      <c r="AF19" s="163"/>
      <c r="AG19" s="115"/>
      <c r="AH19" s="163"/>
      <c r="AI19" s="115"/>
      <c r="AJ19" s="163"/>
      <c r="AK19" s="115"/>
      <c r="AL19" s="169">
        <f t="shared" si="4"/>
        <v>4</v>
      </c>
      <c r="AM19" s="112">
        <f t="shared" si="5"/>
        <v>4</v>
      </c>
      <c r="AN19" s="171">
        <f t="shared" si="6"/>
        <v>16</v>
      </c>
      <c r="AO19" s="150" t="str">
        <f>_xlfn.IFNA(VLOOKUP(AN19,Parameter!$D$53:$E$77,2),"")</f>
        <v>SEDANG-TINGGI</v>
      </c>
      <c r="AP19" s="167" t="s">
        <v>379</v>
      </c>
      <c r="AQ19" s="116"/>
    </row>
    <row r="20" spans="1:43" ht="360" x14ac:dyDescent="0.3">
      <c r="A20" s="114" t="s">
        <v>48</v>
      </c>
      <c r="B20" s="112">
        <f t="shared" si="7"/>
        <v>6</v>
      </c>
      <c r="C20" s="124" t="s">
        <v>1422</v>
      </c>
      <c r="D20" s="169" t="s">
        <v>365</v>
      </c>
      <c r="E20" s="176" t="s">
        <v>256</v>
      </c>
      <c r="F20" s="118" t="s">
        <v>368</v>
      </c>
      <c r="G20" s="117" t="s">
        <v>49</v>
      </c>
      <c r="H20" s="173" t="s">
        <v>50</v>
      </c>
      <c r="I20" s="127" t="s">
        <v>1423</v>
      </c>
      <c r="J20" s="113" t="s">
        <v>1424</v>
      </c>
      <c r="K20" s="113" t="s">
        <v>1425</v>
      </c>
      <c r="L20" s="113" t="s">
        <v>1426</v>
      </c>
      <c r="M20" s="113" t="s">
        <v>1427</v>
      </c>
      <c r="N20" s="117" t="s">
        <v>382</v>
      </c>
      <c r="O20" s="120" t="s">
        <v>482</v>
      </c>
      <c r="P20" s="119" t="s">
        <v>1428</v>
      </c>
      <c r="Q20" s="112">
        <v>4</v>
      </c>
      <c r="R20" s="112">
        <v>4</v>
      </c>
      <c r="S20" s="147">
        <f t="shared" si="3"/>
        <v>16</v>
      </c>
      <c r="T20" s="150" t="str">
        <f>_xlfn.IFNA(VLOOKUP(S20,Parameter!$D$53:$E$77,2),"")</f>
        <v>SEDANG-TINGGI</v>
      </c>
      <c r="U20" s="130" t="s">
        <v>1429</v>
      </c>
      <c r="V20" s="124" t="s">
        <v>1430</v>
      </c>
      <c r="W20" s="124" t="s">
        <v>1431</v>
      </c>
      <c r="X20" s="124" t="s">
        <v>1432</v>
      </c>
      <c r="Y20" s="124" t="s">
        <v>297</v>
      </c>
      <c r="Z20" s="124" t="s">
        <v>722</v>
      </c>
      <c r="AA20" s="126" t="s">
        <v>1434</v>
      </c>
      <c r="AB20" s="111" t="s">
        <v>1239</v>
      </c>
      <c r="AC20" s="156">
        <v>46387</v>
      </c>
      <c r="AD20" s="163">
        <v>46102</v>
      </c>
      <c r="AE20" s="115" t="s">
        <v>1433</v>
      </c>
      <c r="AF20" s="163"/>
      <c r="AG20" s="115"/>
      <c r="AH20" s="163"/>
      <c r="AI20" s="115"/>
      <c r="AJ20" s="163"/>
      <c r="AK20" s="115"/>
      <c r="AL20" s="169">
        <f t="shared" si="4"/>
        <v>4</v>
      </c>
      <c r="AM20" s="112">
        <f t="shared" si="5"/>
        <v>4</v>
      </c>
      <c r="AN20" s="171">
        <f t="shared" si="6"/>
        <v>16</v>
      </c>
      <c r="AO20" s="150" t="str">
        <f>_xlfn.IFNA(VLOOKUP(AN20,Parameter!$D$53:$E$77,2),"")</f>
        <v>SEDANG-TINGGI</v>
      </c>
      <c r="AP20" s="167" t="s">
        <v>379</v>
      </c>
      <c r="AQ20" s="116"/>
    </row>
    <row r="21" spans="1:43" ht="378" x14ac:dyDescent="0.3">
      <c r="A21" s="114" t="s">
        <v>48</v>
      </c>
      <c r="B21" s="112">
        <f t="shared" si="7"/>
        <v>7</v>
      </c>
      <c r="C21" s="124" t="s">
        <v>1442</v>
      </c>
      <c r="D21" s="169" t="s">
        <v>365</v>
      </c>
      <c r="E21" s="176" t="s">
        <v>256</v>
      </c>
      <c r="F21" s="118" t="s">
        <v>368</v>
      </c>
      <c r="G21" s="117" t="s">
        <v>49</v>
      </c>
      <c r="H21" s="173" t="s">
        <v>50</v>
      </c>
      <c r="I21" s="127" t="s">
        <v>1117</v>
      </c>
      <c r="J21" s="113" t="s">
        <v>1118</v>
      </c>
      <c r="K21" s="113" t="s">
        <v>1119</v>
      </c>
      <c r="L21" s="113" t="s">
        <v>1120</v>
      </c>
      <c r="M21" s="113" t="s">
        <v>1121</v>
      </c>
      <c r="N21" s="117" t="s">
        <v>382</v>
      </c>
      <c r="O21" s="120" t="s">
        <v>482</v>
      </c>
      <c r="P21" s="119" t="s">
        <v>1122</v>
      </c>
      <c r="Q21" s="112">
        <v>4</v>
      </c>
      <c r="R21" s="112">
        <v>4</v>
      </c>
      <c r="S21" s="147">
        <f t="shared" si="3"/>
        <v>16</v>
      </c>
      <c r="T21" s="150" t="str">
        <f>_xlfn.IFNA(VLOOKUP(S21,Parameter!$D$53:$E$77,2),"")</f>
        <v>SEDANG-TINGGI</v>
      </c>
      <c r="U21" s="130" t="s">
        <v>1123</v>
      </c>
      <c r="V21" s="124" t="s">
        <v>1124</v>
      </c>
      <c r="W21" s="124" t="s">
        <v>1125</v>
      </c>
      <c r="X21" s="124" t="s">
        <v>1126</v>
      </c>
      <c r="Y21" s="124" t="s">
        <v>290</v>
      </c>
      <c r="Z21" s="124"/>
      <c r="AA21" s="126" t="s">
        <v>1129</v>
      </c>
      <c r="AB21" s="111" t="s">
        <v>1128</v>
      </c>
      <c r="AC21" s="156">
        <v>46387</v>
      </c>
      <c r="AD21" s="163">
        <v>46102</v>
      </c>
      <c r="AE21" s="115" t="s">
        <v>1127</v>
      </c>
      <c r="AF21" s="163"/>
      <c r="AG21" s="115"/>
      <c r="AH21" s="163"/>
      <c r="AI21" s="115"/>
      <c r="AJ21" s="163"/>
      <c r="AK21" s="115"/>
      <c r="AL21" s="169">
        <f t="shared" si="4"/>
        <v>4</v>
      </c>
      <c r="AM21" s="112">
        <f t="shared" si="5"/>
        <v>4</v>
      </c>
      <c r="AN21" s="171">
        <f t="shared" si="6"/>
        <v>16</v>
      </c>
      <c r="AO21" s="150" t="str">
        <f>_xlfn.IFNA(VLOOKUP(AN21,Parameter!$D$53:$E$77,2),"")</f>
        <v>SEDANG-TINGGI</v>
      </c>
      <c r="AP21" s="167" t="s">
        <v>379</v>
      </c>
      <c r="AQ21" s="116"/>
    </row>
    <row r="22" spans="1:43" ht="409.6" x14ac:dyDescent="0.3">
      <c r="A22" s="114" t="s">
        <v>48</v>
      </c>
      <c r="B22" s="112">
        <f t="shared" si="7"/>
        <v>8</v>
      </c>
      <c r="C22" s="124" t="s">
        <v>1441</v>
      </c>
      <c r="D22" s="169" t="s">
        <v>365</v>
      </c>
      <c r="E22" s="176" t="s">
        <v>256</v>
      </c>
      <c r="F22" s="118" t="s">
        <v>367</v>
      </c>
      <c r="G22" s="117" t="s">
        <v>377</v>
      </c>
      <c r="H22" s="173" t="s">
        <v>190</v>
      </c>
      <c r="I22" s="127" t="s">
        <v>1059</v>
      </c>
      <c r="J22" s="113" t="s">
        <v>1060</v>
      </c>
      <c r="K22" s="113" t="s">
        <v>1061</v>
      </c>
      <c r="L22" s="113" t="s">
        <v>1062</v>
      </c>
      <c r="M22" s="113" t="s">
        <v>1063</v>
      </c>
      <c r="N22" s="117" t="s">
        <v>385</v>
      </c>
      <c r="O22" s="120" t="s">
        <v>1064</v>
      </c>
      <c r="P22" s="119" t="s">
        <v>1065</v>
      </c>
      <c r="Q22" s="112">
        <v>4</v>
      </c>
      <c r="R22" s="112">
        <v>3</v>
      </c>
      <c r="S22" s="147">
        <f t="shared" si="3"/>
        <v>12</v>
      </c>
      <c r="T22" s="150" t="str">
        <f>_xlfn.IFNA(VLOOKUP(S22,Parameter!$D$53:$E$77,2),"")</f>
        <v>SEDANG</v>
      </c>
      <c r="U22" s="130" t="s">
        <v>1066</v>
      </c>
      <c r="V22" s="124" t="s">
        <v>1067</v>
      </c>
      <c r="W22" s="124" t="s">
        <v>1068</v>
      </c>
      <c r="X22" s="124" t="s">
        <v>1069</v>
      </c>
      <c r="Y22" s="124" t="s">
        <v>327</v>
      </c>
      <c r="Z22" s="124"/>
      <c r="AA22" s="126" t="s">
        <v>1421</v>
      </c>
      <c r="AB22" s="145" t="s">
        <v>1071</v>
      </c>
      <c r="AC22" s="156">
        <v>46386</v>
      </c>
      <c r="AD22" s="163">
        <v>46102</v>
      </c>
      <c r="AE22" s="115" t="s">
        <v>1070</v>
      </c>
      <c r="AF22" s="163"/>
      <c r="AG22" s="115"/>
      <c r="AH22" s="163"/>
      <c r="AI22" s="115"/>
      <c r="AJ22" s="163"/>
      <c r="AK22" s="115"/>
      <c r="AL22" s="169">
        <f t="shared" si="4"/>
        <v>4</v>
      </c>
      <c r="AM22" s="112">
        <f t="shared" si="5"/>
        <v>3</v>
      </c>
      <c r="AN22" s="171">
        <f t="shared" si="6"/>
        <v>12</v>
      </c>
      <c r="AO22" s="150" t="str">
        <f>_xlfn.IFNA(VLOOKUP(AN22,Parameter!$D$53:$E$77,2),"")</f>
        <v>SEDANG</v>
      </c>
      <c r="AP22" s="167" t="s">
        <v>379</v>
      </c>
      <c r="AQ22" s="116"/>
    </row>
    <row r="23" spans="1:43" ht="378" x14ac:dyDescent="0.3">
      <c r="A23" s="114" t="s">
        <v>48</v>
      </c>
      <c r="B23" s="112">
        <f t="shared" si="7"/>
        <v>9</v>
      </c>
      <c r="C23" s="124" t="s">
        <v>1499</v>
      </c>
      <c r="D23" s="169" t="s">
        <v>365</v>
      </c>
      <c r="E23" s="176" t="s">
        <v>256</v>
      </c>
      <c r="F23" s="118" t="s">
        <v>368</v>
      </c>
      <c r="G23" s="117" t="s">
        <v>377</v>
      </c>
      <c r="H23" s="173" t="s">
        <v>50</v>
      </c>
      <c r="I23" s="127" t="s">
        <v>1443</v>
      </c>
      <c r="J23" s="113" t="s">
        <v>1444</v>
      </c>
      <c r="K23" s="113" t="s">
        <v>1445</v>
      </c>
      <c r="L23" s="113" t="s">
        <v>1446</v>
      </c>
      <c r="M23" s="113" t="s">
        <v>1447</v>
      </c>
      <c r="N23" s="117" t="s">
        <v>382</v>
      </c>
      <c r="O23" s="120" t="s">
        <v>1448</v>
      </c>
      <c r="P23" s="119" t="s">
        <v>1449</v>
      </c>
      <c r="Q23" s="112">
        <v>4</v>
      </c>
      <c r="R23" s="112">
        <v>3</v>
      </c>
      <c r="S23" s="147">
        <f t="shared" si="3"/>
        <v>12</v>
      </c>
      <c r="T23" s="150" t="str">
        <f>_xlfn.IFNA(VLOOKUP(S23,Parameter!$D$53:$E$77,2),"")</f>
        <v>SEDANG</v>
      </c>
      <c r="U23" s="130" t="s">
        <v>1450</v>
      </c>
      <c r="V23" s="124" t="s">
        <v>1451</v>
      </c>
      <c r="W23" s="124" t="s">
        <v>1452</v>
      </c>
      <c r="X23" s="124" t="s">
        <v>1453</v>
      </c>
      <c r="Y23" s="124" t="s">
        <v>722</v>
      </c>
      <c r="Z23" s="124"/>
      <c r="AA23" s="126" t="s">
        <v>1456</v>
      </c>
      <c r="AB23" s="111" t="s">
        <v>1455</v>
      </c>
      <c r="AC23" s="156">
        <v>46387</v>
      </c>
      <c r="AD23" s="163">
        <v>46102</v>
      </c>
      <c r="AE23" s="115" t="s">
        <v>1454</v>
      </c>
      <c r="AF23" s="163"/>
      <c r="AG23" s="115"/>
      <c r="AH23" s="163"/>
      <c r="AI23" s="115"/>
      <c r="AJ23" s="163"/>
      <c r="AK23" s="115"/>
      <c r="AL23" s="169">
        <f t="shared" si="4"/>
        <v>4</v>
      </c>
      <c r="AM23" s="112">
        <f t="shared" si="5"/>
        <v>3</v>
      </c>
      <c r="AN23" s="171">
        <f t="shared" si="6"/>
        <v>12</v>
      </c>
      <c r="AO23" s="150" t="str">
        <f>_xlfn.IFNA(VLOOKUP(AN23,Parameter!$D$53:$E$77,2),"")</f>
        <v>SEDANG</v>
      </c>
      <c r="AP23" s="167" t="s">
        <v>379</v>
      </c>
      <c r="AQ23" s="116"/>
    </row>
    <row r="24" spans="1:43" ht="342" x14ac:dyDescent="0.3">
      <c r="A24" s="114" t="s">
        <v>48</v>
      </c>
      <c r="B24" s="112">
        <f t="shared" si="7"/>
        <v>10</v>
      </c>
      <c r="C24" s="124" t="s">
        <v>1500</v>
      </c>
      <c r="D24" s="169" t="s">
        <v>950</v>
      </c>
      <c r="E24" s="176" t="s">
        <v>256</v>
      </c>
      <c r="F24" s="118" t="s">
        <v>368</v>
      </c>
      <c r="G24" s="117" t="s">
        <v>377</v>
      </c>
      <c r="H24" s="173" t="s">
        <v>50</v>
      </c>
      <c r="I24" s="127" t="s">
        <v>1501</v>
      </c>
      <c r="J24" s="113" t="s">
        <v>1502</v>
      </c>
      <c r="K24" s="113" t="s">
        <v>1503</v>
      </c>
      <c r="L24" s="113" t="s">
        <v>1504</v>
      </c>
      <c r="M24" s="113" t="s">
        <v>1505</v>
      </c>
      <c r="N24" s="117" t="s">
        <v>382</v>
      </c>
      <c r="O24" s="120" t="s">
        <v>802</v>
      </c>
      <c r="P24" s="119" t="s">
        <v>1506</v>
      </c>
      <c r="Q24" s="112">
        <v>4</v>
      </c>
      <c r="R24" s="112">
        <v>4</v>
      </c>
      <c r="S24" s="147">
        <f t="shared" si="3"/>
        <v>16</v>
      </c>
      <c r="T24" s="150" t="str">
        <f>_xlfn.IFNA(VLOOKUP(S24,Parameter!$D$53:$E$77,2),"")</f>
        <v>SEDANG-TINGGI</v>
      </c>
      <c r="U24" s="130" t="s">
        <v>1507</v>
      </c>
      <c r="V24" s="124" t="s">
        <v>1508</v>
      </c>
      <c r="W24" s="124" t="s">
        <v>1509</v>
      </c>
      <c r="X24" s="124" t="s">
        <v>1510</v>
      </c>
      <c r="Y24" s="124" t="s">
        <v>254</v>
      </c>
      <c r="Z24" s="124" t="s">
        <v>722</v>
      </c>
      <c r="AA24" s="126" t="s">
        <v>1513</v>
      </c>
      <c r="AB24" s="111" t="s">
        <v>1512</v>
      </c>
      <c r="AC24" s="156">
        <v>46387</v>
      </c>
      <c r="AD24" s="163">
        <v>46102</v>
      </c>
      <c r="AE24" s="115" t="s">
        <v>1511</v>
      </c>
      <c r="AF24" s="163"/>
      <c r="AG24" s="115"/>
      <c r="AH24" s="163"/>
      <c r="AI24" s="115"/>
      <c r="AJ24" s="163"/>
      <c r="AK24" s="115"/>
      <c r="AL24" s="169">
        <f t="shared" si="4"/>
        <v>4</v>
      </c>
      <c r="AM24" s="112">
        <f t="shared" si="5"/>
        <v>4</v>
      </c>
      <c r="AN24" s="171">
        <f t="shared" si="6"/>
        <v>16</v>
      </c>
      <c r="AO24" s="150" t="str">
        <f>_xlfn.IFNA(VLOOKUP(AN24,Parameter!$D$53:$E$77,2),"")</f>
        <v>SEDANG-TINGGI</v>
      </c>
      <c r="AP24" s="167" t="s">
        <v>379</v>
      </c>
      <c r="AQ24" s="116"/>
    </row>
    <row r="25" spans="1:43" ht="360" x14ac:dyDescent="0.3">
      <c r="A25" s="114" t="s">
        <v>48</v>
      </c>
      <c r="B25" s="112">
        <f t="shared" si="7"/>
        <v>11</v>
      </c>
      <c r="C25" s="124" t="s">
        <v>1571</v>
      </c>
      <c r="D25" s="169" t="s">
        <v>951</v>
      </c>
      <c r="E25" s="176" t="s">
        <v>52</v>
      </c>
      <c r="F25" s="118" t="s">
        <v>368</v>
      </c>
      <c r="G25" s="117" t="s">
        <v>49</v>
      </c>
      <c r="H25" s="173" t="s">
        <v>50</v>
      </c>
      <c r="I25" s="127" t="s">
        <v>1457</v>
      </c>
      <c r="J25" s="113" t="s">
        <v>1458</v>
      </c>
      <c r="K25" s="113" t="s">
        <v>1459</v>
      </c>
      <c r="L25" s="113" t="s">
        <v>1460</v>
      </c>
      <c r="M25" s="113" t="s">
        <v>1461</v>
      </c>
      <c r="N25" s="117" t="s">
        <v>382</v>
      </c>
      <c r="O25" s="120" t="s">
        <v>802</v>
      </c>
      <c r="P25" s="119" t="s">
        <v>1462</v>
      </c>
      <c r="Q25" s="112">
        <v>4</v>
      </c>
      <c r="R25" s="112">
        <v>4</v>
      </c>
      <c r="S25" s="147">
        <f t="shared" si="3"/>
        <v>16</v>
      </c>
      <c r="T25" s="150" t="str">
        <f>_xlfn.IFNA(VLOOKUP(S25,Parameter!$D$53:$E$77,2),"")</f>
        <v>SEDANG-TINGGI</v>
      </c>
      <c r="U25" s="130" t="s">
        <v>1463</v>
      </c>
      <c r="V25" s="124" t="s">
        <v>1464</v>
      </c>
      <c r="W25" s="124" t="s">
        <v>1465</v>
      </c>
      <c r="X25" s="124" t="s">
        <v>1466</v>
      </c>
      <c r="Y25" s="124" t="s">
        <v>337</v>
      </c>
      <c r="Z25" s="124"/>
      <c r="AA25" s="126" t="s">
        <v>1469</v>
      </c>
      <c r="AB25" s="111" t="s">
        <v>1468</v>
      </c>
      <c r="AC25" s="156">
        <v>46387</v>
      </c>
      <c r="AD25" s="163">
        <v>46102</v>
      </c>
      <c r="AE25" s="115" t="s">
        <v>1467</v>
      </c>
      <c r="AF25" s="163"/>
      <c r="AG25" s="115"/>
      <c r="AH25" s="163"/>
      <c r="AI25" s="115"/>
      <c r="AJ25" s="163"/>
      <c r="AK25" s="115"/>
      <c r="AL25" s="169">
        <f t="shared" si="4"/>
        <v>4</v>
      </c>
      <c r="AM25" s="112">
        <f t="shared" si="5"/>
        <v>4</v>
      </c>
      <c r="AN25" s="171">
        <f t="shared" si="6"/>
        <v>16</v>
      </c>
      <c r="AO25" s="150" t="str">
        <f>_xlfn.IFNA(VLOOKUP(AN25,Parameter!$D$53:$E$77,2),"")</f>
        <v>SEDANG-TINGGI</v>
      </c>
      <c r="AP25" s="167" t="s">
        <v>379</v>
      </c>
      <c r="AQ25" s="116"/>
    </row>
    <row r="26" spans="1:43" ht="378" x14ac:dyDescent="0.3">
      <c r="A26" s="114" t="s">
        <v>48</v>
      </c>
      <c r="B26" s="112">
        <f t="shared" si="7"/>
        <v>12</v>
      </c>
      <c r="C26" s="124" t="s">
        <v>1840</v>
      </c>
      <c r="D26" s="169" t="s">
        <v>949</v>
      </c>
      <c r="E26" s="176" t="s">
        <v>256</v>
      </c>
      <c r="F26" s="118" t="s">
        <v>368</v>
      </c>
      <c r="G26" s="117" t="s">
        <v>377</v>
      </c>
      <c r="H26" s="173" t="s">
        <v>50</v>
      </c>
      <c r="I26" s="127" t="s">
        <v>1841</v>
      </c>
      <c r="J26" s="113" t="s">
        <v>1842</v>
      </c>
      <c r="K26" s="113" t="s">
        <v>1843</v>
      </c>
      <c r="L26" s="113" t="s">
        <v>1844</v>
      </c>
      <c r="M26" s="113" t="s">
        <v>1845</v>
      </c>
      <c r="N26" s="117" t="s">
        <v>385</v>
      </c>
      <c r="O26" s="120" t="s">
        <v>482</v>
      </c>
      <c r="P26" s="119" t="s">
        <v>1846</v>
      </c>
      <c r="Q26" s="112">
        <v>4</v>
      </c>
      <c r="R26" s="112">
        <v>5</v>
      </c>
      <c r="S26" s="147">
        <f t="shared" si="3"/>
        <v>20</v>
      </c>
      <c r="T26" s="150" t="str">
        <f>_xlfn.IFNA(VLOOKUP(S26,Parameter!$D$53:$E$77,2),"")</f>
        <v>TINGGI</v>
      </c>
      <c r="U26" s="130" t="s">
        <v>1847</v>
      </c>
      <c r="V26" s="124" t="s">
        <v>1848</v>
      </c>
      <c r="W26" s="124" t="s">
        <v>1849</v>
      </c>
      <c r="X26" s="124" t="s">
        <v>1850</v>
      </c>
      <c r="Y26" s="124" t="s">
        <v>254</v>
      </c>
      <c r="Z26" s="124" t="s">
        <v>290</v>
      </c>
      <c r="AA26" s="126" t="s">
        <v>1853</v>
      </c>
      <c r="AB26" s="111" t="s">
        <v>1852</v>
      </c>
      <c r="AC26" s="156">
        <v>46387</v>
      </c>
      <c r="AD26" s="163">
        <v>46102</v>
      </c>
      <c r="AE26" s="115" t="s">
        <v>1851</v>
      </c>
      <c r="AF26" s="163"/>
      <c r="AG26" s="115"/>
      <c r="AH26" s="163"/>
      <c r="AI26" s="115"/>
      <c r="AJ26" s="163"/>
      <c r="AK26" s="115"/>
      <c r="AL26" s="169">
        <f t="shared" si="4"/>
        <v>4</v>
      </c>
      <c r="AM26" s="112">
        <f t="shared" si="5"/>
        <v>5</v>
      </c>
      <c r="AN26" s="171">
        <f t="shared" si="6"/>
        <v>20</v>
      </c>
      <c r="AO26" s="150" t="str">
        <f>_xlfn.IFNA(VLOOKUP(AN26,Parameter!$D$53:$E$77,2),"")</f>
        <v>TINGGI</v>
      </c>
      <c r="AP26" s="167" t="s">
        <v>379</v>
      </c>
      <c r="AQ26" s="116"/>
    </row>
    <row r="27" spans="1:43" ht="396" x14ac:dyDescent="0.3">
      <c r="A27" s="114" t="s">
        <v>48</v>
      </c>
      <c r="B27" s="112">
        <f t="shared" si="7"/>
        <v>13</v>
      </c>
      <c r="C27" s="124" t="s">
        <v>1529</v>
      </c>
      <c r="D27" s="169" t="s">
        <v>949</v>
      </c>
      <c r="E27" s="176" t="s">
        <v>256</v>
      </c>
      <c r="F27" s="118" t="s">
        <v>367</v>
      </c>
      <c r="G27" s="117" t="s">
        <v>377</v>
      </c>
      <c r="H27" s="173" t="s">
        <v>50</v>
      </c>
      <c r="I27" s="127" t="s">
        <v>1581</v>
      </c>
      <c r="J27" s="113" t="s">
        <v>1583</v>
      </c>
      <c r="K27" s="113" t="s">
        <v>1582</v>
      </c>
      <c r="L27" s="113" t="s">
        <v>1584</v>
      </c>
      <c r="M27" s="113" t="s">
        <v>1585</v>
      </c>
      <c r="N27" s="117" t="s">
        <v>384</v>
      </c>
      <c r="O27" s="120" t="s">
        <v>1586</v>
      </c>
      <c r="P27" s="119" t="s">
        <v>1587</v>
      </c>
      <c r="Q27" s="112">
        <v>4</v>
      </c>
      <c r="R27" s="112">
        <v>4</v>
      </c>
      <c r="S27" s="147">
        <f t="shared" si="3"/>
        <v>16</v>
      </c>
      <c r="T27" s="150" t="str">
        <f>_xlfn.IFNA(VLOOKUP(S27,Parameter!$D$53:$E$77,2),"")</f>
        <v>SEDANG-TINGGI</v>
      </c>
      <c r="U27" s="130" t="s">
        <v>1588</v>
      </c>
      <c r="V27" s="124" t="s">
        <v>1589</v>
      </c>
      <c r="W27" s="124" t="s">
        <v>1590</v>
      </c>
      <c r="X27" s="124" t="s">
        <v>1591</v>
      </c>
      <c r="Y27" s="124" t="s">
        <v>254</v>
      </c>
      <c r="Z27" s="124" t="s">
        <v>290</v>
      </c>
      <c r="AA27" s="126" t="s">
        <v>1594</v>
      </c>
      <c r="AB27" s="111" t="s">
        <v>1593</v>
      </c>
      <c r="AC27" s="156">
        <v>46387</v>
      </c>
      <c r="AD27" s="163">
        <v>46102</v>
      </c>
      <c r="AE27" s="115" t="s">
        <v>1592</v>
      </c>
      <c r="AF27" s="163"/>
      <c r="AG27" s="115"/>
      <c r="AH27" s="163"/>
      <c r="AI27" s="115"/>
      <c r="AJ27" s="163"/>
      <c r="AK27" s="115"/>
      <c r="AL27" s="169">
        <f t="shared" si="4"/>
        <v>4</v>
      </c>
      <c r="AM27" s="112">
        <f t="shared" si="5"/>
        <v>4</v>
      </c>
      <c r="AN27" s="171">
        <f t="shared" si="6"/>
        <v>16</v>
      </c>
      <c r="AO27" s="150" t="str">
        <f>_xlfn.IFNA(VLOOKUP(AN27,Parameter!$D$53:$E$77,2),"")</f>
        <v>SEDANG-TINGGI</v>
      </c>
      <c r="AP27" s="167" t="s">
        <v>379</v>
      </c>
      <c r="AQ27" s="116"/>
    </row>
    <row r="28" spans="1:43" ht="342" x14ac:dyDescent="0.3">
      <c r="A28" s="114" t="s">
        <v>48</v>
      </c>
      <c r="B28" s="112">
        <f t="shared" si="7"/>
        <v>14</v>
      </c>
      <c r="C28" s="124" t="s">
        <v>1609</v>
      </c>
      <c r="D28" s="169" t="s">
        <v>949</v>
      </c>
      <c r="E28" s="176" t="s">
        <v>256</v>
      </c>
      <c r="F28" s="118" t="s">
        <v>368</v>
      </c>
      <c r="G28" s="117" t="s">
        <v>49</v>
      </c>
      <c r="H28" s="173" t="s">
        <v>50</v>
      </c>
      <c r="I28" s="127" t="s">
        <v>1610</v>
      </c>
      <c r="J28" s="113" t="s">
        <v>1611</v>
      </c>
      <c r="K28" s="113" t="s">
        <v>1612</v>
      </c>
      <c r="L28" s="113" t="s">
        <v>1613</v>
      </c>
      <c r="M28" s="113" t="s">
        <v>1614</v>
      </c>
      <c r="N28" s="117" t="s">
        <v>384</v>
      </c>
      <c r="O28" s="120" t="s">
        <v>482</v>
      </c>
      <c r="P28" s="119" t="s">
        <v>1615</v>
      </c>
      <c r="Q28" s="112">
        <v>4</v>
      </c>
      <c r="R28" s="112">
        <v>4</v>
      </c>
      <c r="S28" s="147">
        <f t="shared" si="3"/>
        <v>16</v>
      </c>
      <c r="T28" s="150" t="str">
        <f>_xlfn.IFNA(VLOOKUP(S28,Parameter!$D$53:$E$77,2),"")</f>
        <v>SEDANG-TINGGI</v>
      </c>
      <c r="U28" s="130" t="s">
        <v>1616</v>
      </c>
      <c r="V28" s="124" t="s">
        <v>1617</v>
      </c>
      <c r="W28" s="124" t="s">
        <v>1618</v>
      </c>
      <c r="X28" s="124" t="s">
        <v>1619</v>
      </c>
      <c r="Y28" s="124" t="s">
        <v>254</v>
      </c>
      <c r="Z28" s="124"/>
      <c r="AA28" s="126" t="s">
        <v>1622</v>
      </c>
      <c r="AB28" s="111" t="s">
        <v>1621</v>
      </c>
      <c r="AC28" s="156">
        <v>46387</v>
      </c>
      <c r="AD28" s="163">
        <v>46102</v>
      </c>
      <c r="AE28" s="115" t="s">
        <v>1620</v>
      </c>
      <c r="AF28" s="163"/>
      <c r="AG28" s="115"/>
      <c r="AH28" s="163"/>
      <c r="AI28" s="115"/>
      <c r="AJ28" s="163"/>
      <c r="AK28" s="115"/>
      <c r="AL28" s="169">
        <f t="shared" si="4"/>
        <v>4</v>
      </c>
      <c r="AM28" s="112">
        <f t="shared" si="5"/>
        <v>4</v>
      </c>
      <c r="AN28" s="171">
        <f t="shared" si="6"/>
        <v>16</v>
      </c>
      <c r="AO28" s="150" t="str">
        <f>_xlfn.IFNA(VLOOKUP(AN28,Parameter!$D$53:$E$77,2),"")</f>
        <v>SEDANG-TINGGI</v>
      </c>
      <c r="AP28" s="167" t="s">
        <v>379</v>
      </c>
      <c r="AQ28" s="116"/>
    </row>
    <row r="29" spans="1:43" ht="324" x14ac:dyDescent="0.3">
      <c r="A29" s="114" t="s">
        <v>48</v>
      </c>
      <c r="B29" s="112">
        <f t="shared" si="7"/>
        <v>15</v>
      </c>
      <c r="C29" s="124" t="s">
        <v>1435</v>
      </c>
      <c r="D29" s="169" t="s">
        <v>949</v>
      </c>
      <c r="E29" s="176" t="s">
        <v>256</v>
      </c>
      <c r="F29" s="118" t="s">
        <v>368</v>
      </c>
      <c r="G29" s="117" t="s">
        <v>377</v>
      </c>
      <c r="H29" s="173" t="s">
        <v>50</v>
      </c>
      <c r="I29" s="127" t="s">
        <v>1056</v>
      </c>
      <c r="J29" s="113" t="s">
        <v>1045</v>
      </c>
      <c r="K29" s="113" t="s">
        <v>1046</v>
      </c>
      <c r="L29" s="113" t="s">
        <v>1047</v>
      </c>
      <c r="M29" s="113" t="s">
        <v>1048</v>
      </c>
      <c r="N29" s="117" t="s">
        <v>385</v>
      </c>
      <c r="O29" s="120" t="s">
        <v>482</v>
      </c>
      <c r="P29" s="119" t="s">
        <v>1049</v>
      </c>
      <c r="Q29" s="112">
        <v>4</v>
      </c>
      <c r="R29" s="112">
        <v>3</v>
      </c>
      <c r="S29" s="147">
        <f t="shared" si="3"/>
        <v>12</v>
      </c>
      <c r="T29" s="150" t="str">
        <f>_xlfn.IFNA(VLOOKUP(S29,Parameter!$D$53:$E$77,2),"")</f>
        <v>SEDANG</v>
      </c>
      <c r="U29" s="130" t="s">
        <v>1050</v>
      </c>
      <c r="V29" s="124" t="s">
        <v>1051</v>
      </c>
      <c r="W29" s="124" t="s">
        <v>1052</v>
      </c>
      <c r="X29" s="124" t="s">
        <v>1053</v>
      </c>
      <c r="Y29" s="124" t="s">
        <v>254</v>
      </c>
      <c r="Z29" s="124"/>
      <c r="AA29" s="126" t="s">
        <v>1055</v>
      </c>
      <c r="AB29" s="111" t="s">
        <v>386</v>
      </c>
      <c r="AC29" s="156">
        <v>46387</v>
      </c>
      <c r="AD29" s="163">
        <v>46102</v>
      </c>
      <c r="AE29" s="115" t="s">
        <v>1054</v>
      </c>
      <c r="AF29" s="163"/>
      <c r="AG29" s="115"/>
      <c r="AH29" s="163"/>
      <c r="AI29" s="115"/>
      <c r="AJ29" s="163"/>
      <c r="AK29" s="115"/>
      <c r="AL29" s="169">
        <f t="shared" si="4"/>
        <v>4</v>
      </c>
      <c r="AM29" s="112">
        <f t="shared" si="5"/>
        <v>3</v>
      </c>
      <c r="AN29" s="171">
        <f t="shared" si="6"/>
        <v>12</v>
      </c>
      <c r="AO29" s="150" t="str">
        <f>_xlfn.IFNA(VLOOKUP(AN29,Parameter!$D$53:$E$77,2),"")</f>
        <v>SEDANG</v>
      </c>
      <c r="AP29" s="167" t="s">
        <v>379</v>
      </c>
      <c r="AQ29" s="116"/>
    </row>
    <row r="30" spans="1:43" ht="378" x14ac:dyDescent="0.3">
      <c r="A30" s="114" t="s">
        <v>48</v>
      </c>
      <c r="B30" s="112">
        <f t="shared" si="7"/>
        <v>16</v>
      </c>
      <c r="C30" s="124" t="s">
        <v>1572</v>
      </c>
      <c r="D30" s="169" t="s">
        <v>949</v>
      </c>
      <c r="E30" s="176" t="s">
        <v>256</v>
      </c>
      <c r="F30" s="118" t="s">
        <v>368</v>
      </c>
      <c r="G30" s="117" t="s">
        <v>49</v>
      </c>
      <c r="H30" s="173" t="s">
        <v>50</v>
      </c>
      <c r="I30" s="127" t="s">
        <v>1544</v>
      </c>
      <c r="J30" s="113" t="s">
        <v>1545</v>
      </c>
      <c r="K30" s="113" t="s">
        <v>1546</v>
      </c>
      <c r="L30" s="113" t="s">
        <v>1547</v>
      </c>
      <c r="M30" s="113" t="s">
        <v>1548</v>
      </c>
      <c r="N30" s="117" t="s">
        <v>385</v>
      </c>
      <c r="O30" s="120" t="s">
        <v>482</v>
      </c>
      <c r="P30" s="119" t="s">
        <v>1549</v>
      </c>
      <c r="Q30" s="112">
        <v>3</v>
      </c>
      <c r="R30" s="112">
        <v>4</v>
      </c>
      <c r="S30" s="147">
        <f t="shared" si="3"/>
        <v>12</v>
      </c>
      <c r="T30" s="150" t="str">
        <f>_xlfn.IFNA(VLOOKUP(S30,Parameter!$D$53:$E$77,2),"")</f>
        <v>SEDANG</v>
      </c>
      <c r="U30" s="130" t="s">
        <v>1550</v>
      </c>
      <c r="V30" s="124" t="s">
        <v>1551</v>
      </c>
      <c r="W30" s="124" t="s">
        <v>1552</v>
      </c>
      <c r="X30" s="124" t="s">
        <v>1553</v>
      </c>
      <c r="Y30" s="124" t="s">
        <v>254</v>
      </c>
      <c r="Z30" s="124" t="s">
        <v>290</v>
      </c>
      <c r="AA30" s="126" t="s">
        <v>1556</v>
      </c>
      <c r="AB30" s="111" t="s">
        <v>1555</v>
      </c>
      <c r="AC30" s="156">
        <v>46387</v>
      </c>
      <c r="AD30" s="163">
        <v>46102</v>
      </c>
      <c r="AE30" s="115" t="s">
        <v>1554</v>
      </c>
      <c r="AF30" s="163"/>
      <c r="AG30" s="115"/>
      <c r="AH30" s="163"/>
      <c r="AI30" s="115"/>
      <c r="AJ30" s="163"/>
      <c r="AK30" s="115"/>
      <c r="AL30" s="169">
        <f t="shared" si="4"/>
        <v>3</v>
      </c>
      <c r="AM30" s="112">
        <f t="shared" si="5"/>
        <v>4</v>
      </c>
      <c r="AN30" s="171">
        <f t="shared" si="6"/>
        <v>12</v>
      </c>
      <c r="AO30" s="150" t="str">
        <f>_xlfn.IFNA(VLOOKUP(AN30,Parameter!$D$53:$E$77,2),"")</f>
        <v>SEDANG</v>
      </c>
      <c r="AP30" s="167" t="s">
        <v>379</v>
      </c>
      <c r="AQ30" s="116"/>
    </row>
    <row r="31" spans="1:43" ht="378" x14ac:dyDescent="0.3">
      <c r="A31" s="114" t="s">
        <v>48</v>
      </c>
      <c r="B31" s="112">
        <f t="shared" si="7"/>
        <v>17</v>
      </c>
      <c r="C31" s="124" t="s">
        <v>1595</v>
      </c>
      <c r="D31" s="169" t="s">
        <v>949</v>
      </c>
      <c r="E31" s="176" t="s">
        <v>256</v>
      </c>
      <c r="F31" s="118" t="s">
        <v>368</v>
      </c>
      <c r="G31" s="117" t="s">
        <v>49</v>
      </c>
      <c r="H31" s="173" t="s">
        <v>50</v>
      </c>
      <c r="I31" s="127" t="s">
        <v>1596</v>
      </c>
      <c r="J31" s="113" t="s">
        <v>1597</v>
      </c>
      <c r="K31" s="113" t="s">
        <v>1598</v>
      </c>
      <c r="L31" s="113" t="s">
        <v>1600</v>
      </c>
      <c r="M31" s="113" t="s">
        <v>1599</v>
      </c>
      <c r="N31" s="117" t="s">
        <v>384</v>
      </c>
      <c r="O31" s="120" t="s">
        <v>747</v>
      </c>
      <c r="P31" s="119" t="s">
        <v>1601</v>
      </c>
      <c r="Q31" s="112">
        <v>3</v>
      </c>
      <c r="R31" s="112">
        <v>3</v>
      </c>
      <c r="S31" s="147">
        <f t="shared" si="3"/>
        <v>9</v>
      </c>
      <c r="T31" s="150" t="str">
        <f>_xlfn.IFNA(VLOOKUP(S31,Parameter!$D$53:$E$77,2),"")</f>
        <v>SEDANG-RENDAH</v>
      </c>
      <c r="U31" s="130" t="s">
        <v>1602</v>
      </c>
      <c r="V31" s="124" t="s">
        <v>1603</v>
      </c>
      <c r="W31" s="124" t="s">
        <v>1604</v>
      </c>
      <c r="X31" s="124" t="s">
        <v>1605</v>
      </c>
      <c r="Y31" s="124" t="s">
        <v>254</v>
      </c>
      <c r="Z31" s="124" t="s">
        <v>290</v>
      </c>
      <c r="AA31" s="126" t="s">
        <v>1608</v>
      </c>
      <c r="AB31" s="111" t="s">
        <v>1607</v>
      </c>
      <c r="AC31" s="156">
        <v>46387</v>
      </c>
      <c r="AD31" s="163">
        <v>46102</v>
      </c>
      <c r="AE31" s="115" t="s">
        <v>1606</v>
      </c>
      <c r="AF31" s="163"/>
      <c r="AG31" s="115"/>
      <c r="AH31" s="163"/>
      <c r="AI31" s="115"/>
      <c r="AJ31" s="163"/>
      <c r="AK31" s="115"/>
      <c r="AL31" s="169">
        <f t="shared" si="4"/>
        <v>3</v>
      </c>
      <c r="AM31" s="112">
        <f t="shared" si="5"/>
        <v>3</v>
      </c>
      <c r="AN31" s="171">
        <f t="shared" si="6"/>
        <v>9</v>
      </c>
      <c r="AO31" s="150" t="str">
        <f>_xlfn.IFNA(VLOOKUP(AN31,Parameter!$D$53:$E$77,2),"")</f>
        <v>SEDANG-RENDAH</v>
      </c>
      <c r="AP31" s="167" t="s">
        <v>379</v>
      </c>
      <c r="AQ31" s="116"/>
    </row>
    <row r="32" spans="1:43" ht="342" x14ac:dyDescent="0.3">
      <c r="A32" s="114" t="s">
        <v>48</v>
      </c>
      <c r="B32" s="112">
        <f t="shared" si="7"/>
        <v>18</v>
      </c>
      <c r="C32" s="124" t="s">
        <v>1623</v>
      </c>
      <c r="D32" s="169" t="s">
        <v>949</v>
      </c>
      <c r="E32" s="176" t="s">
        <v>256</v>
      </c>
      <c r="F32" s="118" t="s">
        <v>368</v>
      </c>
      <c r="G32" s="117" t="s">
        <v>49</v>
      </c>
      <c r="H32" s="173" t="s">
        <v>50</v>
      </c>
      <c r="I32" s="127" t="s">
        <v>1624</v>
      </c>
      <c r="J32" s="113" t="s">
        <v>1625</v>
      </c>
      <c r="K32" s="113" t="s">
        <v>1626</v>
      </c>
      <c r="L32" s="113" t="s">
        <v>1627</v>
      </c>
      <c r="M32" s="113" t="s">
        <v>1628</v>
      </c>
      <c r="N32" s="117" t="s">
        <v>384</v>
      </c>
      <c r="O32" s="120" t="s">
        <v>1629</v>
      </c>
      <c r="P32" s="119" t="s">
        <v>1630</v>
      </c>
      <c r="Q32" s="112">
        <v>3</v>
      </c>
      <c r="R32" s="112">
        <v>3</v>
      </c>
      <c r="S32" s="147">
        <f t="shared" si="3"/>
        <v>9</v>
      </c>
      <c r="T32" s="150" t="str">
        <f>_xlfn.IFNA(VLOOKUP(S32,Parameter!$D$53:$E$77,2),"")</f>
        <v>SEDANG-RENDAH</v>
      </c>
      <c r="U32" s="130" t="s">
        <v>1631</v>
      </c>
      <c r="V32" s="124" t="s">
        <v>1632</v>
      </c>
      <c r="W32" s="124" t="s">
        <v>1633</v>
      </c>
      <c r="X32" s="124" t="s">
        <v>1634</v>
      </c>
      <c r="Y32" s="124" t="s">
        <v>254</v>
      </c>
      <c r="Z32" s="124"/>
      <c r="AA32" s="126" t="s">
        <v>1637</v>
      </c>
      <c r="AB32" s="111" t="s">
        <v>1635</v>
      </c>
      <c r="AC32" s="156">
        <v>46387</v>
      </c>
      <c r="AD32" s="163">
        <v>46102</v>
      </c>
      <c r="AE32" s="115" t="s">
        <v>1636</v>
      </c>
      <c r="AF32" s="163"/>
      <c r="AG32" s="115"/>
      <c r="AH32" s="163"/>
      <c r="AI32" s="115"/>
      <c r="AJ32" s="163"/>
      <c r="AK32" s="115"/>
      <c r="AL32" s="169">
        <f t="shared" si="4"/>
        <v>3</v>
      </c>
      <c r="AM32" s="112">
        <f t="shared" si="5"/>
        <v>3</v>
      </c>
      <c r="AN32" s="171">
        <f t="shared" si="6"/>
        <v>9</v>
      </c>
      <c r="AO32" s="150" t="str">
        <f>_xlfn.IFNA(VLOOKUP(AN32,Parameter!$D$53:$E$77,2),"")</f>
        <v>SEDANG-RENDAH</v>
      </c>
      <c r="AP32" s="167" t="s">
        <v>379</v>
      </c>
      <c r="AQ32" s="116"/>
    </row>
    <row r="33" spans="1:43" ht="378" x14ac:dyDescent="0.3">
      <c r="A33" s="114" t="s">
        <v>48</v>
      </c>
      <c r="B33" s="112">
        <f t="shared" si="7"/>
        <v>19</v>
      </c>
      <c r="C33" s="124" t="s">
        <v>1826</v>
      </c>
      <c r="D33" s="169" t="s">
        <v>949</v>
      </c>
      <c r="E33" s="176" t="s">
        <v>256</v>
      </c>
      <c r="F33" s="118" t="s">
        <v>368</v>
      </c>
      <c r="G33" s="117" t="s">
        <v>49</v>
      </c>
      <c r="H33" s="173" t="s">
        <v>50</v>
      </c>
      <c r="I33" s="127" t="s">
        <v>1827</v>
      </c>
      <c r="J33" s="113" t="s">
        <v>1828</v>
      </c>
      <c r="K33" s="113" t="s">
        <v>1829</v>
      </c>
      <c r="L33" s="113" t="s">
        <v>1830</v>
      </c>
      <c r="M33" s="113" t="s">
        <v>1831</v>
      </c>
      <c r="N33" s="117" t="s">
        <v>384</v>
      </c>
      <c r="O33" s="120" t="s">
        <v>1586</v>
      </c>
      <c r="P33" s="119" t="s">
        <v>1832</v>
      </c>
      <c r="Q33" s="112">
        <v>3</v>
      </c>
      <c r="R33" s="112">
        <v>3</v>
      </c>
      <c r="S33" s="147">
        <f t="shared" si="3"/>
        <v>9</v>
      </c>
      <c r="T33" s="150" t="str">
        <f>_xlfn.IFNA(VLOOKUP(S33,Parameter!$D$53:$E$77,2),"")</f>
        <v>SEDANG-RENDAH</v>
      </c>
      <c r="U33" s="130" t="s">
        <v>1833</v>
      </c>
      <c r="V33" s="124" t="s">
        <v>1834</v>
      </c>
      <c r="W33" s="124" t="s">
        <v>1835</v>
      </c>
      <c r="X33" s="124" t="s">
        <v>1836</v>
      </c>
      <c r="Y33" s="124" t="s">
        <v>254</v>
      </c>
      <c r="Z33" s="124"/>
      <c r="AA33" s="126" t="s">
        <v>1839</v>
      </c>
      <c r="AB33" s="111" t="s">
        <v>1837</v>
      </c>
      <c r="AC33" s="156">
        <v>46387</v>
      </c>
      <c r="AD33" s="163">
        <v>46102</v>
      </c>
      <c r="AE33" s="115" t="s">
        <v>1838</v>
      </c>
      <c r="AF33" s="163"/>
      <c r="AG33" s="115"/>
      <c r="AH33" s="163"/>
      <c r="AI33" s="115"/>
      <c r="AJ33" s="163"/>
      <c r="AK33" s="115"/>
      <c r="AL33" s="169">
        <f t="shared" si="4"/>
        <v>3</v>
      </c>
      <c r="AM33" s="112">
        <f t="shared" si="5"/>
        <v>3</v>
      </c>
      <c r="AN33" s="171">
        <f t="shared" si="6"/>
        <v>9</v>
      </c>
      <c r="AO33" s="150" t="str">
        <f>_xlfn.IFNA(VLOOKUP(AN33,Parameter!$D$53:$E$77,2),"")</f>
        <v>SEDANG-RENDAH</v>
      </c>
      <c r="AP33" s="167" t="s">
        <v>379</v>
      </c>
      <c r="AQ33" s="116"/>
    </row>
    <row r="34" spans="1:43" ht="342" x14ac:dyDescent="0.3">
      <c r="A34" s="114" t="s">
        <v>48</v>
      </c>
      <c r="B34" s="112">
        <f t="shared" si="7"/>
        <v>20</v>
      </c>
      <c r="C34" s="124" t="s">
        <v>1573</v>
      </c>
      <c r="D34" s="169" t="s">
        <v>270</v>
      </c>
      <c r="E34" s="176" t="s">
        <v>52</v>
      </c>
      <c r="F34" s="118" t="s">
        <v>367</v>
      </c>
      <c r="G34" s="117" t="s">
        <v>49</v>
      </c>
      <c r="H34" s="173" t="s">
        <v>190</v>
      </c>
      <c r="I34" s="127" t="s">
        <v>1104</v>
      </c>
      <c r="J34" s="113" t="s">
        <v>1105</v>
      </c>
      <c r="K34" s="113" t="s">
        <v>1106</v>
      </c>
      <c r="L34" s="113" t="s">
        <v>1107</v>
      </c>
      <c r="M34" s="113" t="s">
        <v>1108</v>
      </c>
      <c r="N34" s="117" t="s">
        <v>384</v>
      </c>
      <c r="O34" s="120" t="s">
        <v>482</v>
      </c>
      <c r="P34" s="119" t="s">
        <v>1109</v>
      </c>
      <c r="Q34" s="112">
        <v>3</v>
      </c>
      <c r="R34" s="112">
        <v>4</v>
      </c>
      <c r="S34" s="147">
        <f t="shared" si="3"/>
        <v>12</v>
      </c>
      <c r="T34" s="150" t="str">
        <f>_xlfn.IFNA(VLOOKUP(S34,Parameter!$D$53:$E$77,2),"")</f>
        <v>SEDANG</v>
      </c>
      <c r="U34" s="130" t="s">
        <v>1110</v>
      </c>
      <c r="V34" s="124" t="s">
        <v>1111</v>
      </c>
      <c r="W34" s="124" t="s">
        <v>1112</v>
      </c>
      <c r="X34" s="124" t="s">
        <v>1113</v>
      </c>
      <c r="Y34" s="124" t="s">
        <v>290</v>
      </c>
      <c r="Z34" s="124"/>
      <c r="AA34" s="126" t="s">
        <v>1115</v>
      </c>
      <c r="AB34" s="145" t="s">
        <v>1116</v>
      </c>
      <c r="AC34" s="156">
        <v>46387</v>
      </c>
      <c r="AD34" s="163">
        <v>46102</v>
      </c>
      <c r="AE34" s="115" t="s">
        <v>1114</v>
      </c>
      <c r="AF34" s="163"/>
      <c r="AG34" s="115"/>
      <c r="AH34" s="163"/>
      <c r="AI34" s="115"/>
      <c r="AJ34" s="163"/>
      <c r="AK34" s="115"/>
      <c r="AL34" s="169">
        <f t="shared" si="4"/>
        <v>3</v>
      </c>
      <c r="AM34" s="112">
        <f t="shared" si="5"/>
        <v>4</v>
      </c>
      <c r="AN34" s="171">
        <f t="shared" si="6"/>
        <v>12</v>
      </c>
      <c r="AO34" s="150" t="str">
        <f>_xlfn.IFNA(VLOOKUP(AN34,Parameter!$D$53:$E$77,2),"")</f>
        <v>SEDANG</v>
      </c>
      <c r="AP34" s="167" t="s">
        <v>379</v>
      </c>
      <c r="AQ34" s="116"/>
    </row>
    <row r="35" spans="1:43" ht="396" x14ac:dyDescent="0.3">
      <c r="A35" s="114" t="s">
        <v>48</v>
      </c>
      <c r="B35" s="112">
        <f t="shared" si="7"/>
        <v>21</v>
      </c>
      <c r="C35" s="124" t="s">
        <v>1885</v>
      </c>
      <c r="D35" s="169" t="s">
        <v>306</v>
      </c>
      <c r="E35" s="176" t="s">
        <v>256</v>
      </c>
      <c r="F35" s="118" t="s">
        <v>368</v>
      </c>
      <c r="G35" s="117" t="s">
        <v>49</v>
      </c>
      <c r="H35" s="173" t="s">
        <v>50</v>
      </c>
      <c r="I35" s="127" t="s">
        <v>1886</v>
      </c>
      <c r="J35" s="113" t="s">
        <v>1887</v>
      </c>
      <c r="K35" s="113" t="s">
        <v>1888</v>
      </c>
      <c r="L35" s="113" t="s">
        <v>1889</v>
      </c>
      <c r="M35" s="113" t="s">
        <v>1890</v>
      </c>
      <c r="N35" s="117" t="s">
        <v>384</v>
      </c>
      <c r="O35" s="120" t="s">
        <v>1586</v>
      </c>
      <c r="P35" s="119" t="s">
        <v>1891</v>
      </c>
      <c r="Q35" s="112">
        <v>4</v>
      </c>
      <c r="R35" s="112">
        <v>5</v>
      </c>
      <c r="S35" s="147">
        <f t="shared" si="3"/>
        <v>20</v>
      </c>
      <c r="T35" s="150" t="str">
        <f>_xlfn.IFNA(VLOOKUP(S35,Parameter!$D$53:$E$77,2),"")</f>
        <v>TINGGI</v>
      </c>
      <c r="U35" s="130" t="s">
        <v>1892</v>
      </c>
      <c r="V35" s="124" t="s">
        <v>1893</v>
      </c>
      <c r="W35" s="124" t="s">
        <v>1894</v>
      </c>
      <c r="X35" s="124" t="s">
        <v>1895</v>
      </c>
      <c r="Y35" s="124" t="s">
        <v>297</v>
      </c>
      <c r="Z35" s="124"/>
      <c r="AA35" s="126" t="s">
        <v>1898</v>
      </c>
      <c r="AB35" s="111" t="s">
        <v>1897</v>
      </c>
      <c r="AC35" s="156">
        <v>46387</v>
      </c>
      <c r="AD35" s="163">
        <v>46102</v>
      </c>
      <c r="AE35" s="115" t="s">
        <v>1896</v>
      </c>
      <c r="AF35" s="163"/>
      <c r="AG35" s="115"/>
      <c r="AH35" s="163"/>
      <c r="AI35" s="115"/>
      <c r="AJ35" s="163"/>
      <c r="AK35" s="115"/>
      <c r="AL35" s="169">
        <f t="shared" si="4"/>
        <v>4</v>
      </c>
      <c r="AM35" s="112">
        <f t="shared" si="5"/>
        <v>5</v>
      </c>
      <c r="AN35" s="171">
        <f t="shared" si="6"/>
        <v>20</v>
      </c>
      <c r="AO35" s="150" t="str">
        <f>_xlfn.IFNA(VLOOKUP(AN35,Parameter!$D$53:$E$77,2),"")</f>
        <v>TINGGI</v>
      </c>
      <c r="AP35" s="167" t="s">
        <v>379</v>
      </c>
      <c r="AQ35" s="116"/>
    </row>
    <row r="36" spans="1:43" ht="306" x14ac:dyDescent="0.3">
      <c r="A36" s="114" t="s">
        <v>48</v>
      </c>
      <c r="B36" s="112">
        <f t="shared" si="7"/>
        <v>22</v>
      </c>
      <c r="C36" s="124" t="s">
        <v>1574</v>
      </c>
      <c r="D36" s="169" t="s">
        <v>306</v>
      </c>
      <c r="E36" s="176" t="s">
        <v>256</v>
      </c>
      <c r="F36" s="118" t="s">
        <v>368</v>
      </c>
      <c r="G36" s="117" t="s">
        <v>49</v>
      </c>
      <c r="H36" s="173" t="s">
        <v>50</v>
      </c>
      <c r="I36" s="127" t="s">
        <v>561</v>
      </c>
      <c r="J36" s="113" t="s">
        <v>561</v>
      </c>
      <c r="K36" s="113" t="s">
        <v>562</v>
      </c>
      <c r="L36" s="113" t="s">
        <v>563</v>
      </c>
      <c r="M36" s="113" t="s">
        <v>564</v>
      </c>
      <c r="N36" s="117" t="s">
        <v>384</v>
      </c>
      <c r="O36" s="120" t="s">
        <v>482</v>
      </c>
      <c r="P36" s="119" t="s">
        <v>565</v>
      </c>
      <c r="Q36" s="112">
        <v>4</v>
      </c>
      <c r="R36" s="112">
        <v>4</v>
      </c>
      <c r="S36" s="147">
        <f t="shared" si="3"/>
        <v>16</v>
      </c>
      <c r="T36" s="150" t="str">
        <f>_xlfn.IFNA(VLOOKUP(S36,Parameter!$D$53:$E$77,2),"")</f>
        <v>SEDANG-TINGGI</v>
      </c>
      <c r="U36" s="130" t="s">
        <v>566</v>
      </c>
      <c r="V36" s="124" t="s">
        <v>567</v>
      </c>
      <c r="W36" s="124" t="s">
        <v>568</v>
      </c>
      <c r="X36" s="124" t="s">
        <v>570</v>
      </c>
      <c r="Y36" s="124" t="s">
        <v>297</v>
      </c>
      <c r="Z36" s="124"/>
      <c r="AA36" s="126" t="s">
        <v>569</v>
      </c>
      <c r="AB36" s="145" t="s">
        <v>489</v>
      </c>
      <c r="AC36" s="156">
        <v>46387</v>
      </c>
      <c r="AD36" s="163">
        <v>46102</v>
      </c>
      <c r="AE36" s="164" t="s">
        <v>571</v>
      </c>
      <c r="AF36" s="163"/>
      <c r="AG36" s="164"/>
      <c r="AH36" s="163"/>
      <c r="AI36" s="164"/>
      <c r="AJ36" s="163"/>
      <c r="AK36" s="164"/>
      <c r="AL36" s="169">
        <f t="shared" si="4"/>
        <v>4</v>
      </c>
      <c r="AM36" s="112">
        <f t="shared" si="5"/>
        <v>4</v>
      </c>
      <c r="AN36" s="171">
        <f t="shared" si="6"/>
        <v>16</v>
      </c>
      <c r="AO36" s="150" t="str">
        <f>_xlfn.IFNA(VLOOKUP(AN36,Parameter!$D$53:$E$77,2),"")</f>
        <v>SEDANG-TINGGI</v>
      </c>
      <c r="AP36" s="167" t="s">
        <v>379</v>
      </c>
      <c r="AQ36" s="116"/>
    </row>
    <row r="37" spans="1:43" ht="342" x14ac:dyDescent="0.3">
      <c r="A37" s="114" t="s">
        <v>48</v>
      </c>
      <c r="B37" s="112">
        <f t="shared" si="7"/>
        <v>23</v>
      </c>
      <c r="C37" s="124" t="s">
        <v>1638</v>
      </c>
      <c r="D37" s="169" t="s">
        <v>306</v>
      </c>
      <c r="E37" s="176" t="s">
        <v>256</v>
      </c>
      <c r="F37" s="118" t="s">
        <v>368</v>
      </c>
      <c r="G37" s="117" t="s">
        <v>49</v>
      </c>
      <c r="H37" s="173" t="s">
        <v>50</v>
      </c>
      <c r="I37" s="127" t="s">
        <v>1639</v>
      </c>
      <c r="J37" s="113" t="s">
        <v>1640</v>
      </c>
      <c r="K37" s="113" t="s">
        <v>1641</v>
      </c>
      <c r="L37" s="113" t="s">
        <v>1642</v>
      </c>
      <c r="M37" s="113" t="s">
        <v>1643</v>
      </c>
      <c r="N37" s="117" t="s">
        <v>384</v>
      </c>
      <c r="O37" s="120" t="s">
        <v>1586</v>
      </c>
      <c r="P37" s="119" t="s">
        <v>565</v>
      </c>
      <c r="Q37" s="112">
        <v>4</v>
      </c>
      <c r="R37" s="112">
        <v>3</v>
      </c>
      <c r="S37" s="147">
        <f t="shared" si="3"/>
        <v>12</v>
      </c>
      <c r="T37" s="150" t="str">
        <f>_xlfn.IFNA(VLOOKUP(S37,Parameter!$D$53:$E$77,2),"")</f>
        <v>SEDANG</v>
      </c>
      <c r="U37" s="130" t="s">
        <v>1644</v>
      </c>
      <c r="V37" s="124" t="s">
        <v>1645</v>
      </c>
      <c r="W37" s="124" t="s">
        <v>1646</v>
      </c>
      <c r="X37" s="124" t="s">
        <v>1647</v>
      </c>
      <c r="Y37" s="124" t="s">
        <v>297</v>
      </c>
      <c r="Z37" s="124"/>
      <c r="AA37" s="126" t="s">
        <v>1649</v>
      </c>
      <c r="AB37" s="111" t="s">
        <v>1340</v>
      </c>
      <c r="AC37" s="156">
        <v>46387</v>
      </c>
      <c r="AD37" s="163">
        <v>46102</v>
      </c>
      <c r="AE37" s="115" t="s">
        <v>1648</v>
      </c>
      <c r="AF37" s="163"/>
      <c r="AG37" s="115"/>
      <c r="AH37" s="163"/>
      <c r="AI37" s="115"/>
      <c r="AJ37" s="163"/>
      <c r="AK37" s="115"/>
      <c r="AL37" s="169">
        <f t="shared" si="4"/>
        <v>4</v>
      </c>
      <c r="AM37" s="112">
        <f t="shared" si="5"/>
        <v>3</v>
      </c>
      <c r="AN37" s="171">
        <f t="shared" si="6"/>
        <v>12</v>
      </c>
      <c r="AO37" s="150" t="str">
        <f>_xlfn.IFNA(VLOOKUP(AN37,Parameter!$D$53:$E$77,2),"")</f>
        <v>SEDANG</v>
      </c>
      <c r="AP37" s="167" t="s">
        <v>379</v>
      </c>
      <c r="AQ37" s="116"/>
    </row>
    <row r="38" spans="1:43" ht="360" x14ac:dyDescent="0.3">
      <c r="A38" s="114" t="s">
        <v>48</v>
      </c>
      <c r="B38" s="112">
        <f t="shared" si="7"/>
        <v>24</v>
      </c>
      <c r="C38" s="124" t="s">
        <v>1530</v>
      </c>
      <c r="D38" s="169" t="s">
        <v>955</v>
      </c>
      <c r="E38" s="176" t="s">
        <v>256</v>
      </c>
      <c r="F38" s="118" t="s">
        <v>368</v>
      </c>
      <c r="G38" s="117" t="s">
        <v>49</v>
      </c>
      <c r="H38" s="173" t="s">
        <v>50</v>
      </c>
      <c r="I38" s="127" t="s">
        <v>1531</v>
      </c>
      <c r="J38" s="113" t="s">
        <v>1532</v>
      </c>
      <c r="K38" s="113" t="s">
        <v>1533</v>
      </c>
      <c r="L38" s="113" t="s">
        <v>1534</v>
      </c>
      <c r="M38" s="113" t="s">
        <v>1535</v>
      </c>
      <c r="N38" s="117" t="s">
        <v>361</v>
      </c>
      <c r="O38" s="120" t="s">
        <v>482</v>
      </c>
      <c r="P38" s="119" t="s">
        <v>1536</v>
      </c>
      <c r="Q38" s="112">
        <v>4</v>
      </c>
      <c r="R38" s="112">
        <v>4</v>
      </c>
      <c r="S38" s="147">
        <f t="shared" si="3"/>
        <v>16</v>
      </c>
      <c r="T38" s="150" t="str">
        <f>_xlfn.IFNA(VLOOKUP(S38,Parameter!$D$53:$E$77,2),"")</f>
        <v>SEDANG-TINGGI</v>
      </c>
      <c r="U38" s="130" t="s">
        <v>1537</v>
      </c>
      <c r="V38" s="124" t="s">
        <v>1538</v>
      </c>
      <c r="W38" s="124" t="s">
        <v>1539</v>
      </c>
      <c r="X38" s="124" t="s">
        <v>1540</v>
      </c>
      <c r="Y38" s="124" t="s">
        <v>722</v>
      </c>
      <c r="Z38" s="124"/>
      <c r="AA38" s="126" t="s">
        <v>1542</v>
      </c>
      <c r="AB38" s="111" t="s">
        <v>1543</v>
      </c>
      <c r="AC38" s="156">
        <v>46387</v>
      </c>
      <c r="AD38" s="163">
        <v>46102</v>
      </c>
      <c r="AE38" s="115" t="s">
        <v>1541</v>
      </c>
      <c r="AF38" s="163"/>
      <c r="AG38" s="115"/>
      <c r="AH38" s="163"/>
      <c r="AI38" s="115"/>
      <c r="AJ38" s="163"/>
      <c r="AK38" s="115"/>
      <c r="AL38" s="169">
        <f t="shared" si="4"/>
        <v>4</v>
      </c>
      <c r="AM38" s="112">
        <f t="shared" si="5"/>
        <v>4</v>
      </c>
      <c r="AN38" s="171">
        <f t="shared" si="6"/>
        <v>16</v>
      </c>
      <c r="AO38" s="150" t="str">
        <f>_xlfn.IFNA(VLOOKUP(AN38,Parameter!$D$53:$E$77,2),"")</f>
        <v>SEDANG-TINGGI</v>
      </c>
      <c r="AP38" s="167" t="s">
        <v>379</v>
      </c>
      <c r="AQ38" s="116"/>
    </row>
    <row r="39" spans="1:43" ht="396" x14ac:dyDescent="0.3">
      <c r="A39" s="114" t="s">
        <v>48</v>
      </c>
      <c r="B39" s="112">
        <f t="shared" si="7"/>
        <v>25</v>
      </c>
      <c r="C39" s="124" t="s">
        <v>1976</v>
      </c>
      <c r="D39" s="169" t="s">
        <v>258</v>
      </c>
      <c r="E39" s="176" t="s">
        <v>189</v>
      </c>
      <c r="F39" s="118" t="s">
        <v>372</v>
      </c>
      <c r="G39" s="117" t="s">
        <v>49</v>
      </c>
      <c r="H39" s="173" t="s">
        <v>50</v>
      </c>
      <c r="I39" s="127" t="s">
        <v>1977</v>
      </c>
      <c r="J39" s="113" t="s">
        <v>1978</v>
      </c>
      <c r="K39" s="113" t="s">
        <v>1979</v>
      </c>
      <c r="L39" s="113" t="s">
        <v>1980</v>
      </c>
      <c r="M39" s="113" t="s">
        <v>1981</v>
      </c>
      <c r="N39" s="117" t="s">
        <v>361</v>
      </c>
      <c r="O39" s="120" t="s">
        <v>497</v>
      </c>
      <c r="P39" s="119" t="s">
        <v>1982</v>
      </c>
      <c r="Q39" s="112">
        <v>4</v>
      </c>
      <c r="R39" s="112">
        <v>4</v>
      </c>
      <c r="S39" s="147">
        <f t="shared" si="3"/>
        <v>16</v>
      </c>
      <c r="T39" s="150" t="str">
        <f>_xlfn.IFNA(VLOOKUP(S39,Parameter!$D$53:$E$77,2),"")</f>
        <v>SEDANG-TINGGI</v>
      </c>
      <c r="U39" s="130" t="s">
        <v>1983</v>
      </c>
      <c r="V39" s="124" t="s">
        <v>1984</v>
      </c>
      <c r="W39" s="124" t="s">
        <v>1985</v>
      </c>
      <c r="X39" s="124" t="s">
        <v>1986</v>
      </c>
      <c r="Y39" s="124" t="s">
        <v>337</v>
      </c>
      <c r="Z39" s="124"/>
      <c r="AA39" s="126" t="s">
        <v>1989</v>
      </c>
      <c r="AB39" s="111" t="s">
        <v>1988</v>
      </c>
      <c r="AC39" s="156">
        <v>46387</v>
      </c>
      <c r="AD39" s="163">
        <v>46102</v>
      </c>
      <c r="AE39" s="115" t="s">
        <v>1987</v>
      </c>
      <c r="AF39" s="163"/>
      <c r="AG39" s="115"/>
      <c r="AH39" s="163"/>
      <c r="AI39" s="115"/>
      <c r="AJ39" s="163"/>
      <c r="AK39" s="115"/>
      <c r="AL39" s="169">
        <f t="shared" si="4"/>
        <v>4</v>
      </c>
      <c r="AM39" s="112">
        <f t="shared" si="5"/>
        <v>4</v>
      </c>
      <c r="AN39" s="171">
        <f t="shared" si="6"/>
        <v>16</v>
      </c>
      <c r="AO39" s="150" t="str">
        <f>_xlfn.IFNA(VLOOKUP(AN39,Parameter!$D$53:$E$77,2),"")</f>
        <v>SEDANG-TINGGI</v>
      </c>
      <c r="AP39" s="167" t="s">
        <v>379</v>
      </c>
      <c r="AQ39" s="116"/>
    </row>
    <row r="40" spans="1:43" ht="108" x14ac:dyDescent="0.3">
      <c r="A40" s="114" t="s">
        <v>48</v>
      </c>
      <c r="B40" s="112">
        <f t="shared" si="7"/>
        <v>26</v>
      </c>
      <c r="C40" s="124" t="s">
        <v>1575</v>
      </c>
      <c r="D40" s="169" t="s">
        <v>293</v>
      </c>
      <c r="E40" s="176" t="s">
        <v>52</v>
      </c>
      <c r="F40" s="118" t="s">
        <v>368</v>
      </c>
      <c r="G40" s="117" t="s">
        <v>49</v>
      </c>
      <c r="H40" s="173" t="s">
        <v>50</v>
      </c>
      <c r="I40" s="127" t="s">
        <v>439</v>
      </c>
      <c r="J40" s="113" t="s">
        <v>440</v>
      </c>
      <c r="K40" s="113" t="s">
        <v>441</v>
      </c>
      <c r="L40" s="113" t="s">
        <v>442</v>
      </c>
      <c r="M40" s="113" t="s">
        <v>443</v>
      </c>
      <c r="N40" s="117" t="s">
        <v>385</v>
      </c>
      <c r="O40" s="120" t="s">
        <v>405</v>
      </c>
      <c r="P40" s="119" t="s">
        <v>444</v>
      </c>
      <c r="Q40" s="112">
        <v>4</v>
      </c>
      <c r="R40" s="112">
        <v>4</v>
      </c>
      <c r="S40" s="147">
        <f t="shared" si="3"/>
        <v>16</v>
      </c>
      <c r="T40" s="150" t="str">
        <f>_xlfn.IFNA(VLOOKUP(S40,Parameter!$D$53:$E$77,2),"")</f>
        <v>SEDANG-TINGGI</v>
      </c>
      <c r="U40" s="130" t="s">
        <v>445</v>
      </c>
      <c r="V40" s="124" t="s">
        <v>421</v>
      </c>
      <c r="W40" s="124" t="s">
        <v>446</v>
      </c>
      <c r="X40" s="124" t="s">
        <v>447</v>
      </c>
      <c r="Y40" s="124" t="s">
        <v>290</v>
      </c>
      <c r="Z40" s="124"/>
      <c r="AA40" s="126" t="s">
        <v>448</v>
      </c>
      <c r="AB40" s="111" t="s">
        <v>294</v>
      </c>
      <c r="AC40" s="156">
        <v>46387</v>
      </c>
      <c r="AD40" s="163">
        <v>46102</v>
      </c>
      <c r="AE40" s="115" t="s">
        <v>449</v>
      </c>
      <c r="AF40" s="163"/>
      <c r="AG40" s="115"/>
      <c r="AH40" s="163"/>
      <c r="AI40" s="115"/>
      <c r="AJ40" s="163"/>
      <c r="AK40" s="115"/>
      <c r="AL40" s="169">
        <f t="shared" ref="AL40:AL60" si="8">Q40</f>
        <v>4</v>
      </c>
      <c r="AM40" s="112">
        <v>3</v>
      </c>
      <c r="AN40" s="171">
        <f t="shared" si="6"/>
        <v>12</v>
      </c>
      <c r="AO40" s="150" t="str">
        <f>_xlfn.IFNA(VLOOKUP(AN40,Parameter!$D$53:$E$77,2),"")</f>
        <v>SEDANG</v>
      </c>
      <c r="AP40" s="167" t="s">
        <v>379</v>
      </c>
      <c r="AQ40" s="116"/>
    </row>
    <row r="41" spans="1:43" ht="378" x14ac:dyDescent="0.3">
      <c r="A41" s="114" t="s">
        <v>48</v>
      </c>
      <c r="B41" s="112">
        <f t="shared" si="7"/>
        <v>27</v>
      </c>
      <c r="C41" s="124" t="s">
        <v>1057</v>
      </c>
      <c r="D41" s="169" t="s">
        <v>280</v>
      </c>
      <c r="E41" s="176" t="s">
        <v>256</v>
      </c>
      <c r="F41" s="118" t="s">
        <v>367</v>
      </c>
      <c r="G41" s="117" t="s">
        <v>377</v>
      </c>
      <c r="H41" s="173" t="s">
        <v>50</v>
      </c>
      <c r="I41" s="127" t="s">
        <v>1743</v>
      </c>
      <c r="J41" s="113" t="s">
        <v>1744</v>
      </c>
      <c r="K41" s="113" t="s">
        <v>1745</v>
      </c>
      <c r="L41" s="113" t="s">
        <v>1746</v>
      </c>
      <c r="M41" s="113" t="s">
        <v>1747</v>
      </c>
      <c r="N41" s="117" t="s">
        <v>382</v>
      </c>
      <c r="O41" s="120" t="s">
        <v>1748</v>
      </c>
      <c r="P41" s="119" t="s">
        <v>1749</v>
      </c>
      <c r="Q41" s="112">
        <v>4</v>
      </c>
      <c r="R41" s="112">
        <v>4</v>
      </c>
      <c r="S41" s="147">
        <f t="shared" si="3"/>
        <v>16</v>
      </c>
      <c r="T41" s="150" t="str">
        <f>_xlfn.IFNA(VLOOKUP(S41,Parameter!$D$53:$E$77,2),"")</f>
        <v>SEDANG-TINGGI</v>
      </c>
      <c r="U41" s="130" t="s">
        <v>1750</v>
      </c>
      <c r="V41" s="124" t="s">
        <v>1751</v>
      </c>
      <c r="W41" s="124" t="s">
        <v>1752</v>
      </c>
      <c r="X41" s="124" t="s">
        <v>1753</v>
      </c>
      <c r="Y41" s="124" t="s">
        <v>279</v>
      </c>
      <c r="Z41" s="124" t="s">
        <v>297</v>
      </c>
      <c r="AA41" s="126" t="s">
        <v>1755</v>
      </c>
      <c r="AB41" s="111" t="s">
        <v>386</v>
      </c>
      <c r="AC41" s="156">
        <v>46387</v>
      </c>
      <c r="AD41" s="163">
        <v>46102</v>
      </c>
      <c r="AE41" s="115" t="s">
        <v>1754</v>
      </c>
      <c r="AF41" s="163"/>
      <c r="AG41" s="115"/>
      <c r="AH41" s="163"/>
      <c r="AI41" s="115"/>
      <c r="AJ41" s="163"/>
      <c r="AK41" s="115"/>
      <c r="AL41" s="169">
        <f t="shared" si="8"/>
        <v>4</v>
      </c>
      <c r="AM41" s="112">
        <f t="shared" ref="AM41:AM60" si="9">R41</f>
        <v>4</v>
      </c>
      <c r="AN41" s="171">
        <f t="shared" si="6"/>
        <v>16</v>
      </c>
      <c r="AO41" s="150" t="str">
        <f>_xlfn.IFNA(VLOOKUP(AN41,Parameter!$D$53:$E$77,2),"")</f>
        <v>SEDANG-TINGGI</v>
      </c>
      <c r="AP41" s="167" t="s">
        <v>379</v>
      </c>
      <c r="AQ41" s="116"/>
    </row>
    <row r="42" spans="1:43" ht="342" x14ac:dyDescent="0.3">
      <c r="A42" s="114" t="s">
        <v>48</v>
      </c>
      <c r="B42" s="112">
        <f t="shared" si="7"/>
        <v>28</v>
      </c>
      <c r="C42" s="124" t="s">
        <v>1650</v>
      </c>
      <c r="D42" s="169" t="s">
        <v>283</v>
      </c>
      <c r="E42" s="176" t="s">
        <v>256</v>
      </c>
      <c r="F42" s="118" t="s">
        <v>368</v>
      </c>
      <c r="G42" s="117" t="s">
        <v>49</v>
      </c>
      <c r="H42" s="173" t="s">
        <v>50</v>
      </c>
      <c r="I42" s="127" t="s">
        <v>1651</v>
      </c>
      <c r="J42" s="113" t="s">
        <v>1652</v>
      </c>
      <c r="K42" s="113" t="s">
        <v>1653</v>
      </c>
      <c r="L42" s="113" t="s">
        <v>1654</v>
      </c>
      <c r="M42" s="113" t="s">
        <v>1655</v>
      </c>
      <c r="N42" s="117" t="s">
        <v>384</v>
      </c>
      <c r="O42" s="120" t="s">
        <v>482</v>
      </c>
      <c r="P42" s="119" t="s">
        <v>1656</v>
      </c>
      <c r="Q42" s="112">
        <v>3</v>
      </c>
      <c r="R42" s="112">
        <v>4</v>
      </c>
      <c r="S42" s="147">
        <f t="shared" si="3"/>
        <v>12</v>
      </c>
      <c r="T42" s="150" t="str">
        <f>_xlfn.IFNA(VLOOKUP(S42,Parameter!$D$53:$E$77,2),"")</f>
        <v>SEDANG</v>
      </c>
      <c r="U42" s="130" t="s">
        <v>1657</v>
      </c>
      <c r="V42" s="124" t="s">
        <v>1658</v>
      </c>
      <c r="W42" s="124" t="s">
        <v>1659</v>
      </c>
      <c r="X42" s="124" t="s">
        <v>1660</v>
      </c>
      <c r="Y42" s="124" t="s">
        <v>279</v>
      </c>
      <c r="Z42" s="124"/>
      <c r="AA42" s="126" t="s">
        <v>1663</v>
      </c>
      <c r="AB42" s="111" t="s">
        <v>1662</v>
      </c>
      <c r="AC42" s="156">
        <v>46387</v>
      </c>
      <c r="AD42" s="163">
        <v>46102</v>
      </c>
      <c r="AE42" s="115" t="s">
        <v>1661</v>
      </c>
      <c r="AF42" s="163"/>
      <c r="AG42" s="115"/>
      <c r="AH42" s="163"/>
      <c r="AI42" s="115"/>
      <c r="AJ42" s="163"/>
      <c r="AK42" s="115"/>
      <c r="AL42" s="169">
        <f t="shared" si="8"/>
        <v>3</v>
      </c>
      <c r="AM42" s="112">
        <f t="shared" si="9"/>
        <v>4</v>
      </c>
      <c r="AN42" s="171">
        <f t="shared" si="6"/>
        <v>12</v>
      </c>
      <c r="AO42" s="150" t="str">
        <f>_xlfn.IFNA(VLOOKUP(AN42,Parameter!$D$53:$E$77,2),"")</f>
        <v>SEDANG</v>
      </c>
      <c r="AP42" s="167" t="s">
        <v>379</v>
      </c>
      <c r="AQ42" s="116"/>
    </row>
    <row r="43" spans="1:43" ht="306" x14ac:dyDescent="0.3">
      <c r="A43" s="114" t="s">
        <v>48</v>
      </c>
      <c r="B43" s="112">
        <f t="shared" si="7"/>
        <v>29</v>
      </c>
      <c r="C43" s="124" t="s">
        <v>825</v>
      </c>
      <c r="D43" s="169" t="s">
        <v>263</v>
      </c>
      <c r="E43" s="176" t="s">
        <v>256</v>
      </c>
      <c r="F43" s="118" t="s">
        <v>368</v>
      </c>
      <c r="G43" s="117" t="s">
        <v>377</v>
      </c>
      <c r="H43" s="173" t="s">
        <v>50</v>
      </c>
      <c r="I43" s="127" t="s">
        <v>826</v>
      </c>
      <c r="J43" s="113" t="s">
        <v>827</v>
      </c>
      <c r="K43" s="113" t="s">
        <v>828</v>
      </c>
      <c r="L43" s="113" t="s">
        <v>829</v>
      </c>
      <c r="M43" s="113" t="s">
        <v>830</v>
      </c>
      <c r="N43" s="117" t="s">
        <v>385</v>
      </c>
      <c r="O43" s="120" t="s">
        <v>802</v>
      </c>
      <c r="P43" s="119" t="s">
        <v>831</v>
      </c>
      <c r="Q43" s="112">
        <v>4</v>
      </c>
      <c r="R43" s="112">
        <v>5</v>
      </c>
      <c r="S43" s="147">
        <f t="shared" si="3"/>
        <v>20</v>
      </c>
      <c r="T43" s="150" t="str">
        <f>_xlfn.IFNA(VLOOKUP(S43,Parameter!$D$53:$E$77,2),"")</f>
        <v>TINGGI</v>
      </c>
      <c r="U43" s="130" t="s">
        <v>832</v>
      </c>
      <c r="V43" s="124" t="s">
        <v>833</v>
      </c>
      <c r="W43" s="124" t="s">
        <v>834</v>
      </c>
      <c r="X43" s="124" t="s">
        <v>835</v>
      </c>
      <c r="Y43" s="124" t="s">
        <v>262</v>
      </c>
      <c r="Z43" s="124"/>
      <c r="AA43" s="126" t="s">
        <v>837</v>
      </c>
      <c r="AB43" s="111" t="s">
        <v>821</v>
      </c>
      <c r="AC43" s="156">
        <v>46387</v>
      </c>
      <c r="AD43" s="163">
        <v>46102</v>
      </c>
      <c r="AE43" s="115" t="s">
        <v>836</v>
      </c>
      <c r="AF43" s="163"/>
      <c r="AG43" s="115"/>
      <c r="AH43" s="163"/>
      <c r="AI43" s="115"/>
      <c r="AJ43" s="163"/>
      <c r="AK43" s="115"/>
      <c r="AL43" s="169">
        <f t="shared" si="8"/>
        <v>4</v>
      </c>
      <c r="AM43" s="112">
        <f t="shared" si="9"/>
        <v>5</v>
      </c>
      <c r="AN43" s="171">
        <f t="shared" si="6"/>
        <v>20</v>
      </c>
      <c r="AO43" s="150" t="str">
        <f>_xlfn.IFNA(VLOOKUP(AN43,Parameter!$D$53:$E$77,2),"")</f>
        <v>TINGGI</v>
      </c>
      <c r="AP43" s="167" t="s">
        <v>379</v>
      </c>
      <c r="AQ43" s="116"/>
    </row>
    <row r="44" spans="1:43" ht="234" x14ac:dyDescent="0.3">
      <c r="A44" s="114" t="s">
        <v>48</v>
      </c>
      <c r="B44" s="112">
        <f t="shared" si="7"/>
        <v>30</v>
      </c>
      <c r="C44" s="124" t="s">
        <v>767</v>
      </c>
      <c r="D44" s="169" t="s">
        <v>263</v>
      </c>
      <c r="E44" s="176" t="s">
        <v>256</v>
      </c>
      <c r="F44" s="118" t="s">
        <v>368</v>
      </c>
      <c r="G44" s="117" t="s">
        <v>49</v>
      </c>
      <c r="H44" s="173" t="s">
        <v>50</v>
      </c>
      <c r="I44" s="127" t="s">
        <v>769</v>
      </c>
      <c r="J44" s="113" t="s">
        <v>770</v>
      </c>
      <c r="K44" s="113" t="s">
        <v>771</v>
      </c>
      <c r="L44" s="113" t="s">
        <v>772</v>
      </c>
      <c r="M44" s="113" t="s">
        <v>773</v>
      </c>
      <c r="N44" s="117" t="s">
        <v>384</v>
      </c>
      <c r="O44" s="120" t="s">
        <v>491</v>
      </c>
      <c r="P44" s="119" t="s">
        <v>748</v>
      </c>
      <c r="Q44" s="112">
        <v>3</v>
      </c>
      <c r="R44" s="112">
        <v>4</v>
      </c>
      <c r="S44" s="147">
        <f t="shared" si="3"/>
        <v>12</v>
      </c>
      <c r="T44" s="150" t="str">
        <f>_xlfn.IFNA(VLOOKUP(S44,Parameter!$D$53:$E$77,2),"")</f>
        <v>SEDANG</v>
      </c>
      <c r="U44" s="130" t="s">
        <v>774</v>
      </c>
      <c r="V44" s="124" t="s">
        <v>775</v>
      </c>
      <c r="W44" s="124" t="s">
        <v>776</v>
      </c>
      <c r="X44" s="124" t="s">
        <v>777</v>
      </c>
      <c r="Y44" s="124" t="s">
        <v>262</v>
      </c>
      <c r="Z44" s="124"/>
      <c r="AA44" s="126" t="s">
        <v>780</v>
      </c>
      <c r="AB44" s="111" t="s">
        <v>778</v>
      </c>
      <c r="AC44" s="156">
        <v>46387</v>
      </c>
      <c r="AD44" s="163">
        <v>46102</v>
      </c>
      <c r="AE44" s="115" t="s">
        <v>779</v>
      </c>
      <c r="AF44" s="163"/>
      <c r="AG44" s="115"/>
      <c r="AH44" s="163"/>
      <c r="AI44" s="115"/>
      <c r="AJ44" s="163"/>
      <c r="AK44" s="115"/>
      <c r="AL44" s="169">
        <f t="shared" si="8"/>
        <v>3</v>
      </c>
      <c r="AM44" s="112">
        <f t="shared" si="9"/>
        <v>4</v>
      </c>
      <c r="AN44" s="171">
        <f t="shared" si="6"/>
        <v>12</v>
      </c>
      <c r="AO44" s="150" t="str">
        <f>_xlfn.IFNA(VLOOKUP(AN44,Parameter!$D$53:$E$77,2),"")</f>
        <v>SEDANG</v>
      </c>
      <c r="AP44" s="167" t="s">
        <v>379</v>
      </c>
      <c r="AQ44" s="116"/>
    </row>
    <row r="45" spans="1:43" ht="288" x14ac:dyDescent="0.3">
      <c r="A45" s="114" t="s">
        <v>48</v>
      </c>
      <c r="B45" s="112">
        <f t="shared" si="7"/>
        <v>31</v>
      </c>
      <c r="C45" s="124" t="s">
        <v>838</v>
      </c>
      <c r="D45" s="169" t="s">
        <v>263</v>
      </c>
      <c r="E45" s="176" t="s">
        <v>256</v>
      </c>
      <c r="F45" s="118" t="s">
        <v>368</v>
      </c>
      <c r="G45" s="117" t="s">
        <v>49</v>
      </c>
      <c r="H45" s="173" t="s">
        <v>50</v>
      </c>
      <c r="I45" s="127" t="s">
        <v>839</v>
      </c>
      <c r="J45" s="113" t="s">
        <v>840</v>
      </c>
      <c r="K45" s="113" t="s">
        <v>841</v>
      </c>
      <c r="L45" s="113" t="s">
        <v>842</v>
      </c>
      <c r="M45" s="113" t="s">
        <v>843</v>
      </c>
      <c r="N45" s="117" t="s">
        <v>382</v>
      </c>
      <c r="O45" s="120" t="s">
        <v>491</v>
      </c>
      <c r="P45" s="119" t="s">
        <v>844</v>
      </c>
      <c r="Q45" s="112">
        <v>3</v>
      </c>
      <c r="R45" s="112">
        <v>4</v>
      </c>
      <c r="S45" s="147">
        <f t="shared" si="3"/>
        <v>12</v>
      </c>
      <c r="T45" s="150" t="str">
        <f>_xlfn.IFNA(VLOOKUP(S45,Parameter!$D$53:$E$77,2),"")</f>
        <v>SEDANG</v>
      </c>
      <c r="U45" s="130" t="s">
        <v>845</v>
      </c>
      <c r="V45" s="124" t="s">
        <v>846</v>
      </c>
      <c r="W45" s="124" t="s">
        <v>847</v>
      </c>
      <c r="X45" s="124" t="s">
        <v>848</v>
      </c>
      <c r="Y45" s="124" t="s">
        <v>262</v>
      </c>
      <c r="Z45" s="124"/>
      <c r="AA45" s="126" t="s">
        <v>851</v>
      </c>
      <c r="AB45" s="111" t="s">
        <v>849</v>
      </c>
      <c r="AC45" s="156">
        <v>46387</v>
      </c>
      <c r="AD45" s="163">
        <v>46102</v>
      </c>
      <c r="AE45" s="115" t="s">
        <v>850</v>
      </c>
      <c r="AF45" s="163"/>
      <c r="AG45" s="115"/>
      <c r="AH45" s="163"/>
      <c r="AI45" s="115"/>
      <c r="AJ45" s="163"/>
      <c r="AK45" s="115"/>
      <c r="AL45" s="169">
        <f t="shared" si="8"/>
        <v>3</v>
      </c>
      <c r="AM45" s="112">
        <f t="shared" si="9"/>
        <v>4</v>
      </c>
      <c r="AN45" s="171">
        <f t="shared" si="6"/>
        <v>12</v>
      </c>
      <c r="AO45" s="150" t="str">
        <f>_xlfn.IFNA(VLOOKUP(AN45,Parameter!$D$53:$E$77,2),"")</f>
        <v>SEDANG</v>
      </c>
      <c r="AP45" s="167" t="s">
        <v>379</v>
      </c>
      <c r="AQ45" s="116"/>
    </row>
    <row r="46" spans="1:43" ht="270" x14ac:dyDescent="0.3">
      <c r="A46" s="114" t="s">
        <v>48</v>
      </c>
      <c r="B46" s="112">
        <f t="shared" si="7"/>
        <v>32</v>
      </c>
      <c r="C46" s="124" t="s">
        <v>768</v>
      </c>
      <c r="D46" s="169" t="s">
        <v>263</v>
      </c>
      <c r="E46" s="176" t="s">
        <v>256</v>
      </c>
      <c r="F46" s="118" t="s">
        <v>368</v>
      </c>
      <c r="G46" s="117" t="s">
        <v>49</v>
      </c>
      <c r="H46" s="173" t="s">
        <v>50</v>
      </c>
      <c r="I46" s="127" t="s">
        <v>756</v>
      </c>
      <c r="J46" s="113" t="s">
        <v>757</v>
      </c>
      <c r="K46" s="113" t="s">
        <v>758</v>
      </c>
      <c r="L46" s="113" t="s">
        <v>759</v>
      </c>
      <c r="M46" s="113" t="s">
        <v>760</v>
      </c>
      <c r="N46" s="117" t="s">
        <v>384</v>
      </c>
      <c r="O46" s="120" t="s">
        <v>491</v>
      </c>
      <c r="P46" s="119" t="s">
        <v>748</v>
      </c>
      <c r="Q46" s="112">
        <v>3</v>
      </c>
      <c r="R46" s="112">
        <v>3</v>
      </c>
      <c r="S46" s="147">
        <f t="shared" ref="S46:S76" si="10">Q46*R46</f>
        <v>9</v>
      </c>
      <c r="T46" s="150" t="str">
        <f>_xlfn.IFNA(VLOOKUP(S46,Parameter!$D$53:$E$77,2),"")</f>
        <v>SEDANG-RENDAH</v>
      </c>
      <c r="U46" s="130" t="s">
        <v>761</v>
      </c>
      <c r="V46" s="124" t="s">
        <v>762</v>
      </c>
      <c r="W46" s="124" t="s">
        <v>763</v>
      </c>
      <c r="X46" s="124" t="s">
        <v>764</v>
      </c>
      <c r="Y46" s="124" t="s">
        <v>262</v>
      </c>
      <c r="Z46" s="124"/>
      <c r="AA46" s="126" t="s">
        <v>766</v>
      </c>
      <c r="AB46" s="111" t="s">
        <v>754</v>
      </c>
      <c r="AC46" s="156">
        <v>46387</v>
      </c>
      <c r="AD46" s="163">
        <v>46102</v>
      </c>
      <c r="AE46" s="115" t="s">
        <v>765</v>
      </c>
      <c r="AF46" s="163"/>
      <c r="AG46" s="115"/>
      <c r="AH46" s="163"/>
      <c r="AI46" s="115"/>
      <c r="AJ46" s="163"/>
      <c r="AK46" s="115"/>
      <c r="AL46" s="169">
        <f t="shared" si="8"/>
        <v>3</v>
      </c>
      <c r="AM46" s="112">
        <f t="shared" si="9"/>
        <v>3</v>
      </c>
      <c r="AN46" s="171">
        <f t="shared" ref="AN46:AN76" si="11">AL46*AM46</f>
        <v>9</v>
      </c>
      <c r="AO46" s="150" t="str">
        <f>_xlfn.IFNA(VLOOKUP(AN46,Parameter!$D$53:$E$77,2),"")</f>
        <v>SEDANG-RENDAH</v>
      </c>
      <c r="AP46" s="167" t="s">
        <v>379</v>
      </c>
      <c r="AQ46" s="116"/>
    </row>
    <row r="47" spans="1:43" ht="216" x14ac:dyDescent="0.3">
      <c r="A47" s="114" t="s">
        <v>48</v>
      </c>
      <c r="B47" s="112">
        <f t="shared" si="7"/>
        <v>33</v>
      </c>
      <c r="C47" s="124" t="s">
        <v>1576</v>
      </c>
      <c r="D47" s="169" t="s">
        <v>263</v>
      </c>
      <c r="E47" s="176" t="s">
        <v>256</v>
      </c>
      <c r="F47" s="118" t="s">
        <v>368</v>
      </c>
      <c r="G47" s="117" t="s">
        <v>49</v>
      </c>
      <c r="H47" s="173" t="s">
        <v>50</v>
      </c>
      <c r="I47" s="127" t="s">
        <v>742</v>
      </c>
      <c r="J47" s="113" t="s">
        <v>743</v>
      </c>
      <c r="K47" s="113" t="s">
        <v>744</v>
      </c>
      <c r="L47" s="113" t="s">
        <v>745</v>
      </c>
      <c r="M47" s="113" t="s">
        <v>746</v>
      </c>
      <c r="N47" s="117" t="s">
        <v>384</v>
      </c>
      <c r="O47" s="120" t="s">
        <v>747</v>
      </c>
      <c r="P47" s="119" t="s">
        <v>748</v>
      </c>
      <c r="Q47" s="112">
        <v>3</v>
      </c>
      <c r="R47" s="112">
        <v>2</v>
      </c>
      <c r="S47" s="147">
        <f t="shared" si="10"/>
        <v>6</v>
      </c>
      <c r="T47" s="150" t="str">
        <f>_xlfn.IFNA(VLOOKUP(S47,Parameter!$D$53:$E$77,2),"")</f>
        <v>SEDANG-RENDAH</v>
      </c>
      <c r="U47" s="130" t="s">
        <v>749</v>
      </c>
      <c r="V47" s="124" t="s">
        <v>750</v>
      </c>
      <c r="W47" s="124" t="s">
        <v>751</v>
      </c>
      <c r="X47" s="124" t="s">
        <v>752</v>
      </c>
      <c r="Y47" s="124" t="s">
        <v>262</v>
      </c>
      <c r="Z47" s="124"/>
      <c r="AA47" s="126" t="s">
        <v>755</v>
      </c>
      <c r="AB47" s="111" t="s">
        <v>754</v>
      </c>
      <c r="AC47" s="156">
        <v>46387</v>
      </c>
      <c r="AD47" s="163">
        <v>46102</v>
      </c>
      <c r="AE47" s="115" t="s">
        <v>753</v>
      </c>
      <c r="AF47" s="163"/>
      <c r="AG47" s="115"/>
      <c r="AH47" s="163"/>
      <c r="AI47" s="115"/>
      <c r="AJ47" s="163"/>
      <c r="AK47" s="115"/>
      <c r="AL47" s="169">
        <f t="shared" si="8"/>
        <v>3</v>
      </c>
      <c r="AM47" s="112">
        <f t="shared" si="9"/>
        <v>2</v>
      </c>
      <c r="AN47" s="171">
        <f t="shared" si="11"/>
        <v>6</v>
      </c>
      <c r="AO47" s="150" t="str">
        <f>_xlfn.IFNA(VLOOKUP(AN47,Parameter!$D$53:$E$77,2),"")</f>
        <v>SEDANG-RENDAH</v>
      </c>
      <c r="AP47" s="167" t="s">
        <v>379</v>
      </c>
      <c r="AQ47" s="116"/>
    </row>
    <row r="48" spans="1:43" ht="378" x14ac:dyDescent="0.3">
      <c r="A48" s="114" t="s">
        <v>48</v>
      </c>
      <c r="B48" s="112">
        <f t="shared" si="7"/>
        <v>34</v>
      </c>
      <c r="C48" s="124" t="s">
        <v>1692</v>
      </c>
      <c r="D48" s="169" t="s">
        <v>956</v>
      </c>
      <c r="E48" s="176" t="s">
        <v>256</v>
      </c>
      <c r="F48" s="118" t="s">
        <v>368</v>
      </c>
      <c r="G48" s="117" t="s">
        <v>49</v>
      </c>
      <c r="H48" s="173" t="s">
        <v>50</v>
      </c>
      <c r="I48" s="127" t="s">
        <v>1693</v>
      </c>
      <c r="J48" s="113" t="s">
        <v>1694</v>
      </c>
      <c r="K48" s="113" t="s">
        <v>1695</v>
      </c>
      <c r="L48" s="113" t="s">
        <v>1696</v>
      </c>
      <c r="M48" s="113" t="s">
        <v>1697</v>
      </c>
      <c r="N48" s="117" t="s">
        <v>385</v>
      </c>
      <c r="O48" s="120" t="s">
        <v>1448</v>
      </c>
      <c r="P48" s="119" t="s">
        <v>1698</v>
      </c>
      <c r="Q48" s="112">
        <v>4</v>
      </c>
      <c r="R48" s="112">
        <v>3</v>
      </c>
      <c r="S48" s="147">
        <f t="shared" si="10"/>
        <v>12</v>
      </c>
      <c r="T48" s="150" t="str">
        <f>_xlfn.IFNA(VLOOKUP(S48,Parameter!$D$53:$E$77,2),"")</f>
        <v>SEDANG</v>
      </c>
      <c r="U48" s="130" t="s">
        <v>1699</v>
      </c>
      <c r="V48" s="124" t="s">
        <v>1700</v>
      </c>
      <c r="W48" s="124" t="s">
        <v>1701</v>
      </c>
      <c r="X48" s="124" t="s">
        <v>1702</v>
      </c>
      <c r="Y48" s="124" t="s">
        <v>722</v>
      </c>
      <c r="Z48" s="124" t="s">
        <v>290</v>
      </c>
      <c r="AA48" s="126" t="s">
        <v>1704</v>
      </c>
      <c r="AB48" s="111" t="s">
        <v>386</v>
      </c>
      <c r="AC48" s="156">
        <v>46387</v>
      </c>
      <c r="AD48" s="163">
        <v>46102</v>
      </c>
      <c r="AE48" s="115" t="s">
        <v>1703</v>
      </c>
      <c r="AF48" s="163"/>
      <c r="AG48" s="115"/>
      <c r="AH48" s="163"/>
      <c r="AI48" s="115"/>
      <c r="AJ48" s="163"/>
      <c r="AK48" s="115"/>
      <c r="AL48" s="169">
        <f t="shared" si="8"/>
        <v>4</v>
      </c>
      <c r="AM48" s="112">
        <f t="shared" si="9"/>
        <v>3</v>
      </c>
      <c r="AN48" s="171">
        <f t="shared" si="11"/>
        <v>12</v>
      </c>
      <c r="AO48" s="150" t="str">
        <f>_xlfn.IFNA(VLOOKUP(AN48,Parameter!$D$53:$E$77,2),"")</f>
        <v>SEDANG</v>
      </c>
      <c r="AP48" s="167" t="s">
        <v>379</v>
      </c>
      <c r="AQ48" s="116"/>
    </row>
    <row r="49" spans="1:43" ht="360" x14ac:dyDescent="0.3">
      <c r="A49" s="114" t="s">
        <v>48</v>
      </c>
      <c r="B49" s="112">
        <f t="shared" si="7"/>
        <v>35</v>
      </c>
      <c r="C49" s="124" t="s">
        <v>1705</v>
      </c>
      <c r="D49" s="169" t="s">
        <v>289</v>
      </c>
      <c r="E49" s="176" t="s">
        <v>256</v>
      </c>
      <c r="F49" s="118" t="s">
        <v>373</v>
      </c>
      <c r="G49" s="117" t="s">
        <v>49</v>
      </c>
      <c r="H49" s="173" t="s">
        <v>50</v>
      </c>
      <c r="I49" s="127" t="s">
        <v>1706</v>
      </c>
      <c r="J49" s="113" t="s">
        <v>1707</v>
      </c>
      <c r="K49" s="113" t="s">
        <v>1708</v>
      </c>
      <c r="L49" s="113" t="s">
        <v>1709</v>
      </c>
      <c r="M49" s="113" t="s">
        <v>1710</v>
      </c>
      <c r="N49" s="117" t="s">
        <v>382</v>
      </c>
      <c r="O49" s="120" t="s">
        <v>713</v>
      </c>
      <c r="P49" s="119" t="s">
        <v>1711</v>
      </c>
      <c r="Q49" s="112">
        <v>5</v>
      </c>
      <c r="R49" s="112">
        <v>5</v>
      </c>
      <c r="S49" s="147">
        <f t="shared" si="10"/>
        <v>25</v>
      </c>
      <c r="T49" s="150" t="str">
        <f>_xlfn.IFNA(VLOOKUP(S49,Parameter!$D$53:$E$77,2),"")</f>
        <v>TINGGI</v>
      </c>
      <c r="U49" s="130" t="s">
        <v>1712</v>
      </c>
      <c r="V49" s="124" t="s">
        <v>1713</v>
      </c>
      <c r="W49" s="124" t="s">
        <v>1714</v>
      </c>
      <c r="X49" s="124" t="s">
        <v>1715</v>
      </c>
      <c r="Y49" s="124" t="s">
        <v>337</v>
      </c>
      <c r="Z49" s="124"/>
      <c r="AA49" s="126" t="s">
        <v>1717</v>
      </c>
      <c r="AB49" s="145"/>
      <c r="AC49" s="156">
        <v>46387</v>
      </c>
      <c r="AD49" s="163">
        <v>46102</v>
      </c>
      <c r="AE49" s="115" t="s">
        <v>1716</v>
      </c>
      <c r="AF49" s="163"/>
      <c r="AG49" s="115"/>
      <c r="AH49" s="163"/>
      <c r="AI49" s="115"/>
      <c r="AJ49" s="163"/>
      <c r="AK49" s="115"/>
      <c r="AL49" s="169">
        <f t="shared" si="8"/>
        <v>5</v>
      </c>
      <c r="AM49" s="112">
        <f t="shared" si="9"/>
        <v>5</v>
      </c>
      <c r="AN49" s="171">
        <f t="shared" si="11"/>
        <v>25</v>
      </c>
      <c r="AO49" s="150" t="str">
        <f>_xlfn.IFNA(VLOOKUP(AN49,Parameter!$D$53:$E$77,2),"")</f>
        <v>TINGGI</v>
      </c>
      <c r="AP49" s="167" t="s">
        <v>379</v>
      </c>
      <c r="AQ49" s="116"/>
    </row>
    <row r="50" spans="1:43" ht="378" x14ac:dyDescent="0.3">
      <c r="A50" s="114" t="s">
        <v>48</v>
      </c>
      <c r="B50" s="112">
        <f t="shared" si="7"/>
        <v>36</v>
      </c>
      <c r="C50" s="124" t="s">
        <v>1899</v>
      </c>
      <c r="D50" s="169" t="s">
        <v>353</v>
      </c>
      <c r="E50" s="176" t="s">
        <v>256</v>
      </c>
      <c r="F50" s="118" t="s">
        <v>368</v>
      </c>
      <c r="G50" s="117" t="s">
        <v>377</v>
      </c>
      <c r="H50" s="173" t="s">
        <v>50</v>
      </c>
      <c r="I50" s="127" t="s">
        <v>1900</v>
      </c>
      <c r="J50" s="113" t="s">
        <v>1901</v>
      </c>
      <c r="K50" s="113" t="s">
        <v>1902</v>
      </c>
      <c r="L50" s="113" t="s">
        <v>1903</v>
      </c>
      <c r="M50" s="113" t="s">
        <v>1904</v>
      </c>
      <c r="N50" s="117" t="s">
        <v>385</v>
      </c>
      <c r="O50" s="120" t="s">
        <v>1586</v>
      </c>
      <c r="P50" s="119" t="s">
        <v>1905</v>
      </c>
      <c r="Q50" s="112">
        <v>4</v>
      </c>
      <c r="R50" s="112">
        <v>3</v>
      </c>
      <c r="S50" s="147">
        <f t="shared" si="10"/>
        <v>12</v>
      </c>
      <c r="T50" s="150" t="str">
        <f>_xlfn.IFNA(VLOOKUP(S50,Parameter!$D$53:$E$77,2),"")</f>
        <v>SEDANG</v>
      </c>
      <c r="U50" s="130" t="s">
        <v>1906</v>
      </c>
      <c r="V50" s="124" t="s">
        <v>1907</v>
      </c>
      <c r="W50" s="124" t="s">
        <v>1908</v>
      </c>
      <c r="X50" s="124" t="s">
        <v>1909</v>
      </c>
      <c r="Y50" s="124" t="s">
        <v>722</v>
      </c>
      <c r="Z50" s="124"/>
      <c r="AA50" s="126" t="s">
        <v>1912</v>
      </c>
      <c r="AB50" s="111" t="s">
        <v>1910</v>
      </c>
      <c r="AC50" s="156">
        <v>46387</v>
      </c>
      <c r="AD50" s="163">
        <v>46102</v>
      </c>
      <c r="AE50" s="115" t="s">
        <v>1911</v>
      </c>
      <c r="AF50" s="163"/>
      <c r="AG50" s="115"/>
      <c r="AH50" s="163"/>
      <c r="AI50" s="115"/>
      <c r="AJ50" s="163"/>
      <c r="AK50" s="115"/>
      <c r="AL50" s="169">
        <f t="shared" si="8"/>
        <v>4</v>
      </c>
      <c r="AM50" s="112">
        <f t="shared" si="9"/>
        <v>3</v>
      </c>
      <c r="AN50" s="171">
        <f t="shared" si="11"/>
        <v>12</v>
      </c>
      <c r="AO50" s="150" t="str">
        <f>_xlfn.IFNA(VLOOKUP(AN50,Parameter!$D$53:$E$77,2),"")</f>
        <v>SEDANG</v>
      </c>
      <c r="AP50" s="167" t="s">
        <v>379</v>
      </c>
      <c r="AQ50" s="116"/>
    </row>
    <row r="51" spans="1:43" ht="342" x14ac:dyDescent="0.3">
      <c r="A51" s="114" t="s">
        <v>48</v>
      </c>
      <c r="B51" s="178">
        <f t="shared" si="7"/>
        <v>37</v>
      </c>
      <c r="C51" s="124" t="s">
        <v>852</v>
      </c>
      <c r="D51" s="169" t="s">
        <v>328</v>
      </c>
      <c r="E51" s="176" t="s">
        <v>256</v>
      </c>
      <c r="F51" s="118" t="s">
        <v>367</v>
      </c>
      <c r="G51" s="117" t="s">
        <v>49</v>
      </c>
      <c r="H51" s="173" t="s">
        <v>50</v>
      </c>
      <c r="I51" s="127" t="s">
        <v>853</v>
      </c>
      <c r="J51" s="113" t="s">
        <v>854</v>
      </c>
      <c r="K51" s="113" t="s">
        <v>855</v>
      </c>
      <c r="L51" s="113" t="s">
        <v>856</v>
      </c>
      <c r="M51" s="113" t="s">
        <v>857</v>
      </c>
      <c r="N51" s="117" t="s">
        <v>385</v>
      </c>
      <c r="O51" s="120" t="s">
        <v>858</v>
      </c>
      <c r="P51" s="119" t="s">
        <v>859</v>
      </c>
      <c r="Q51" s="112">
        <v>4</v>
      </c>
      <c r="R51" s="112">
        <v>3</v>
      </c>
      <c r="S51" s="147">
        <f t="shared" si="10"/>
        <v>12</v>
      </c>
      <c r="T51" s="150" t="str">
        <f>_xlfn.IFNA(VLOOKUP(S51,Parameter!$D$53:$E$77,2),"")</f>
        <v>SEDANG</v>
      </c>
      <c r="U51" s="130" t="s">
        <v>860</v>
      </c>
      <c r="V51" s="124" t="s">
        <v>861</v>
      </c>
      <c r="W51" s="124" t="s">
        <v>862</v>
      </c>
      <c r="X51" s="124" t="s">
        <v>863</v>
      </c>
      <c r="Y51" s="124" t="s">
        <v>327</v>
      </c>
      <c r="Z51" s="124"/>
      <c r="AA51" s="126" t="s">
        <v>865</v>
      </c>
      <c r="AB51" s="111" t="s">
        <v>397</v>
      </c>
      <c r="AC51" s="156">
        <v>46387</v>
      </c>
      <c r="AD51" s="163">
        <v>46102</v>
      </c>
      <c r="AE51" s="115" t="s">
        <v>864</v>
      </c>
      <c r="AF51" s="163"/>
      <c r="AG51" s="115"/>
      <c r="AH51" s="163"/>
      <c r="AI51" s="115"/>
      <c r="AJ51" s="163"/>
      <c r="AK51" s="115"/>
      <c r="AL51" s="169">
        <f t="shared" si="8"/>
        <v>4</v>
      </c>
      <c r="AM51" s="112">
        <f t="shared" si="9"/>
        <v>3</v>
      </c>
      <c r="AN51" s="171">
        <f t="shared" si="11"/>
        <v>12</v>
      </c>
      <c r="AO51" s="150" t="str">
        <f>_xlfn.IFNA(VLOOKUP(AN51,Parameter!$D$53:$E$77,2),"")</f>
        <v>SEDANG</v>
      </c>
      <c r="AP51" s="167" t="s">
        <v>379</v>
      </c>
      <c r="AQ51" s="116"/>
    </row>
    <row r="52" spans="1:43" ht="324" x14ac:dyDescent="0.3">
      <c r="A52" s="114" t="s">
        <v>48</v>
      </c>
      <c r="B52" s="112">
        <f t="shared" si="7"/>
        <v>38</v>
      </c>
      <c r="C52" s="124" t="s">
        <v>1577</v>
      </c>
      <c r="D52" s="169" t="s">
        <v>328</v>
      </c>
      <c r="E52" s="176" t="s">
        <v>256</v>
      </c>
      <c r="F52" s="118" t="s">
        <v>367</v>
      </c>
      <c r="G52" s="117" t="s">
        <v>49</v>
      </c>
      <c r="H52" s="173" t="s">
        <v>50</v>
      </c>
      <c r="I52" s="127" t="s">
        <v>866</v>
      </c>
      <c r="J52" s="113" t="s">
        <v>867</v>
      </c>
      <c r="K52" s="113" t="s">
        <v>868</v>
      </c>
      <c r="L52" s="113" t="s">
        <v>869</v>
      </c>
      <c r="M52" s="113" t="s">
        <v>870</v>
      </c>
      <c r="N52" s="117" t="s">
        <v>363</v>
      </c>
      <c r="O52" s="120" t="s">
        <v>871</v>
      </c>
      <c r="P52" s="119" t="s">
        <v>872</v>
      </c>
      <c r="Q52" s="112">
        <v>3</v>
      </c>
      <c r="R52" s="112">
        <v>2</v>
      </c>
      <c r="S52" s="147">
        <f t="shared" si="10"/>
        <v>6</v>
      </c>
      <c r="T52" s="150" t="str">
        <f>_xlfn.IFNA(VLOOKUP(S52,Parameter!$D$53:$E$77,2),"")</f>
        <v>SEDANG-RENDAH</v>
      </c>
      <c r="U52" s="130" t="s">
        <v>873</v>
      </c>
      <c r="V52" s="124" t="s">
        <v>874</v>
      </c>
      <c r="W52" s="124" t="s">
        <v>875</v>
      </c>
      <c r="X52" s="124" t="s">
        <v>876</v>
      </c>
      <c r="Y52" s="124" t="s">
        <v>327</v>
      </c>
      <c r="Z52" s="124"/>
      <c r="AA52" s="126" t="s">
        <v>878</v>
      </c>
      <c r="AB52" s="111" t="s">
        <v>386</v>
      </c>
      <c r="AC52" s="156">
        <v>46387</v>
      </c>
      <c r="AD52" s="163">
        <v>46102</v>
      </c>
      <c r="AE52" s="115" t="s">
        <v>877</v>
      </c>
      <c r="AF52" s="163"/>
      <c r="AG52" s="115"/>
      <c r="AH52" s="163"/>
      <c r="AI52" s="115"/>
      <c r="AJ52" s="163"/>
      <c r="AK52" s="115"/>
      <c r="AL52" s="169">
        <f t="shared" si="8"/>
        <v>3</v>
      </c>
      <c r="AM52" s="112">
        <f t="shared" si="9"/>
        <v>2</v>
      </c>
      <c r="AN52" s="171">
        <f t="shared" si="11"/>
        <v>6</v>
      </c>
      <c r="AO52" s="150" t="str">
        <f>_xlfn.IFNA(VLOOKUP(AN52,Parameter!$D$53:$E$77,2),"")</f>
        <v>SEDANG-RENDAH</v>
      </c>
      <c r="AP52" s="167" t="s">
        <v>379</v>
      </c>
      <c r="AQ52" s="116"/>
    </row>
    <row r="53" spans="1:43" ht="378" x14ac:dyDescent="0.3">
      <c r="A53" s="114" t="s">
        <v>48</v>
      </c>
      <c r="B53" s="112">
        <f t="shared" si="7"/>
        <v>39</v>
      </c>
      <c r="C53" s="124" t="s">
        <v>1718</v>
      </c>
      <c r="D53" s="169" t="s">
        <v>972</v>
      </c>
      <c r="E53" s="176" t="s">
        <v>256</v>
      </c>
      <c r="F53" s="118" t="s">
        <v>367</v>
      </c>
      <c r="G53" s="117" t="s">
        <v>49</v>
      </c>
      <c r="H53" s="173" t="s">
        <v>190</v>
      </c>
      <c r="I53" s="127" t="s">
        <v>1719</v>
      </c>
      <c r="J53" s="113" t="s">
        <v>1720</v>
      </c>
      <c r="K53" s="113" t="s">
        <v>1721</v>
      </c>
      <c r="L53" s="113" t="s">
        <v>1722</v>
      </c>
      <c r="M53" s="113" t="s">
        <v>1723</v>
      </c>
      <c r="N53" s="117" t="s">
        <v>363</v>
      </c>
      <c r="O53" s="120" t="s">
        <v>1724</v>
      </c>
      <c r="P53" s="119" t="s">
        <v>639</v>
      </c>
      <c r="Q53" s="112">
        <v>3</v>
      </c>
      <c r="R53" s="112">
        <v>4</v>
      </c>
      <c r="S53" s="147">
        <f t="shared" si="10"/>
        <v>12</v>
      </c>
      <c r="T53" s="150" t="str">
        <f>_xlfn.IFNA(VLOOKUP(S53,Parameter!$D$53:$E$77,2),"")</f>
        <v>SEDANG</v>
      </c>
      <c r="U53" s="130" t="s">
        <v>1725</v>
      </c>
      <c r="V53" s="124" t="s">
        <v>1726</v>
      </c>
      <c r="W53" s="124" t="s">
        <v>1727</v>
      </c>
      <c r="X53" s="124" t="s">
        <v>1728</v>
      </c>
      <c r="Y53" s="124" t="s">
        <v>317</v>
      </c>
      <c r="Z53" s="124"/>
      <c r="AA53" s="126" t="s">
        <v>1730</v>
      </c>
      <c r="AB53" s="145"/>
      <c r="AC53" s="156">
        <v>46387</v>
      </c>
      <c r="AD53" s="163">
        <v>46102</v>
      </c>
      <c r="AE53" s="115" t="s">
        <v>1729</v>
      </c>
      <c r="AF53" s="163"/>
      <c r="AG53" s="115"/>
      <c r="AH53" s="163"/>
      <c r="AI53" s="115"/>
      <c r="AJ53" s="163"/>
      <c r="AK53" s="115"/>
      <c r="AL53" s="169">
        <f t="shared" si="8"/>
        <v>3</v>
      </c>
      <c r="AM53" s="112">
        <f t="shared" si="9"/>
        <v>4</v>
      </c>
      <c r="AN53" s="171">
        <f t="shared" si="11"/>
        <v>12</v>
      </c>
      <c r="AO53" s="150" t="str">
        <f>_xlfn.IFNA(VLOOKUP(AN53,Parameter!$D$53:$E$77,2),"")</f>
        <v>SEDANG</v>
      </c>
      <c r="AP53" s="167" t="s">
        <v>379</v>
      </c>
      <c r="AQ53" s="116"/>
    </row>
    <row r="54" spans="1:43" ht="409.6" x14ac:dyDescent="0.3">
      <c r="A54" s="114" t="s">
        <v>48</v>
      </c>
      <c r="B54" s="112">
        <f t="shared" si="7"/>
        <v>40</v>
      </c>
      <c r="C54" s="124" t="s">
        <v>1783</v>
      </c>
      <c r="D54" s="169" t="s">
        <v>972</v>
      </c>
      <c r="E54" s="176" t="s">
        <v>256</v>
      </c>
      <c r="F54" s="118" t="s">
        <v>368</v>
      </c>
      <c r="G54" s="117" t="s">
        <v>49</v>
      </c>
      <c r="H54" s="173" t="s">
        <v>50</v>
      </c>
      <c r="I54" s="127" t="s">
        <v>1784</v>
      </c>
      <c r="J54" s="113" t="s">
        <v>1785</v>
      </c>
      <c r="K54" s="113" t="s">
        <v>1786</v>
      </c>
      <c r="L54" s="113" t="s">
        <v>1787</v>
      </c>
      <c r="M54" s="113" t="s">
        <v>1788</v>
      </c>
      <c r="N54" s="117" t="s">
        <v>384</v>
      </c>
      <c r="O54" s="120" t="s">
        <v>638</v>
      </c>
      <c r="P54" s="119" t="s">
        <v>1789</v>
      </c>
      <c r="Q54" s="112">
        <v>3</v>
      </c>
      <c r="R54" s="112">
        <v>4</v>
      </c>
      <c r="S54" s="147">
        <f t="shared" si="10"/>
        <v>12</v>
      </c>
      <c r="T54" s="150" t="str">
        <f>_xlfn.IFNA(VLOOKUP(S54,Parameter!$D$53:$E$77,2),"")</f>
        <v>SEDANG</v>
      </c>
      <c r="U54" s="130" t="s">
        <v>1790</v>
      </c>
      <c r="V54" s="124" t="s">
        <v>1791</v>
      </c>
      <c r="W54" s="124" t="s">
        <v>1792</v>
      </c>
      <c r="X54" s="124" t="s">
        <v>1793</v>
      </c>
      <c r="Y54" s="124" t="s">
        <v>317</v>
      </c>
      <c r="Z54" s="124"/>
      <c r="AA54" s="126" t="s">
        <v>1795</v>
      </c>
      <c r="AB54" s="111" t="s">
        <v>386</v>
      </c>
      <c r="AC54" s="156">
        <v>46387</v>
      </c>
      <c r="AD54" s="163">
        <v>46102</v>
      </c>
      <c r="AE54" s="115" t="s">
        <v>1794</v>
      </c>
      <c r="AF54" s="163"/>
      <c r="AG54" s="115"/>
      <c r="AH54" s="163"/>
      <c r="AI54" s="115"/>
      <c r="AJ54" s="163"/>
      <c r="AK54" s="115"/>
      <c r="AL54" s="169">
        <f t="shared" si="8"/>
        <v>3</v>
      </c>
      <c r="AM54" s="112">
        <f t="shared" si="9"/>
        <v>4</v>
      </c>
      <c r="AN54" s="171">
        <f t="shared" si="11"/>
        <v>12</v>
      </c>
      <c r="AO54" s="150" t="str">
        <f>_xlfn.IFNA(VLOOKUP(AN54,Parameter!$D$53:$E$77,2),"")</f>
        <v>SEDANG</v>
      </c>
      <c r="AP54" s="167" t="s">
        <v>379</v>
      </c>
      <c r="AQ54" s="116"/>
    </row>
    <row r="55" spans="1:43" ht="396" x14ac:dyDescent="0.3">
      <c r="A55" s="114" t="s">
        <v>48</v>
      </c>
      <c r="B55" s="112">
        <f t="shared" si="7"/>
        <v>41</v>
      </c>
      <c r="C55" s="124" t="s">
        <v>1796</v>
      </c>
      <c r="D55" s="169" t="s">
        <v>329</v>
      </c>
      <c r="E55" s="176" t="s">
        <v>256</v>
      </c>
      <c r="F55" s="118" t="s">
        <v>367</v>
      </c>
      <c r="G55" s="117" t="s">
        <v>377</v>
      </c>
      <c r="H55" s="173" t="s">
        <v>190</v>
      </c>
      <c r="I55" s="127" t="s">
        <v>1797</v>
      </c>
      <c r="J55" s="113" t="s">
        <v>1798</v>
      </c>
      <c r="K55" s="113" t="s">
        <v>1799</v>
      </c>
      <c r="L55" s="113" t="s">
        <v>1800</v>
      </c>
      <c r="M55" s="113" t="s">
        <v>1801</v>
      </c>
      <c r="N55" s="117" t="s">
        <v>385</v>
      </c>
      <c r="O55" s="120" t="s">
        <v>1802</v>
      </c>
      <c r="P55" s="119" t="s">
        <v>1803</v>
      </c>
      <c r="Q55" s="112">
        <v>4</v>
      </c>
      <c r="R55" s="112">
        <v>4</v>
      </c>
      <c r="S55" s="147">
        <f t="shared" si="10"/>
        <v>16</v>
      </c>
      <c r="T55" s="150" t="str">
        <f>_xlfn.IFNA(VLOOKUP(S55,Parameter!$D$53:$E$77,2),"")</f>
        <v>SEDANG-TINGGI</v>
      </c>
      <c r="U55" s="130" t="s">
        <v>1804</v>
      </c>
      <c r="V55" s="124" t="s">
        <v>1805</v>
      </c>
      <c r="W55" s="124" t="s">
        <v>1806</v>
      </c>
      <c r="X55" s="124" t="s">
        <v>1807</v>
      </c>
      <c r="Y55" s="124" t="s">
        <v>337</v>
      </c>
      <c r="Z55" s="124"/>
      <c r="AA55" s="126" t="s">
        <v>1810</v>
      </c>
      <c r="AB55" s="145" t="s">
        <v>1809</v>
      </c>
      <c r="AC55" s="156">
        <v>46387</v>
      </c>
      <c r="AD55" s="163">
        <v>46102</v>
      </c>
      <c r="AE55" s="115" t="s">
        <v>1808</v>
      </c>
      <c r="AF55" s="163"/>
      <c r="AG55" s="115"/>
      <c r="AH55" s="163"/>
      <c r="AI55" s="115"/>
      <c r="AJ55" s="163"/>
      <c r="AK55" s="115"/>
      <c r="AL55" s="169">
        <f t="shared" si="8"/>
        <v>4</v>
      </c>
      <c r="AM55" s="112">
        <f t="shared" si="9"/>
        <v>4</v>
      </c>
      <c r="AN55" s="171">
        <f t="shared" si="11"/>
        <v>16</v>
      </c>
      <c r="AO55" s="150" t="str">
        <f>_xlfn.IFNA(VLOOKUP(AN55,Parameter!$D$53:$E$77,2),"")</f>
        <v>SEDANG-TINGGI</v>
      </c>
      <c r="AP55" s="167" t="s">
        <v>379</v>
      </c>
      <c r="AQ55" s="116"/>
    </row>
    <row r="56" spans="1:43" ht="270" x14ac:dyDescent="0.3">
      <c r="A56" s="114" t="s">
        <v>48</v>
      </c>
      <c r="B56" s="112">
        <f t="shared" si="7"/>
        <v>42</v>
      </c>
      <c r="C56" s="124" t="s">
        <v>1578</v>
      </c>
      <c r="D56" s="169" t="s">
        <v>329</v>
      </c>
      <c r="E56" s="176" t="s">
        <v>256</v>
      </c>
      <c r="F56" s="118" t="s">
        <v>373</v>
      </c>
      <c r="G56" s="117" t="s">
        <v>377</v>
      </c>
      <c r="H56" s="173" t="s">
        <v>50</v>
      </c>
      <c r="I56" s="126" t="s">
        <v>694</v>
      </c>
      <c r="J56" s="111" t="s">
        <v>696</v>
      </c>
      <c r="K56" s="111" t="s">
        <v>695</v>
      </c>
      <c r="L56" s="111" t="s">
        <v>697</v>
      </c>
      <c r="M56" s="111" t="s">
        <v>698</v>
      </c>
      <c r="N56" s="117" t="s">
        <v>385</v>
      </c>
      <c r="O56" s="120" t="s">
        <v>699</v>
      </c>
      <c r="P56" s="119" t="s">
        <v>700</v>
      </c>
      <c r="Q56" s="112">
        <v>4</v>
      </c>
      <c r="R56" s="112">
        <v>3</v>
      </c>
      <c r="S56" s="117">
        <f t="shared" si="10"/>
        <v>12</v>
      </c>
      <c r="T56" s="150" t="str">
        <f>_xlfn.IFNA(VLOOKUP(S56,Parameter!$D$53:$E$77,2),"")</f>
        <v>SEDANG</v>
      </c>
      <c r="U56" s="130" t="s">
        <v>701</v>
      </c>
      <c r="V56" s="124" t="s">
        <v>702</v>
      </c>
      <c r="W56" s="124" t="s">
        <v>703</v>
      </c>
      <c r="X56" s="124" t="s">
        <v>704</v>
      </c>
      <c r="Y56" s="124" t="s">
        <v>337</v>
      </c>
      <c r="Z56" s="124"/>
      <c r="AA56" s="126" t="s">
        <v>707</v>
      </c>
      <c r="AB56" s="111" t="s">
        <v>705</v>
      </c>
      <c r="AC56" s="156">
        <v>46387</v>
      </c>
      <c r="AD56" s="163">
        <v>46102</v>
      </c>
      <c r="AE56" s="115" t="s">
        <v>706</v>
      </c>
      <c r="AF56" s="163"/>
      <c r="AG56" s="115"/>
      <c r="AH56" s="163"/>
      <c r="AI56" s="115"/>
      <c r="AJ56" s="163"/>
      <c r="AK56" s="115"/>
      <c r="AL56" s="169">
        <f t="shared" si="8"/>
        <v>4</v>
      </c>
      <c r="AM56" s="112">
        <f t="shared" si="9"/>
        <v>3</v>
      </c>
      <c r="AN56" s="147">
        <f t="shared" si="11"/>
        <v>12</v>
      </c>
      <c r="AO56" s="150" t="str">
        <f>_xlfn.IFNA(VLOOKUP(AN56,Parameter!$D$53:$E$77,2),"")</f>
        <v>SEDANG</v>
      </c>
      <c r="AP56" s="167" t="s">
        <v>379</v>
      </c>
      <c r="AQ56" s="115"/>
    </row>
    <row r="57" spans="1:43" ht="342" x14ac:dyDescent="0.3">
      <c r="A57" s="114" t="s">
        <v>48</v>
      </c>
      <c r="B57" s="112">
        <f t="shared" si="7"/>
        <v>43</v>
      </c>
      <c r="C57" s="124" t="s">
        <v>1579</v>
      </c>
      <c r="D57" s="169" t="s">
        <v>329</v>
      </c>
      <c r="E57" s="176" t="s">
        <v>256</v>
      </c>
      <c r="F57" s="118" t="s">
        <v>367</v>
      </c>
      <c r="G57" s="117" t="s">
        <v>49</v>
      </c>
      <c r="H57" s="173" t="s">
        <v>190</v>
      </c>
      <c r="I57" s="127" t="s">
        <v>1272</v>
      </c>
      <c r="J57" s="113" t="s">
        <v>1273</v>
      </c>
      <c r="K57" s="113" t="s">
        <v>1274</v>
      </c>
      <c r="L57" s="113" t="s">
        <v>1275</v>
      </c>
      <c r="M57" s="113" t="s">
        <v>1276</v>
      </c>
      <c r="N57" s="117" t="s">
        <v>385</v>
      </c>
      <c r="O57" s="120" t="s">
        <v>1277</v>
      </c>
      <c r="P57" s="119" t="s">
        <v>1278</v>
      </c>
      <c r="Q57" s="112">
        <v>4</v>
      </c>
      <c r="R57" s="112">
        <v>3</v>
      </c>
      <c r="S57" s="147">
        <f t="shared" si="10"/>
        <v>12</v>
      </c>
      <c r="T57" s="150" t="str">
        <f>_xlfn.IFNA(VLOOKUP(S57,Parameter!$D$53:$E$77,2),"")</f>
        <v>SEDANG</v>
      </c>
      <c r="U57" s="130" t="s">
        <v>1279</v>
      </c>
      <c r="V57" s="124" t="s">
        <v>1280</v>
      </c>
      <c r="W57" s="124" t="s">
        <v>1281</v>
      </c>
      <c r="X57" s="124" t="s">
        <v>1282</v>
      </c>
      <c r="Y57" s="124" t="s">
        <v>337</v>
      </c>
      <c r="Z57" s="124"/>
      <c r="AA57" s="126" t="s">
        <v>1285</v>
      </c>
      <c r="AB57" s="145" t="s">
        <v>1283</v>
      </c>
      <c r="AC57" s="156">
        <v>46387</v>
      </c>
      <c r="AD57" s="163">
        <v>46102</v>
      </c>
      <c r="AE57" s="115" t="s">
        <v>1284</v>
      </c>
      <c r="AF57" s="165"/>
      <c r="AG57" s="115"/>
      <c r="AH57" s="165"/>
      <c r="AI57" s="115"/>
      <c r="AJ57" s="165"/>
      <c r="AK57" s="115"/>
      <c r="AL57" s="169">
        <f t="shared" si="8"/>
        <v>4</v>
      </c>
      <c r="AM57" s="112">
        <f t="shared" si="9"/>
        <v>3</v>
      </c>
      <c r="AN57" s="171">
        <f t="shared" si="11"/>
        <v>12</v>
      </c>
      <c r="AO57" s="150" t="str">
        <f>_xlfn.IFNA(VLOOKUP(AN57,Parameter!$D$53:$E$77,2),"")</f>
        <v>SEDANG</v>
      </c>
      <c r="AP57" s="167" t="s">
        <v>379</v>
      </c>
      <c r="AQ57" s="116"/>
    </row>
    <row r="58" spans="1:43" ht="360" x14ac:dyDescent="0.3">
      <c r="A58" s="114" t="s">
        <v>48</v>
      </c>
      <c r="B58" s="112">
        <f t="shared" si="7"/>
        <v>44</v>
      </c>
      <c r="C58" s="124" t="s">
        <v>1870</v>
      </c>
      <c r="D58" s="169" t="s">
        <v>964</v>
      </c>
      <c r="E58" s="176" t="s">
        <v>256</v>
      </c>
      <c r="F58" s="118" t="s">
        <v>368</v>
      </c>
      <c r="G58" s="117" t="s">
        <v>49</v>
      </c>
      <c r="H58" s="173" t="s">
        <v>50</v>
      </c>
      <c r="I58" s="127" t="s">
        <v>1871</v>
      </c>
      <c r="J58" s="113" t="s">
        <v>1872</v>
      </c>
      <c r="K58" s="113" t="s">
        <v>1873</v>
      </c>
      <c r="L58" s="113" t="s">
        <v>1874</v>
      </c>
      <c r="M58" s="113" t="s">
        <v>1875</v>
      </c>
      <c r="N58" s="117" t="s">
        <v>361</v>
      </c>
      <c r="O58" s="120" t="s">
        <v>1876</v>
      </c>
      <c r="P58" s="119" t="s">
        <v>1877</v>
      </c>
      <c r="Q58" s="112">
        <v>4</v>
      </c>
      <c r="R58" s="112">
        <v>3</v>
      </c>
      <c r="S58" s="147">
        <f t="shared" si="10"/>
        <v>12</v>
      </c>
      <c r="T58" s="150" t="str">
        <f>_xlfn.IFNA(VLOOKUP(S58,Parameter!$D$53:$E$77,2),"")</f>
        <v>SEDANG</v>
      </c>
      <c r="U58" s="130" t="s">
        <v>1878</v>
      </c>
      <c r="V58" s="124" t="s">
        <v>1879</v>
      </c>
      <c r="W58" s="124" t="s">
        <v>1880</v>
      </c>
      <c r="X58" s="124" t="s">
        <v>1881</v>
      </c>
      <c r="Y58" s="124" t="s">
        <v>337</v>
      </c>
      <c r="Z58" s="124"/>
      <c r="AA58" s="126" t="s">
        <v>1884</v>
      </c>
      <c r="AB58" s="145" t="s">
        <v>1883</v>
      </c>
      <c r="AC58" s="156">
        <v>46387</v>
      </c>
      <c r="AD58" s="163">
        <v>46102</v>
      </c>
      <c r="AE58" s="115" t="s">
        <v>1882</v>
      </c>
      <c r="AF58" s="163"/>
      <c r="AG58" s="115"/>
      <c r="AH58" s="163"/>
      <c r="AI58" s="115"/>
      <c r="AJ58" s="163"/>
      <c r="AK58" s="115"/>
      <c r="AL58" s="169">
        <f t="shared" si="8"/>
        <v>4</v>
      </c>
      <c r="AM58" s="112">
        <f t="shared" si="9"/>
        <v>3</v>
      </c>
      <c r="AN58" s="171">
        <f t="shared" si="11"/>
        <v>12</v>
      </c>
      <c r="AO58" s="150" t="str">
        <f>_xlfn.IFNA(VLOOKUP(AN58,Parameter!$D$53:$E$77,2),"")</f>
        <v>SEDANG</v>
      </c>
      <c r="AP58" s="167" t="s">
        <v>379</v>
      </c>
      <c r="AQ58" s="116"/>
    </row>
    <row r="59" spans="1:43" ht="409.6" x14ac:dyDescent="0.3">
      <c r="A59" s="114" t="s">
        <v>48</v>
      </c>
      <c r="B59" s="112">
        <f t="shared" si="7"/>
        <v>45</v>
      </c>
      <c r="C59" s="124" t="s">
        <v>1811</v>
      </c>
      <c r="D59" s="169" t="s">
        <v>340</v>
      </c>
      <c r="E59" s="176" t="s">
        <v>256</v>
      </c>
      <c r="F59" s="118" t="s">
        <v>368</v>
      </c>
      <c r="G59" s="117" t="s">
        <v>49</v>
      </c>
      <c r="H59" s="173" t="s">
        <v>50</v>
      </c>
      <c r="I59" s="127" t="s">
        <v>1812</v>
      </c>
      <c r="J59" s="113" t="s">
        <v>1813</v>
      </c>
      <c r="K59" s="113" t="s">
        <v>1814</v>
      </c>
      <c r="L59" s="113" t="s">
        <v>1815</v>
      </c>
      <c r="M59" s="113" t="s">
        <v>1816</v>
      </c>
      <c r="N59" s="117" t="s">
        <v>385</v>
      </c>
      <c r="O59" s="120" t="s">
        <v>1817</v>
      </c>
      <c r="P59" s="119" t="s">
        <v>1818</v>
      </c>
      <c r="Q59" s="112">
        <v>4</v>
      </c>
      <c r="R59" s="112">
        <v>5</v>
      </c>
      <c r="S59" s="147">
        <f t="shared" si="10"/>
        <v>20</v>
      </c>
      <c r="T59" s="150" t="str">
        <f>_xlfn.IFNA(VLOOKUP(S59,Parameter!$D$53:$E$77,2),"")</f>
        <v>TINGGI</v>
      </c>
      <c r="U59" s="130" t="s">
        <v>1819</v>
      </c>
      <c r="V59" s="124" t="s">
        <v>1820</v>
      </c>
      <c r="W59" s="124" t="s">
        <v>1821</v>
      </c>
      <c r="X59" s="124" t="s">
        <v>1822</v>
      </c>
      <c r="Y59" s="124" t="s">
        <v>337</v>
      </c>
      <c r="Z59" s="124" t="s">
        <v>327</v>
      </c>
      <c r="AA59" s="126" t="s">
        <v>1824</v>
      </c>
      <c r="AB59" s="145" t="s">
        <v>1825</v>
      </c>
      <c r="AC59" s="156">
        <v>46387</v>
      </c>
      <c r="AD59" s="163">
        <v>46102</v>
      </c>
      <c r="AE59" s="115" t="s">
        <v>1823</v>
      </c>
      <c r="AF59" s="163"/>
      <c r="AG59" s="115"/>
      <c r="AH59" s="163"/>
      <c r="AI59" s="115"/>
      <c r="AJ59" s="163"/>
      <c r="AK59" s="115"/>
      <c r="AL59" s="169">
        <f t="shared" si="8"/>
        <v>4</v>
      </c>
      <c r="AM59" s="112">
        <f t="shared" si="9"/>
        <v>5</v>
      </c>
      <c r="AN59" s="171">
        <f t="shared" si="11"/>
        <v>20</v>
      </c>
      <c r="AO59" s="150" t="str">
        <f>_xlfn.IFNA(VLOOKUP(AN59,Parameter!$D$53:$E$77,2),"")</f>
        <v>TINGGI</v>
      </c>
      <c r="AP59" s="167" t="s">
        <v>379</v>
      </c>
      <c r="AQ59" s="116"/>
    </row>
    <row r="60" spans="1:43" ht="360" x14ac:dyDescent="0.3">
      <c r="A60" s="114" t="s">
        <v>48</v>
      </c>
      <c r="B60" s="112">
        <f t="shared" si="7"/>
        <v>46</v>
      </c>
      <c r="C60" s="124" t="s">
        <v>1756</v>
      </c>
      <c r="D60" s="169" t="s">
        <v>961</v>
      </c>
      <c r="E60" s="176" t="s">
        <v>256</v>
      </c>
      <c r="F60" s="118" t="s">
        <v>367</v>
      </c>
      <c r="G60" s="117" t="s">
        <v>377</v>
      </c>
      <c r="H60" s="173" t="s">
        <v>190</v>
      </c>
      <c r="I60" s="127" t="s">
        <v>1757</v>
      </c>
      <c r="J60" s="113" t="s">
        <v>1758</v>
      </c>
      <c r="K60" s="113" t="s">
        <v>1759</v>
      </c>
      <c r="L60" s="113" t="s">
        <v>1760</v>
      </c>
      <c r="M60" s="113" t="s">
        <v>1761</v>
      </c>
      <c r="N60" s="117" t="s">
        <v>384</v>
      </c>
      <c r="O60" s="120" t="s">
        <v>1064</v>
      </c>
      <c r="P60" s="119" t="s">
        <v>1762</v>
      </c>
      <c r="Q60" s="112">
        <v>4</v>
      </c>
      <c r="R60" s="112">
        <v>3</v>
      </c>
      <c r="S60" s="147">
        <f t="shared" si="10"/>
        <v>12</v>
      </c>
      <c r="T60" s="150" t="str">
        <f>_xlfn.IFNA(VLOOKUP(S60,Parameter!$D$53:$E$77,2),"")</f>
        <v>SEDANG</v>
      </c>
      <c r="U60" s="130" t="s">
        <v>1763</v>
      </c>
      <c r="V60" s="124" t="s">
        <v>1764</v>
      </c>
      <c r="W60" s="124" t="s">
        <v>1765</v>
      </c>
      <c r="X60" s="124" t="s">
        <v>1766</v>
      </c>
      <c r="Y60" s="124" t="s">
        <v>327</v>
      </c>
      <c r="Z60" s="124"/>
      <c r="AA60" s="126" t="s">
        <v>1768</v>
      </c>
      <c r="AB60" s="145" t="s">
        <v>332</v>
      </c>
      <c r="AC60" s="156">
        <v>46387</v>
      </c>
      <c r="AD60" s="163">
        <v>46102</v>
      </c>
      <c r="AE60" s="115" t="s">
        <v>1767</v>
      </c>
      <c r="AF60" s="163"/>
      <c r="AG60" s="115"/>
      <c r="AH60" s="163"/>
      <c r="AI60" s="115"/>
      <c r="AJ60" s="163"/>
      <c r="AK60" s="115"/>
      <c r="AL60" s="169">
        <f t="shared" si="8"/>
        <v>4</v>
      </c>
      <c r="AM60" s="112">
        <f t="shared" si="9"/>
        <v>3</v>
      </c>
      <c r="AN60" s="171">
        <f t="shared" si="11"/>
        <v>12</v>
      </c>
      <c r="AO60" s="150" t="str">
        <f>_xlfn.IFNA(VLOOKUP(AN60,Parameter!$D$53:$E$77,2),"")</f>
        <v>SEDANG</v>
      </c>
      <c r="AP60" s="167" t="s">
        <v>379</v>
      </c>
      <c r="AQ60" s="116"/>
    </row>
    <row r="61" spans="1:43" ht="324" x14ac:dyDescent="0.3">
      <c r="A61" s="114" t="s">
        <v>48</v>
      </c>
      <c r="B61" s="112">
        <f t="shared" si="7"/>
        <v>47</v>
      </c>
      <c r="C61" s="124" t="s">
        <v>1580</v>
      </c>
      <c r="D61" s="169" t="s">
        <v>288</v>
      </c>
      <c r="E61" s="176" t="s">
        <v>256</v>
      </c>
      <c r="F61" s="118" t="s">
        <v>372</v>
      </c>
      <c r="G61" s="117" t="s">
        <v>49</v>
      </c>
      <c r="H61" s="173" t="s">
        <v>50</v>
      </c>
      <c r="I61" s="126" t="s">
        <v>653</v>
      </c>
      <c r="J61" s="111" t="s">
        <v>655</v>
      </c>
      <c r="K61" s="111" t="s">
        <v>654</v>
      </c>
      <c r="L61" s="111" t="s">
        <v>655</v>
      </c>
      <c r="M61" s="111" t="s">
        <v>656</v>
      </c>
      <c r="N61" s="117" t="s">
        <v>382</v>
      </c>
      <c r="O61" s="120" t="s">
        <v>657</v>
      </c>
      <c r="P61" s="119" t="s">
        <v>658</v>
      </c>
      <c r="Q61" s="112">
        <v>5</v>
      </c>
      <c r="R61" s="112">
        <v>4</v>
      </c>
      <c r="S61" s="117">
        <f t="shared" si="10"/>
        <v>20</v>
      </c>
      <c r="T61" s="150" t="str">
        <f>_xlfn.IFNA(VLOOKUP(S61,Parameter!$D$53:$E$77,2),"")</f>
        <v>TINGGI</v>
      </c>
      <c r="U61" s="130" t="s">
        <v>659</v>
      </c>
      <c r="V61" s="124" t="s">
        <v>660</v>
      </c>
      <c r="W61" s="124" t="s">
        <v>661</v>
      </c>
      <c r="X61" s="124" t="s">
        <v>662</v>
      </c>
      <c r="Y61" s="124" t="s">
        <v>337</v>
      </c>
      <c r="Z61" s="124"/>
      <c r="AA61" s="126" t="s">
        <v>663</v>
      </c>
      <c r="AB61" s="111" t="s">
        <v>664</v>
      </c>
      <c r="AC61" s="156">
        <v>46387</v>
      </c>
      <c r="AD61" s="163">
        <v>46102</v>
      </c>
      <c r="AE61" s="115" t="s">
        <v>665</v>
      </c>
      <c r="AF61" s="163"/>
      <c r="AG61" s="115"/>
      <c r="AH61" s="163"/>
      <c r="AI61" s="115"/>
      <c r="AJ61" s="163"/>
      <c r="AK61" s="115"/>
      <c r="AL61" s="169">
        <v>5</v>
      </c>
      <c r="AM61" s="112">
        <v>4</v>
      </c>
      <c r="AN61" s="147">
        <f t="shared" si="11"/>
        <v>20</v>
      </c>
      <c r="AO61" s="150" t="str">
        <f>_xlfn.IFNA(VLOOKUP(AN61,Parameter!$D$53:$E$77,2),"")</f>
        <v>TINGGI</v>
      </c>
      <c r="AP61" s="167" t="s">
        <v>379</v>
      </c>
      <c r="AQ61" s="115"/>
    </row>
    <row r="62" spans="1:43" ht="378" x14ac:dyDescent="0.3">
      <c r="A62" s="114" t="s">
        <v>48</v>
      </c>
      <c r="B62" s="112">
        <f t="shared" si="7"/>
        <v>48</v>
      </c>
      <c r="C62" s="124" t="s">
        <v>1943</v>
      </c>
      <c r="D62" s="169" t="s">
        <v>966</v>
      </c>
      <c r="E62" s="176" t="s">
        <v>256</v>
      </c>
      <c r="F62" s="118" t="s">
        <v>368</v>
      </c>
      <c r="G62" s="117" t="s">
        <v>49</v>
      </c>
      <c r="H62" s="173" t="s">
        <v>50</v>
      </c>
      <c r="I62" s="127" t="s">
        <v>1944</v>
      </c>
      <c r="J62" s="113" t="s">
        <v>1944</v>
      </c>
      <c r="K62" s="113" t="s">
        <v>1945</v>
      </c>
      <c r="L62" s="113" t="s">
        <v>1946</v>
      </c>
      <c r="M62" s="113" t="s">
        <v>1947</v>
      </c>
      <c r="N62" s="117" t="s">
        <v>382</v>
      </c>
      <c r="O62" s="120" t="s">
        <v>1948</v>
      </c>
      <c r="P62" s="119" t="s">
        <v>1949</v>
      </c>
      <c r="Q62" s="112">
        <v>3</v>
      </c>
      <c r="R62" s="112">
        <v>4</v>
      </c>
      <c r="S62" s="147">
        <f t="shared" si="10"/>
        <v>12</v>
      </c>
      <c r="T62" s="150" t="str">
        <f>_xlfn.IFNA(VLOOKUP(S62,Parameter!$D$53:$E$77,2),"")</f>
        <v>SEDANG</v>
      </c>
      <c r="U62" s="130" t="s">
        <v>1950</v>
      </c>
      <c r="V62" s="124" t="s">
        <v>1951</v>
      </c>
      <c r="W62" s="124" t="s">
        <v>1952</v>
      </c>
      <c r="X62" s="124" t="s">
        <v>1953</v>
      </c>
      <c r="Y62" s="124" t="s">
        <v>337</v>
      </c>
      <c r="Z62" s="124"/>
      <c r="AA62" s="126" t="s">
        <v>1956</v>
      </c>
      <c r="AB62" s="145" t="s">
        <v>1955</v>
      </c>
      <c r="AC62" s="156">
        <v>46387</v>
      </c>
      <c r="AD62" s="163">
        <v>46102</v>
      </c>
      <c r="AE62" s="115" t="s">
        <v>1954</v>
      </c>
      <c r="AF62" s="163"/>
      <c r="AG62" s="115"/>
      <c r="AH62" s="163"/>
      <c r="AI62" s="115"/>
      <c r="AJ62" s="163"/>
      <c r="AK62" s="115"/>
      <c r="AL62" s="169">
        <f t="shared" ref="AL62:AL74" si="12">Q62</f>
        <v>3</v>
      </c>
      <c r="AM62" s="112">
        <f t="shared" ref="AM62:AM74" si="13">R62</f>
        <v>4</v>
      </c>
      <c r="AN62" s="171">
        <f t="shared" si="11"/>
        <v>12</v>
      </c>
      <c r="AO62" s="150" t="str">
        <f>_xlfn.IFNA(VLOOKUP(AN62,Parameter!$D$53:$E$77,2),"")</f>
        <v>SEDANG</v>
      </c>
      <c r="AP62" s="167" t="s">
        <v>379</v>
      </c>
      <c r="AQ62" s="116"/>
    </row>
    <row r="63" spans="1:43" ht="360" x14ac:dyDescent="0.3">
      <c r="A63" s="114" t="s">
        <v>48</v>
      </c>
      <c r="B63" s="112">
        <f t="shared" si="7"/>
        <v>49</v>
      </c>
      <c r="C63" s="124" t="s">
        <v>549</v>
      </c>
      <c r="D63" s="169" t="s">
        <v>318</v>
      </c>
      <c r="E63" s="176" t="s">
        <v>57</v>
      </c>
      <c r="F63" s="118" t="s">
        <v>368</v>
      </c>
      <c r="G63" s="117" t="s">
        <v>49</v>
      </c>
      <c r="H63" s="173" t="s">
        <v>50</v>
      </c>
      <c r="I63" s="127" t="s">
        <v>550</v>
      </c>
      <c r="J63" s="113" t="s">
        <v>551</v>
      </c>
      <c r="K63" s="113" t="s">
        <v>552</v>
      </c>
      <c r="L63" s="113" t="s">
        <v>553</v>
      </c>
      <c r="M63" s="113" t="s">
        <v>554</v>
      </c>
      <c r="N63" s="117" t="s">
        <v>385</v>
      </c>
      <c r="O63" s="120" t="s">
        <v>482</v>
      </c>
      <c r="P63" s="119" t="s">
        <v>555</v>
      </c>
      <c r="Q63" s="112">
        <v>4</v>
      </c>
      <c r="R63" s="112">
        <v>4</v>
      </c>
      <c r="S63" s="147">
        <f t="shared" si="10"/>
        <v>16</v>
      </c>
      <c r="T63" s="150" t="str">
        <f>_xlfn.IFNA(VLOOKUP(S63,Parameter!$D$53:$E$77,2),"")</f>
        <v>SEDANG-TINGGI</v>
      </c>
      <c r="U63" s="130" t="s">
        <v>556</v>
      </c>
      <c r="V63" s="124" t="s">
        <v>557</v>
      </c>
      <c r="W63" s="124" t="s">
        <v>558</v>
      </c>
      <c r="X63" s="124" t="s">
        <v>572</v>
      </c>
      <c r="Y63" s="124" t="s">
        <v>317</v>
      </c>
      <c r="Z63" s="124"/>
      <c r="AA63" s="126" t="s">
        <v>559</v>
      </c>
      <c r="AB63" s="145" t="s">
        <v>489</v>
      </c>
      <c r="AC63" s="156">
        <v>46387</v>
      </c>
      <c r="AD63" s="163">
        <v>46102</v>
      </c>
      <c r="AE63" s="115" t="s">
        <v>560</v>
      </c>
      <c r="AF63" s="163"/>
      <c r="AG63" s="115"/>
      <c r="AH63" s="163"/>
      <c r="AI63" s="115"/>
      <c r="AJ63" s="163"/>
      <c r="AK63" s="115"/>
      <c r="AL63" s="169">
        <f t="shared" si="12"/>
        <v>4</v>
      </c>
      <c r="AM63" s="112">
        <f t="shared" si="13"/>
        <v>4</v>
      </c>
      <c r="AN63" s="171">
        <f t="shared" si="11"/>
        <v>16</v>
      </c>
      <c r="AO63" s="150" t="str">
        <f>_xlfn.IFNA(VLOOKUP(AN63,Parameter!$D$53:$E$77,2),"")</f>
        <v>SEDANG-TINGGI</v>
      </c>
      <c r="AP63" s="167" t="s">
        <v>379</v>
      </c>
      <c r="AQ63" s="116"/>
    </row>
    <row r="64" spans="1:43" ht="270" x14ac:dyDescent="0.3">
      <c r="A64" s="114" t="s">
        <v>48</v>
      </c>
      <c r="B64" s="178">
        <f t="shared" si="7"/>
        <v>50</v>
      </c>
      <c r="C64" s="124" t="s">
        <v>1972</v>
      </c>
      <c r="D64" s="169" t="s">
        <v>258</v>
      </c>
      <c r="E64" s="176" t="s">
        <v>189</v>
      </c>
      <c r="F64" s="118" t="s">
        <v>372</v>
      </c>
      <c r="G64" s="117" t="s">
        <v>377</v>
      </c>
      <c r="H64" s="173" t="s">
        <v>50</v>
      </c>
      <c r="I64" s="127" t="s">
        <v>503</v>
      </c>
      <c r="J64" s="113" t="s">
        <v>504</v>
      </c>
      <c r="K64" s="113" t="s">
        <v>505</v>
      </c>
      <c r="L64" s="113" t="s">
        <v>506</v>
      </c>
      <c r="M64" s="113" t="s">
        <v>507</v>
      </c>
      <c r="N64" s="117" t="s">
        <v>382</v>
      </c>
      <c r="O64" s="120" t="s">
        <v>497</v>
      </c>
      <c r="P64" s="119" t="s">
        <v>508</v>
      </c>
      <c r="Q64" s="112">
        <v>4</v>
      </c>
      <c r="R64" s="112">
        <v>4</v>
      </c>
      <c r="S64" s="147">
        <f t="shared" si="10"/>
        <v>16</v>
      </c>
      <c r="T64" s="150" t="str">
        <f>_xlfn.IFNA(VLOOKUP(S64,Parameter!$D$53:$E$77,2),"")</f>
        <v>SEDANG-TINGGI</v>
      </c>
      <c r="U64" s="130" t="s">
        <v>509</v>
      </c>
      <c r="V64" s="124" t="s">
        <v>500</v>
      </c>
      <c r="W64" s="124" t="s">
        <v>510</v>
      </c>
      <c r="X64" s="124" t="s">
        <v>511</v>
      </c>
      <c r="Y64" s="124" t="s">
        <v>337</v>
      </c>
      <c r="Z64" s="124"/>
      <c r="AA64" s="126" t="s">
        <v>386</v>
      </c>
      <c r="AB64" s="111" t="s">
        <v>386</v>
      </c>
      <c r="AC64" s="156">
        <v>46387</v>
      </c>
      <c r="AD64" s="163">
        <v>46102</v>
      </c>
      <c r="AE64" s="115" t="s">
        <v>512</v>
      </c>
      <c r="AF64" s="163"/>
      <c r="AG64" s="115"/>
      <c r="AH64" s="163"/>
      <c r="AI64" s="115"/>
      <c r="AJ64" s="163"/>
      <c r="AK64" s="115"/>
      <c r="AL64" s="169">
        <f t="shared" si="12"/>
        <v>4</v>
      </c>
      <c r="AM64" s="112">
        <f t="shared" si="13"/>
        <v>4</v>
      </c>
      <c r="AN64" s="171">
        <f t="shared" si="11"/>
        <v>16</v>
      </c>
      <c r="AO64" s="150" t="str">
        <f>_xlfn.IFNA(VLOOKUP(AN64,Parameter!$D$53:$E$77,2),"")</f>
        <v>SEDANG-TINGGI</v>
      </c>
      <c r="AP64" s="167" t="s">
        <v>379</v>
      </c>
      <c r="AQ64" s="116"/>
    </row>
    <row r="65" spans="1:43" ht="409.6" x14ac:dyDescent="0.3">
      <c r="A65" s="114" t="s">
        <v>48</v>
      </c>
      <c r="B65" s="112">
        <f t="shared" si="7"/>
        <v>51</v>
      </c>
      <c r="C65" s="124" t="s">
        <v>1971</v>
      </c>
      <c r="D65" s="169" t="s">
        <v>258</v>
      </c>
      <c r="E65" s="176" t="s">
        <v>189</v>
      </c>
      <c r="F65" s="118" t="s">
        <v>372</v>
      </c>
      <c r="G65" s="117" t="s">
        <v>377</v>
      </c>
      <c r="H65" s="173" t="s">
        <v>50</v>
      </c>
      <c r="I65" s="127" t="s">
        <v>514</v>
      </c>
      <c r="J65" s="113" t="s">
        <v>515</v>
      </c>
      <c r="K65" s="113" t="s">
        <v>516</v>
      </c>
      <c r="L65" s="113" t="s">
        <v>517</v>
      </c>
      <c r="M65" s="113" t="s">
        <v>518</v>
      </c>
      <c r="N65" s="117" t="s">
        <v>385</v>
      </c>
      <c r="O65" s="120" t="s">
        <v>497</v>
      </c>
      <c r="P65" s="119" t="s">
        <v>519</v>
      </c>
      <c r="Q65" s="112">
        <v>4</v>
      </c>
      <c r="R65" s="112">
        <v>4</v>
      </c>
      <c r="S65" s="147">
        <f t="shared" si="10"/>
        <v>16</v>
      </c>
      <c r="T65" s="150" t="str">
        <f>_xlfn.IFNA(VLOOKUP(S65,Parameter!$D$53:$E$77,2),"")</f>
        <v>SEDANG-TINGGI</v>
      </c>
      <c r="U65" s="130" t="s">
        <v>520</v>
      </c>
      <c r="V65" s="124" t="s">
        <v>500</v>
      </c>
      <c r="W65" s="124" t="s">
        <v>521</v>
      </c>
      <c r="X65" s="124" t="s">
        <v>522</v>
      </c>
      <c r="Y65" s="124" t="s">
        <v>345</v>
      </c>
      <c r="Z65" s="124"/>
      <c r="AA65" s="126" t="s">
        <v>386</v>
      </c>
      <c r="AB65" s="111" t="s">
        <v>523</v>
      </c>
      <c r="AC65" s="156">
        <v>46387</v>
      </c>
      <c r="AD65" s="163">
        <v>46102</v>
      </c>
      <c r="AE65" s="115" t="s">
        <v>524</v>
      </c>
      <c r="AF65" s="163"/>
      <c r="AG65" s="115"/>
      <c r="AH65" s="163"/>
      <c r="AI65" s="115"/>
      <c r="AJ65" s="163"/>
      <c r="AK65" s="115"/>
      <c r="AL65" s="169">
        <f t="shared" si="12"/>
        <v>4</v>
      </c>
      <c r="AM65" s="112">
        <f t="shared" si="13"/>
        <v>4</v>
      </c>
      <c r="AN65" s="171">
        <f t="shared" si="11"/>
        <v>16</v>
      </c>
      <c r="AO65" s="150" t="str">
        <f>_xlfn.IFNA(VLOOKUP(AN65,Parameter!$D$53:$E$77,2),"")</f>
        <v>SEDANG-TINGGI</v>
      </c>
      <c r="AP65" s="167" t="s">
        <v>379</v>
      </c>
      <c r="AQ65" s="116"/>
    </row>
    <row r="66" spans="1:43" ht="144" x14ac:dyDescent="0.3">
      <c r="A66" s="114" t="s">
        <v>48</v>
      </c>
      <c r="B66" s="112">
        <f t="shared" si="7"/>
        <v>52</v>
      </c>
      <c r="C66" s="124" t="s">
        <v>1973</v>
      </c>
      <c r="D66" s="169" t="s">
        <v>258</v>
      </c>
      <c r="E66" s="176" t="s">
        <v>189</v>
      </c>
      <c r="F66" s="118" t="s">
        <v>372</v>
      </c>
      <c r="G66" s="117" t="s">
        <v>49</v>
      </c>
      <c r="H66" s="173" t="s">
        <v>50</v>
      </c>
      <c r="I66" s="127" t="s">
        <v>462</v>
      </c>
      <c r="J66" s="113" t="s">
        <v>463</v>
      </c>
      <c r="K66" s="113" t="s">
        <v>464</v>
      </c>
      <c r="L66" s="113" t="s">
        <v>465</v>
      </c>
      <c r="M66" s="113" t="s">
        <v>466</v>
      </c>
      <c r="N66" s="117" t="s">
        <v>382</v>
      </c>
      <c r="O66" s="120" t="s">
        <v>467</v>
      </c>
      <c r="P66" s="119" t="s">
        <v>468</v>
      </c>
      <c r="Q66" s="112">
        <v>5</v>
      </c>
      <c r="R66" s="112">
        <v>3</v>
      </c>
      <c r="S66" s="147">
        <f t="shared" si="10"/>
        <v>15</v>
      </c>
      <c r="T66" s="150" t="str">
        <f>_xlfn.IFNA(VLOOKUP(S66,Parameter!$D$53:$E$77,2),"")</f>
        <v>SEDANG-TINGGI</v>
      </c>
      <c r="U66" s="130" t="s">
        <v>469</v>
      </c>
      <c r="V66" s="124" t="s">
        <v>470</v>
      </c>
      <c r="W66" s="124" t="s">
        <v>471</v>
      </c>
      <c r="X66" s="124" t="s">
        <v>472</v>
      </c>
      <c r="Y66" s="124" t="s">
        <v>337</v>
      </c>
      <c r="Z66" s="124"/>
      <c r="AA66" s="126" t="s">
        <v>474</v>
      </c>
      <c r="AB66" s="145" t="s">
        <v>473</v>
      </c>
      <c r="AC66" s="156">
        <v>46387</v>
      </c>
      <c r="AD66" s="163">
        <v>46102</v>
      </c>
      <c r="AE66" s="115" t="s">
        <v>475</v>
      </c>
      <c r="AF66" s="163"/>
      <c r="AG66" s="115"/>
      <c r="AH66" s="163"/>
      <c r="AI66" s="115"/>
      <c r="AJ66" s="163"/>
      <c r="AK66" s="115"/>
      <c r="AL66" s="169">
        <f t="shared" si="12"/>
        <v>5</v>
      </c>
      <c r="AM66" s="112">
        <f t="shared" si="13"/>
        <v>3</v>
      </c>
      <c r="AN66" s="171">
        <f t="shared" si="11"/>
        <v>15</v>
      </c>
      <c r="AO66" s="150" t="str">
        <f>_xlfn.IFNA(VLOOKUP(AN66,Parameter!$D$53:$E$77,2),"")</f>
        <v>SEDANG-TINGGI</v>
      </c>
      <c r="AP66" s="167" t="s">
        <v>379</v>
      </c>
      <c r="AQ66" s="116"/>
    </row>
    <row r="67" spans="1:43" ht="360" x14ac:dyDescent="0.3">
      <c r="A67" s="114" t="s">
        <v>48</v>
      </c>
      <c r="B67" s="112">
        <f t="shared" si="7"/>
        <v>53</v>
      </c>
      <c r="C67" s="124" t="s">
        <v>1974</v>
      </c>
      <c r="D67" s="169" t="s">
        <v>258</v>
      </c>
      <c r="E67" s="176" t="s">
        <v>189</v>
      </c>
      <c r="F67" s="118" t="s">
        <v>372</v>
      </c>
      <c r="G67" s="117" t="s">
        <v>377</v>
      </c>
      <c r="H67" s="173" t="s">
        <v>50</v>
      </c>
      <c r="I67" s="127" t="s">
        <v>492</v>
      </c>
      <c r="J67" s="113" t="s">
        <v>493</v>
      </c>
      <c r="K67" s="113" t="s">
        <v>494</v>
      </c>
      <c r="L67" s="113" t="s">
        <v>495</v>
      </c>
      <c r="M67" s="113" t="s">
        <v>496</v>
      </c>
      <c r="N67" s="117" t="s">
        <v>382</v>
      </c>
      <c r="O67" s="120" t="s">
        <v>497</v>
      </c>
      <c r="P67" s="119" t="s">
        <v>498</v>
      </c>
      <c r="Q67" s="112">
        <v>4</v>
      </c>
      <c r="R67" s="112">
        <v>3</v>
      </c>
      <c r="S67" s="147">
        <f t="shared" si="10"/>
        <v>12</v>
      </c>
      <c r="T67" s="150" t="str">
        <f>_xlfn.IFNA(VLOOKUP(S67,Parameter!$D$53:$E$77,2),"")</f>
        <v>SEDANG</v>
      </c>
      <c r="U67" s="130" t="s">
        <v>499</v>
      </c>
      <c r="V67" s="124" t="s">
        <v>500</v>
      </c>
      <c r="W67" s="124" t="s">
        <v>501</v>
      </c>
      <c r="X67" s="124" t="s">
        <v>502</v>
      </c>
      <c r="Y67" s="124" t="s">
        <v>337</v>
      </c>
      <c r="Z67" s="124"/>
      <c r="AA67" s="126" t="s">
        <v>386</v>
      </c>
      <c r="AB67" s="111" t="s">
        <v>386</v>
      </c>
      <c r="AC67" s="156">
        <v>46387</v>
      </c>
      <c r="AD67" s="163">
        <v>46102</v>
      </c>
      <c r="AE67" s="115" t="s">
        <v>513</v>
      </c>
      <c r="AF67" s="163"/>
      <c r="AG67" s="115"/>
      <c r="AH67" s="163"/>
      <c r="AI67" s="115"/>
      <c r="AJ67" s="163"/>
      <c r="AK67" s="115"/>
      <c r="AL67" s="169">
        <f t="shared" si="12"/>
        <v>4</v>
      </c>
      <c r="AM67" s="112">
        <f t="shared" si="13"/>
        <v>3</v>
      </c>
      <c r="AN67" s="171">
        <f t="shared" si="11"/>
        <v>12</v>
      </c>
      <c r="AO67" s="150" t="str">
        <f>_xlfn.IFNA(VLOOKUP(AN67,Parameter!$D$53:$E$77,2),"")</f>
        <v>SEDANG</v>
      </c>
      <c r="AP67" s="167" t="s">
        <v>379</v>
      </c>
      <c r="AQ67" s="116"/>
    </row>
    <row r="68" spans="1:43" ht="342" x14ac:dyDescent="0.3">
      <c r="A68" s="114" t="s">
        <v>48</v>
      </c>
      <c r="B68" s="112">
        <f t="shared" si="7"/>
        <v>54</v>
      </c>
      <c r="C68" s="124" t="s">
        <v>1975</v>
      </c>
      <c r="D68" s="169" t="s">
        <v>258</v>
      </c>
      <c r="E68" s="176" t="s">
        <v>256</v>
      </c>
      <c r="F68" s="118" t="s">
        <v>367</v>
      </c>
      <c r="G68" s="117" t="s">
        <v>49</v>
      </c>
      <c r="H68" s="173" t="s">
        <v>50</v>
      </c>
      <c r="I68" s="126" t="s">
        <v>708</v>
      </c>
      <c r="J68" s="111" t="s">
        <v>709</v>
      </c>
      <c r="K68" s="111" t="s">
        <v>710</v>
      </c>
      <c r="L68" s="111" t="s">
        <v>711</v>
      </c>
      <c r="M68" s="111" t="s">
        <v>712</v>
      </c>
      <c r="N68" s="117" t="s">
        <v>382</v>
      </c>
      <c r="O68" s="120" t="s">
        <v>713</v>
      </c>
      <c r="P68" s="119" t="s">
        <v>714</v>
      </c>
      <c r="Q68" s="112">
        <v>4</v>
      </c>
      <c r="R68" s="112">
        <v>3</v>
      </c>
      <c r="S68" s="117">
        <f t="shared" si="10"/>
        <v>12</v>
      </c>
      <c r="T68" s="150" t="str">
        <f>_xlfn.IFNA(VLOOKUP(S68,Parameter!$D$53:$E$77,2),"")</f>
        <v>SEDANG</v>
      </c>
      <c r="U68" s="130" t="s">
        <v>715</v>
      </c>
      <c r="V68" s="124" t="s">
        <v>660</v>
      </c>
      <c r="W68" s="124" t="s">
        <v>716</v>
      </c>
      <c r="X68" s="124" t="s">
        <v>717</v>
      </c>
      <c r="Y68" s="124" t="s">
        <v>337</v>
      </c>
      <c r="Z68" s="124"/>
      <c r="AA68" s="126" t="s">
        <v>719</v>
      </c>
      <c r="AB68" s="111" t="s">
        <v>720</v>
      </c>
      <c r="AC68" s="156">
        <v>46387</v>
      </c>
      <c r="AD68" s="163">
        <v>46102</v>
      </c>
      <c r="AE68" s="115" t="s">
        <v>718</v>
      </c>
      <c r="AF68" s="163"/>
      <c r="AG68" s="115"/>
      <c r="AH68" s="163"/>
      <c r="AI68" s="115"/>
      <c r="AJ68" s="163"/>
      <c r="AK68" s="115"/>
      <c r="AL68" s="169">
        <f t="shared" si="12"/>
        <v>4</v>
      </c>
      <c r="AM68" s="112">
        <f t="shared" si="13"/>
        <v>3</v>
      </c>
      <c r="AN68" s="147">
        <f t="shared" si="11"/>
        <v>12</v>
      </c>
      <c r="AO68" s="150" t="str">
        <f>_xlfn.IFNA(VLOOKUP(AN68,Parameter!$D$53:$E$77,2),"")</f>
        <v>SEDANG</v>
      </c>
      <c r="AP68" s="167" t="s">
        <v>379</v>
      </c>
      <c r="AQ68" s="115"/>
    </row>
    <row r="69" spans="1:43" ht="288" x14ac:dyDescent="0.3">
      <c r="A69" s="114" t="s">
        <v>48</v>
      </c>
      <c r="B69" s="112">
        <f t="shared" si="7"/>
        <v>55</v>
      </c>
      <c r="C69" s="124" t="s">
        <v>893</v>
      </c>
      <c r="D69" s="169" t="s">
        <v>278</v>
      </c>
      <c r="E69" s="176" t="s">
        <v>256</v>
      </c>
      <c r="F69" s="118" t="s">
        <v>367</v>
      </c>
      <c r="G69" s="117" t="s">
        <v>49</v>
      </c>
      <c r="H69" s="173" t="s">
        <v>50</v>
      </c>
      <c r="I69" s="127" t="s">
        <v>894</v>
      </c>
      <c r="J69" s="113" t="s">
        <v>895</v>
      </c>
      <c r="K69" s="113" t="s">
        <v>896</v>
      </c>
      <c r="L69" s="113" t="s">
        <v>897</v>
      </c>
      <c r="M69" s="113" t="s">
        <v>898</v>
      </c>
      <c r="N69" s="117" t="s">
        <v>363</v>
      </c>
      <c r="O69" s="120" t="s">
        <v>899</v>
      </c>
      <c r="P69" s="119" t="s">
        <v>872</v>
      </c>
      <c r="Q69" s="112">
        <v>3</v>
      </c>
      <c r="R69" s="112">
        <v>4</v>
      </c>
      <c r="S69" s="147">
        <f t="shared" si="10"/>
        <v>12</v>
      </c>
      <c r="T69" s="150" t="str">
        <f>_xlfn.IFNA(VLOOKUP(S69,Parameter!$D$53:$E$77,2),"")</f>
        <v>SEDANG</v>
      </c>
      <c r="U69" s="130" t="s">
        <v>900</v>
      </c>
      <c r="V69" s="124" t="s">
        <v>901</v>
      </c>
      <c r="W69" s="124" t="s">
        <v>902</v>
      </c>
      <c r="X69" s="124" t="s">
        <v>903</v>
      </c>
      <c r="Y69" s="124" t="s">
        <v>327</v>
      </c>
      <c r="Z69" s="124"/>
      <c r="AA69" s="126" t="s">
        <v>905</v>
      </c>
      <c r="AB69" s="111" t="s">
        <v>398</v>
      </c>
      <c r="AC69" s="156">
        <v>46387</v>
      </c>
      <c r="AD69" s="163">
        <v>46102</v>
      </c>
      <c r="AE69" s="115" t="s">
        <v>904</v>
      </c>
      <c r="AF69" s="163"/>
      <c r="AG69" s="115"/>
      <c r="AH69" s="163"/>
      <c r="AI69" s="115"/>
      <c r="AJ69" s="163"/>
      <c r="AK69" s="115"/>
      <c r="AL69" s="169">
        <f t="shared" si="12"/>
        <v>3</v>
      </c>
      <c r="AM69" s="112">
        <f t="shared" si="13"/>
        <v>4</v>
      </c>
      <c r="AN69" s="171">
        <f t="shared" si="11"/>
        <v>12</v>
      </c>
      <c r="AO69" s="150" t="str">
        <f>_xlfn.IFNA(VLOOKUP(AN69,Parameter!$D$53:$E$77,2),"")</f>
        <v>SEDANG</v>
      </c>
      <c r="AP69" s="167" t="s">
        <v>379</v>
      </c>
      <c r="AQ69" s="116"/>
    </row>
    <row r="70" spans="1:43" ht="270" x14ac:dyDescent="0.3">
      <c r="A70" s="114" t="s">
        <v>48</v>
      </c>
      <c r="B70" s="112">
        <f t="shared" si="7"/>
        <v>56</v>
      </c>
      <c r="C70" s="124" t="s">
        <v>679</v>
      </c>
      <c r="D70" s="169" t="s">
        <v>330</v>
      </c>
      <c r="E70" s="176" t="s">
        <v>256</v>
      </c>
      <c r="F70" s="118" t="s">
        <v>368</v>
      </c>
      <c r="G70" s="117" t="s">
        <v>49</v>
      </c>
      <c r="H70" s="173" t="s">
        <v>50</v>
      </c>
      <c r="I70" s="126" t="s">
        <v>681</v>
      </c>
      <c r="J70" s="111" t="s">
        <v>682</v>
      </c>
      <c r="K70" s="111" t="s">
        <v>683</v>
      </c>
      <c r="L70" s="111" t="s">
        <v>684</v>
      </c>
      <c r="M70" s="111" t="s">
        <v>685</v>
      </c>
      <c r="N70" s="117" t="s">
        <v>382</v>
      </c>
      <c r="O70" s="120" t="s">
        <v>482</v>
      </c>
      <c r="P70" s="119" t="s">
        <v>686</v>
      </c>
      <c r="Q70" s="112">
        <v>4</v>
      </c>
      <c r="R70" s="112">
        <v>3</v>
      </c>
      <c r="S70" s="117">
        <f t="shared" si="10"/>
        <v>12</v>
      </c>
      <c r="T70" s="150" t="str">
        <f>_xlfn.IFNA(VLOOKUP(S70,Parameter!$D$53:$E$77,2),"")</f>
        <v>SEDANG</v>
      </c>
      <c r="U70" s="130" t="s">
        <v>687</v>
      </c>
      <c r="V70" s="124" t="s">
        <v>688</v>
      </c>
      <c r="W70" s="124" t="s">
        <v>689</v>
      </c>
      <c r="X70" s="124" t="s">
        <v>690</v>
      </c>
      <c r="Y70" s="124" t="s">
        <v>290</v>
      </c>
      <c r="Z70" s="124"/>
      <c r="AA70" s="126" t="s">
        <v>693</v>
      </c>
      <c r="AB70" s="111" t="s">
        <v>692</v>
      </c>
      <c r="AC70" s="156">
        <v>46387</v>
      </c>
      <c r="AD70" s="163">
        <v>46102</v>
      </c>
      <c r="AE70" s="115" t="s">
        <v>691</v>
      </c>
      <c r="AF70" s="163"/>
      <c r="AG70" s="115"/>
      <c r="AH70" s="163"/>
      <c r="AI70" s="115"/>
      <c r="AJ70" s="163"/>
      <c r="AK70" s="115"/>
      <c r="AL70" s="169">
        <f t="shared" si="12"/>
        <v>4</v>
      </c>
      <c r="AM70" s="112">
        <f t="shared" si="13"/>
        <v>3</v>
      </c>
      <c r="AN70" s="147">
        <f t="shared" si="11"/>
        <v>12</v>
      </c>
      <c r="AO70" s="150" t="str">
        <f>_xlfn.IFNA(VLOOKUP(AN70,Parameter!$D$53:$E$77,2),"")</f>
        <v>SEDANG</v>
      </c>
      <c r="AP70" s="167" t="s">
        <v>379</v>
      </c>
      <c r="AQ70" s="115"/>
    </row>
    <row r="71" spans="1:43" ht="342" x14ac:dyDescent="0.3">
      <c r="A71" s="114" t="s">
        <v>48</v>
      </c>
      <c r="B71" s="112">
        <f t="shared" si="7"/>
        <v>57</v>
      </c>
      <c r="C71" s="124" t="s">
        <v>537</v>
      </c>
      <c r="D71" s="169" t="s">
        <v>300</v>
      </c>
      <c r="E71" s="176" t="s">
        <v>256</v>
      </c>
      <c r="F71" s="118" t="s">
        <v>368</v>
      </c>
      <c r="G71" s="117" t="s">
        <v>49</v>
      </c>
      <c r="H71" s="173" t="s">
        <v>50</v>
      </c>
      <c r="I71" s="127" t="s">
        <v>538</v>
      </c>
      <c r="J71" s="113" t="s">
        <v>539</v>
      </c>
      <c r="K71" s="113" t="s">
        <v>540</v>
      </c>
      <c r="L71" s="113" t="s">
        <v>541</v>
      </c>
      <c r="M71" s="113" t="s">
        <v>542</v>
      </c>
      <c r="N71" s="117" t="s">
        <v>384</v>
      </c>
      <c r="O71" s="120" t="s">
        <v>482</v>
      </c>
      <c r="P71" s="119" t="s">
        <v>543</v>
      </c>
      <c r="Q71" s="112">
        <v>4</v>
      </c>
      <c r="R71" s="112">
        <v>4</v>
      </c>
      <c r="S71" s="147">
        <f t="shared" si="10"/>
        <v>16</v>
      </c>
      <c r="T71" s="150" t="str">
        <f>_xlfn.IFNA(VLOOKUP(S71,Parameter!$D$53:$E$77,2),"")</f>
        <v>SEDANG-TINGGI</v>
      </c>
      <c r="U71" s="130" t="s">
        <v>544</v>
      </c>
      <c r="V71" s="124" t="s">
        <v>545</v>
      </c>
      <c r="W71" s="124" t="s">
        <v>546</v>
      </c>
      <c r="X71" s="124" t="s">
        <v>573</v>
      </c>
      <c r="Y71" s="124" t="s">
        <v>297</v>
      </c>
      <c r="Z71" s="124"/>
      <c r="AA71" s="126" t="s">
        <v>547</v>
      </c>
      <c r="AB71" s="145" t="s">
        <v>489</v>
      </c>
      <c r="AC71" s="156">
        <v>46387</v>
      </c>
      <c r="AD71" s="163">
        <v>46102</v>
      </c>
      <c r="AE71" s="115" t="s">
        <v>548</v>
      </c>
      <c r="AF71" s="163"/>
      <c r="AG71" s="115"/>
      <c r="AH71" s="163"/>
      <c r="AI71" s="115"/>
      <c r="AJ71" s="163"/>
      <c r="AK71" s="115"/>
      <c r="AL71" s="169">
        <f t="shared" si="12"/>
        <v>4</v>
      </c>
      <c r="AM71" s="112">
        <f t="shared" si="13"/>
        <v>4</v>
      </c>
      <c r="AN71" s="171">
        <f t="shared" si="11"/>
        <v>16</v>
      </c>
      <c r="AO71" s="150" t="str">
        <f>_xlfn.IFNA(VLOOKUP(AN71,Parameter!$D$53:$E$77,2),"")</f>
        <v>SEDANG-TINGGI</v>
      </c>
      <c r="AP71" s="167" t="s">
        <v>379</v>
      </c>
      <c r="AQ71" s="116"/>
    </row>
    <row r="72" spans="1:43" ht="342" x14ac:dyDescent="0.3">
      <c r="A72" s="114" t="s">
        <v>48</v>
      </c>
      <c r="B72" s="112">
        <f t="shared" si="7"/>
        <v>58</v>
      </c>
      <c r="C72" s="124" t="s">
        <v>933</v>
      </c>
      <c r="D72" s="169" t="s">
        <v>335</v>
      </c>
      <c r="E72" s="176" t="s">
        <v>256</v>
      </c>
      <c r="F72" s="118" t="s">
        <v>373</v>
      </c>
      <c r="G72" s="117" t="s">
        <v>49</v>
      </c>
      <c r="H72" s="173" t="s">
        <v>50</v>
      </c>
      <c r="I72" s="127" t="s">
        <v>934</v>
      </c>
      <c r="J72" s="113" t="s">
        <v>935</v>
      </c>
      <c r="K72" s="113" t="s">
        <v>936</v>
      </c>
      <c r="L72" s="113" t="s">
        <v>937</v>
      </c>
      <c r="M72" s="113" t="s">
        <v>938</v>
      </c>
      <c r="N72" s="117" t="s">
        <v>361</v>
      </c>
      <c r="O72" s="120" t="s">
        <v>713</v>
      </c>
      <c r="P72" s="119" t="s">
        <v>939</v>
      </c>
      <c r="Q72" s="112">
        <v>4</v>
      </c>
      <c r="R72" s="112">
        <v>4</v>
      </c>
      <c r="S72" s="147">
        <f t="shared" si="10"/>
        <v>16</v>
      </c>
      <c r="T72" s="150" t="str">
        <f>_xlfn.IFNA(VLOOKUP(S72,Parameter!$D$53:$E$77,2),"")</f>
        <v>SEDANG-TINGGI</v>
      </c>
      <c r="U72" s="130" t="s">
        <v>940</v>
      </c>
      <c r="V72" s="124" t="s">
        <v>941</v>
      </c>
      <c r="W72" s="124" t="s">
        <v>942</v>
      </c>
      <c r="X72" s="124" t="s">
        <v>943</v>
      </c>
      <c r="Y72" s="124" t="s">
        <v>279</v>
      </c>
      <c r="Z72" s="124" t="s">
        <v>333</v>
      </c>
      <c r="AA72" s="126" t="s">
        <v>945</v>
      </c>
      <c r="AB72" s="111" t="s">
        <v>946</v>
      </c>
      <c r="AC72" s="156">
        <v>46387</v>
      </c>
      <c r="AD72" s="163">
        <v>46102</v>
      </c>
      <c r="AE72" s="115" t="s">
        <v>944</v>
      </c>
      <c r="AF72" s="163"/>
      <c r="AG72" s="115"/>
      <c r="AH72" s="163"/>
      <c r="AI72" s="115"/>
      <c r="AJ72" s="163"/>
      <c r="AK72" s="115"/>
      <c r="AL72" s="169">
        <f t="shared" si="12"/>
        <v>4</v>
      </c>
      <c r="AM72" s="112">
        <f t="shared" si="13"/>
        <v>4</v>
      </c>
      <c r="AN72" s="171">
        <f t="shared" si="11"/>
        <v>16</v>
      </c>
      <c r="AO72" s="150" t="str">
        <f>_xlfn.IFNA(VLOOKUP(AN72,Parameter!$D$53:$E$77,2),"")</f>
        <v>SEDANG-TINGGI</v>
      </c>
      <c r="AP72" s="167" t="s">
        <v>379</v>
      </c>
      <c r="AQ72" s="116"/>
    </row>
    <row r="73" spans="1:43" ht="324" x14ac:dyDescent="0.3">
      <c r="A73" s="114" t="s">
        <v>48</v>
      </c>
      <c r="B73" s="112">
        <f t="shared" si="7"/>
        <v>59</v>
      </c>
      <c r="C73" s="124" t="s">
        <v>920</v>
      </c>
      <c r="D73" s="169" t="s">
        <v>335</v>
      </c>
      <c r="E73" s="176" t="s">
        <v>256</v>
      </c>
      <c r="F73" s="118" t="s">
        <v>373</v>
      </c>
      <c r="G73" s="117" t="s">
        <v>49</v>
      </c>
      <c r="H73" s="173" t="s">
        <v>50</v>
      </c>
      <c r="I73" s="127" t="s">
        <v>921</v>
      </c>
      <c r="J73" s="113" t="s">
        <v>922</v>
      </c>
      <c r="K73" s="113" t="s">
        <v>923</v>
      </c>
      <c r="L73" s="113" t="s">
        <v>924</v>
      </c>
      <c r="M73" s="113" t="s">
        <v>925</v>
      </c>
      <c r="N73" s="117" t="s">
        <v>382</v>
      </c>
      <c r="O73" s="120" t="s">
        <v>497</v>
      </c>
      <c r="P73" s="119" t="s">
        <v>926</v>
      </c>
      <c r="Q73" s="112">
        <v>4</v>
      </c>
      <c r="R73" s="112">
        <v>4</v>
      </c>
      <c r="S73" s="147">
        <f t="shared" si="10"/>
        <v>16</v>
      </c>
      <c r="T73" s="150" t="str">
        <f>_xlfn.IFNA(VLOOKUP(S73,Parameter!$D$53:$E$77,2),"")</f>
        <v>SEDANG-TINGGI</v>
      </c>
      <c r="U73" s="130" t="s">
        <v>927</v>
      </c>
      <c r="V73" s="124" t="s">
        <v>928</v>
      </c>
      <c r="W73" s="124" t="s">
        <v>929</v>
      </c>
      <c r="X73" s="124" t="s">
        <v>930</v>
      </c>
      <c r="Y73" s="124" t="s">
        <v>337</v>
      </c>
      <c r="Z73" s="124" t="s">
        <v>333</v>
      </c>
      <c r="AA73" s="126" t="s">
        <v>932</v>
      </c>
      <c r="AB73" s="111" t="s">
        <v>386</v>
      </c>
      <c r="AC73" s="156">
        <v>46387</v>
      </c>
      <c r="AD73" s="163">
        <v>46102</v>
      </c>
      <c r="AE73" s="115" t="s">
        <v>931</v>
      </c>
      <c r="AF73" s="163"/>
      <c r="AG73" s="115"/>
      <c r="AH73" s="163"/>
      <c r="AI73" s="115"/>
      <c r="AJ73" s="163"/>
      <c r="AK73" s="115"/>
      <c r="AL73" s="169">
        <f t="shared" si="12"/>
        <v>4</v>
      </c>
      <c r="AM73" s="112">
        <f t="shared" si="13"/>
        <v>4</v>
      </c>
      <c r="AN73" s="171">
        <f t="shared" si="11"/>
        <v>16</v>
      </c>
      <c r="AO73" s="150" t="str">
        <f>_xlfn.IFNA(VLOOKUP(AN73,Parameter!$D$53:$E$77,2),"")</f>
        <v>SEDANG-TINGGI</v>
      </c>
      <c r="AP73" s="167" t="s">
        <v>379</v>
      </c>
      <c r="AQ73" s="116"/>
    </row>
    <row r="74" spans="1:43" ht="342" x14ac:dyDescent="0.3">
      <c r="A74" s="114" t="s">
        <v>48</v>
      </c>
      <c r="B74" s="112">
        <f t="shared" si="7"/>
        <v>60</v>
      </c>
      <c r="C74" s="124" t="s">
        <v>1485</v>
      </c>
      <c r="D74" s="169" t="s">
        <v>348</v>
      </c>
      <c r="E74" s="176" t="s">
        <v>189</v>
      </c>
      <c r="F74" s="118" t="s">
        <v>372</v>
      </c>
      <c r="G74" s="117" t="s">
        <v>49</v>
      </c>
      <c r="H74" s="173" t="s">
        <v>50</v>
      </c>
      <c r="I74" s="127" t="s">
        <v>1486</v>
      </c>
      <c r="J74" s="113" t="s">
        <v>1487</v>
      </c>
      <c r="K74" s="113" t="s">
        <v>1488</v>
      </c>
      <c r="L74" s="113" t="s">
        <v>1489</v>
      </c>
      <c r="M74" s="113" t="s">
        <v>1490</v>
      </c>
      <c r="N74" s="117" t="s">
        <v>382</v>
      </c>
      <c r="O74" s="120" t="s">
        <v>713</v>
      </c>
      <c r="P74" s="119" t="s">
        <v>1491</v>
      </c>
      <c r="Q74" s="112">
        <v>4</v>
      </c>
      <c r="R74" s="112">
        <v>4</v>
      </c>
      <c r="S74" s="147">
        <f t="shared" si="10"/>
        <v>16</v>
      </c>
      <c r="T74" s="150" t="str">
        <f>_xlfn.IFNA(VLOOKUP(S74,Parameter!$D$53:$E$77,2),"")</f>
        <v>SEDANG-TINGGI</v>
      </c>
      <c r="U74" s="130" t="s">
        <v>1492</v>
      </c>
      <c r="V74" s="124" t="s">
        <v>1493</v>
      </c>
      <c r="W74" s="124" t="s">
        <v>1494</v>
      </c>
      <c r="X74" s="124" t="s">
        <v>1495</v>
      </c>
      <c r="Y74" s="124" t="s">
        <v>254</v>
      </c>
      <c r="Z74" s="124" t="s">
        <v>337</v>
      </c>
      <c r="AA74" s="126" t="s">
        <v>1498</v>
      </c>
      <c r="AB74" s="111" t="s">
        <v>1497</v>
      </c>
      <c r="AC74" s="156">
        <v>46387</v>
      </c>
      <c r="AD74" s="163">
        <v>46102</v>
      </c>
      <c r="AE74" s="115" t="s">
        <v>1496</v>
      </c>
      <c r="AF74" s="163"/>
      <c r="AG74" s="115"/>
      <c r="AH74" s="163"/>
      <c r="AI74" s="115"/>
      <c r="AJ74" s="163"/>
      <c r="AK74" s="115"/>
      <c r="AL74" s="169">
        <f t="shared" si="12"/>
        <v>4</v>
      </c>
      <c r="AM74" s="112">
        <f t="shared" si="13"/>
        <v>4</v>
      </c>
      <c r="AN74" s="171">
        <f t="shared" si="11"/>
        <v>16</v>
      </c>
      <c r="AO74" s="150" t="str">
        <f>_xlfn.IFNA(VLOOKUP(AN74,Parameter!$D$53:$E$77,2),"")</f>
        <v>SEDANG-TINGGI</v>
      </c>
      <c r="AP74" s="167" t="s">
        <v>379</v>
      </c>
      <c r="AQ74" s="116"/>
    </row>
    <row r="75" spans="1:43" ht="324" x14ac:dyDescent="0.3">
      <c r="A75" s="114" t="s">
        <v>48</v>
      </c>
      <c r="B75" s="112">
        <f t="shared" si="7"/>
        <v>61</v>
      </c>
      <c r="C75" s="124" t="s">
        <v>476</v>
      </c>
      <c r="D75" s="169" t="s">
        <v>399</v>
      </c>
      <c r="E75" s="176" t="s">
        <v>256</v>
      </c>
      <c r="F75" s="118" t="s">
        <v>368</v>
      </c>
      <c r="G75" s="117" t="s">
        <v>49</v>
      </c>
      <c r="H75" s="173" t="s">
        <v>50</v>
      </c>
      <c r="I75" s="127" t="s">
        <v>477</v>
      </c>
      <c r="J75" s="113" t="s">
        <v>478</v>
      </c>
      <c r="K75" s="113" t="s">
        <v>479</v>
      </c>
      <c r="L75" s="113" t="s">
        <v>480</v>
      </c>
      <c r="M75" s="113" t="s">
        <v>481</v>
      </c>
      <c r="N75" s="117" t="s">
        <v>385</v>
      </c>
      <c r="O75" s="120" t="s">
        <v>482</v>
      </c>
      <c r="P75" s="119" t="s">
        <v>483</v>
      </c>
      <c r="Q75" s="112">
        <v>5</v>
      </c>
      <c r="R75" s="112">
        <v>5</v>
      </c>
      <c r="S75" s="147">
        <f t="shared" si="10"/>
        <v>25</v>
      </c>
      <c r="T75" s="150" t="str">
        <f>_xlfn.IFNA(VLOOKUP(S75,Parameter!$D$53:$E$77,2),"")</f>
        <v>TINGGI</v>
      </c>
      <c r="U75" s="130" t="s">
        <v>484</v>
      </c>
      <c r="V75" s="124" t="s">
        <v>485</v>
      </c>
      <c r="W75" s="124" t="s">
        <v>486</v>
      </c>
      <c r="X75" s="124" t="s">
        <v>487</v>
      </c>
      <c r="Y75" s="124" t="s">
        <v>310</v>
      </c>
      <c r="Z75" s="124"/>
      <c r="AA75" s="126" t="s">
        <v>488</v>
      </c>
      <c r="AB75" s="145" t="s">
        <v>489</v>
      </c>
      <c r="AC75" s="156">
        <v>46387</v>
      </c>
      <c r="AD75" s="163">
        <v>46102</v>
      </c>
      <c r="AE75" s="115" t="s">
        <v>490</v>
      </c>
      <c r="AF75" s="163"/>
      <c r="AG75" s="115"/>
      <c r="AH75" s="163"/>
      <c r="AI75" s="115"/>
      <c r="AJ75" s="163"/>
      <c r="AK75" s="115"/>
      <c r="AL75" s="169">
        <v>4</v>
      </c>
      <c r="AM75" s="112">
        <v>4</v>
      </c>
      <c r="AN75" s="171">
        <f t="shared" si="11"/>
        <v>16</v>
      </c>
      <c r="AO75" s="150" t="str">
        <f>_xlfn.IFNA(VLOOKUP(AN75,Parameter!$D$53:$E$77,2),"")</f>
        <v>SEDANG-TINGGI</v>
      </c>
      <c r="AP75" s="167" t="s">
        <v>379</v>
      </c>
      <c r="AQ75" s="116"/>
    </row>
    <row r="76" spans="1:43" ht="306" x14ac:dyDescent="0.3">
      <c r="A76" s="114" t="s">
        <v>48</v>
      </c>
      <c r="B76" s="112">
        <f t="shared" si="7"/>
        <v>62</v>
      </c>
      <c r="C76" s="124" t="s">
        <v>812</v>
      </c>
      <c r="D76" s="169" t="s">
        <v>399</v>
      </c>
      <c r="E76" s="176" t="s">
        <v>256</v>
      </c>
      <c r="F76" s="118" t="s">
        <v>368</v>
      </c>
      <c r="G76" s="117" t="s">
        <v>49</v>
      </c>
      <c r="H76" s="173" t="s">
        <v>50</v>
      </c>
      <c r="I76" s="127" t="s">
        <v>810</v>
      </c>
      <c r="J76" s="113" t="s">
        <v>811</v>
      </c>
      <c r="K76" s="113" t="s">
        <v>813</v>
      </c>
      <c r="L76" s="113" t="s">
        <v>814</v>
      </c>
      <c r="M76" s="113" t="s">
        <v>815</v>
      </c>
      <c r="N76" s="117" t="s">
        <v>382</v>
      </c>
      <c r="O76" s="120" t="s">
        <v>802</v>
      </c>
      <c r="P76" s="119" t="s">
        <v>816</v>
      </c>
      <c r="Q76" s="112">
        <v>4</v>
      </c>
      <c r="R76" s="112">
        <v>5</v>
      </c>
      <c r="S76" s="147">
        <f t="shared" si="10"/>
        <v>20</v>
      </c>
      <c r="T76" s="150" t="str">
        <f>_xlfn.IFNA(VLOOKUP(S76,Parameter!$D$53:$E$77,2),"")</f>
        <v>TINGGI</v>
      </c>
      <c r="U76" s="130" t="s">
        <v>817</v>
      </c>
      <c r="V76" s="124" t="s">
        <v>818</v>
      </c>
      <c r="W76" s="124" t="s">
        <v>819</v>
      </c>
      <c r="X76" s="124" t="s">
        <v>820</v>
      </c>
      <c r="Y76" s="124" t="s">
        <v>262</v>
      </c>
      <c r="Z76" s="124"/>
      <c r="AA76" s="126" t="s">
        <v>823</v>
      </c>
      <c r="AB76" s="111" t="s">
        <v>821</v>
      </c>
      <c r="AC76" s="156">
        <v>46387</v>
      </c>
      <c r="AD76" s="163">
        <v>46102</v>
      </c>
      <c r="AE76" s="115" t="s">
        <v>822</v>
      </c>
      <c r="AF76" s="163"/>
      <c r="AG76" s="115"/>
      <c r="AH76" s="163"/>
      <c r="AI76" s="115"/>
      <c r="AJ76" s="163"/>
      <c r="AK76" s="115"/>
      <c r="AL76" s="169">
        <f t="shared" ref="AL76:AM78" si="14">Q76</f>
        <v>4</v>
      </c>
      <c r="AM76" s="112">
        <f t="shared" si="14"/>
        <v>5</v>
      </c>
      <c r="AN76" s="171">
        <f t="shared" si="11"/>
        <v>20</v>
      </c>
      <c r="AO76" s="150" t="str">
        <f>_xlfn.IFNA(VLOOKUP(AN76,Parameter!$D$53:$E$77,2),"")</f>
        <v>TINGGI</v>
      </c>
      <c r="AP76" s="167" t="s">
        <v>379</v>
      </c>
      <c r="AQ76" s="116"/>
    </row>
    <row r="77" spans="1:43" ht="324" x14ac:dyDescent="0.3">
      <c r="A77" s="114" t="s">
        <v>48</v>
      </c>
      <c r="B77" s="112">
        <f t="shared" si="7"/>
        <v>63</v>
      </c>
      <c r="C77" s="124" t="s">
        <v>1228</v>
      </c>
      <c r="D77" s="169" t="s">
        <v>307</v>
      </c>
      <c r="E77" s="176" t="s">
        <v>52</v>
      </c>
      <c r="F77" s="118" t="s">
        <v>368</v>
      </c>
      <c r="G77" s="117" t="s">
        <v>377</v>
      </c>
      <c r="H77" s="173" t="s">
        <v>50</v>
      </c>
      <c r="I77" s="127" t="s">
        <v>1229</v>
      </c>
      <c r="J77" s="113" t="s">
        <v>1230</v>
      </c>
      <c r="K77" s="113" t="s">
        <v>1231</v>
      </c>
      <c r="L77" s="113" t="s">
        <v>1232</v>
      </c>
      <c r="M77" s="113" t="s">
        <v>1233</v>
      </c>
      <c r="N77" s="117" t="s">
        <v>385</v>
      </c>
      <c r="O77" s="120" t="s">
        <v>482</v>
      </c>
      <c r="P77" s="119" t="s">
        <v>1234</v>
      </c>
      <c r="Q77" s="112">
        <v>4</v>
      </c>
      <c r="R77" s="112">
        <v>4</v>
      </c>
      <c r="S77" s="147">
        <f t="shared" ref="S77:S107" si="15">Q77*R77</f>
        <v>16</v>
      </c>
      <c r="T77" s="150" t="str">
        <f>_xlfn.IFNA(VLOOKUP(S77,Parameter!$D$53:$E$77,2),"")</f>
        <v>SEDANG-TINGGI</v>
      </c>
      <c r="U77" s="130" t="s">
        <v>1235</v>
      </c>
      <c r="V77" s="124" t="s">
        <v>1236</v>
      </c>
      <c r="W77" s="124" t="s">
        <v>1237</v>
      </c>
      <c r="X77" s="124" t="s">
        <v>1238</v>
      </c>
      <c r="Y77" s="124" t="s">
        <v>297</v>
      </c>
      <c r="Z77" s="124"/>
      <c r="AA77" s="126" t="s">
        <v>1241</v>
      </c>
      <c r="AB77" s="145" t="s">
        <v>1239</v>
      </c>
      <c r="AC77" s="156">
        <v>46387</v>
      </c>
      <c r="AD77" s="163">
        <v>46102</v>
      </c>
      <c r="AE77" s="115" t="s">
        <v>1240</v>
      </c>
      <c r="AF77" s="163"/>
      <c r="AG77" s="115"/>
      <c r="AH77" s="163"/>
      <c r="AI77" s="115"/>
      <c r="AJ77" s="163"/>
      <c r="AK77" s="115"/>
      <c r="AL77" s="169">
        <f t="shared" si="14"/>
        <v>4</v>
      </c>
      <c r="AM77" s="112">
        <f t="shared" si="14"/>
        <v>4</v>
      </c>
      <c r="AN77" s="171">
        <f t="shared" ref="AN77:AN107" si="16">AL77*AM77</f>
        <v>16</v>
      </c>
      <c r="AO77" s="150" t="str">
        <f>_xlfn.IFNA(VLOOKUP(AN77,Parameter!$D$53:$E$77,2),"")</f>
        <v>SEDANG-TINGGI</v>
      </c>
      <c r="AP77" s="167" t="s">
        <v>379</v>
      </c>
      <c r="AQ77" s="116"/>
    </row>
    <row r="78" spans="1:43" ht="324" x14ac:dyDescent="0.3">
      <c r="A78" s="114" t="s">
        <v>48</v>
      </c>
      <c r="B78" s="112">
        <f t="shared" si="7"/>
        <v>64</v>
      </c>
      <c r="C78" s="124" t="s">
        <v>1085</v>
      </c>
      <c r="D78" s="169" t="s">
        <v>286</v>
      </c>
      <c r="E78" s="176" t="s">
        <v>256</v>
      </c>
      <c r="F78" s="118" t="s">
        <v>367</v>
      </c>
      <c r="G78" s="117" t="s">
        <v>49</v>
      </c>
      <c r="H78" s="173" t="s">
        <v>190</v>
      </c>
      <c r="I78" s="127" t="s">
        <v>1086</v>
      </c>
      <c r="J78" s="113" t="s">
        <v>1087</v>
      </c>
      <c r="K78" s="113" t="s">
        <v>1088</v>
      </c>
      <c r="L78" s="113" t="s">
        <v>1094</v>
      </c>
      <c r="M78" s="113" t="s">
        <v>1095</v>
      </c>
      <c r="N78" s="117" t="s">
        <v>384</v>
      </c>
      <c r="O78" s="120" t="s">
        <v>1064</v>
      </c>
      <c r="P78" s="119" t="s">
        <v>1096</v>
      </c>
      <c r="Q78" s="112">
        <v>4</v>
      </c>
      <c r="R78" s="112">
        <v>3</v>
      </c>
      <c r="S78" s="147">
        <f t="shared" si="15"/>
        <v>12</v>
      </c>
      <c r="T78" s="150" t="str">
        <f>_xlfn.IFNA(VLOOKUP(S78,Parameter!$D$53:$E$77,2),"")</f>
        <v>SEDANG</v>
      </c>
      <c r="U78" s="130" t="s">
        <v>1097</v>
      </c>
      <c r="V78" s="124" t="s">
        <v>1098</v>
      </c>
      <c r="W78" s="124" t="s">
        <v>1099</v>
      </c>
      <c r="X78" s="124" t="s">
        <v>1101</v>
      </c>
      <c r="Y78" s="124" t="s">
        <v>279</v>
      </c>
      <c r="Z78" s="124"/>
      <c r="AA78" s="126" t="s">
        <v>1103</v>
      </c>
      <c r="AB78" s="145" t="s">
        <v>1102</v>
      </c>
      <c r="AC78" s="156">
        <v>46387</v>
      </c>
      <c r="AD78" s="163">
        <v>46102</v>
      </c>
      <c r="AE78" s="115" t="s">
        <v>1093</v>
      </c>
      <c r="AF78" s="163"/>
      <c r="AG78" s="115"/>
      <c r="AH78" s="163"/>
      <c r="AI78" s="115"/>
      <c r="AJ78" s="163"/>
      <c r="AK78" s="115"/>
      <c r="AL78" s="169">
        <f t="shared" si="14"/>
        <v>4</v>
      </c>
      <c r="AM78" s="112">
        <f t="shared" si="14"/>
        <v>3</v>
      </c>
      <c r="AN78" s="171">
        <f t="shared" si="16"/>
        <v>12</v>
      </c>
      <c r="AO78" s="150" t="str">
        <f>_xlfn.IFNA(VLOOKUP(AN78,Parameter!$D$53:$E$77,2),"")</f>
        <v>SEDANG</v>
      </c>
      <c r="AP78" s="167" t="s">
        <v>379</v>
      </c>
      <c r="AQ78" s="116"/>
    </row>
    <row r="79" spans="1:43" ht="409.6" x14ac:dyDescent="0.3">
      <c r="A79" s="114" t="s">
        <v>48</v>
      </c>
      <c r="B79" s="112">
        <f t="shared" si="7"/>
        <v>65</v>
      </c>
      <c r="C79" s="124" t="s">
        <v>587</v>
      </c>
      <c r="D79" s="169" t="s">
        <v>315</v>
      </c>
      <c r="E79" s="176" t="s">
        <v>57</v>
      </c>
      <c r="F79" s="118" t="s">
        <v>368</v>
      </c>
      <c r="G79" s="117" t="s">
        <v>377</v>
      </c>
      <c r="H79" s="173" t="s">
        <v>50</v>
      </c>
      <c r="I79" s="127" t="s">
        <v>588</v>
      </c>
      <c r="J79" s="113" t="s">
        <v>589</v>
      </c>
      <c r="K79" s="113" t="s">
        <v>590</v>
      </c>
      <c r="L79" s="113" t="s">
        <v>591</v>
      </c>
      <c r="M79" s="113" t="s">
        <v>592</v>
      </c>
      <c r="N79" s="117" t="s">
        <v>385</v>
      </c>
      <c r="O79" s="120" t="s">
        <v>482</v>
      </c>
      <c r="P79" s="119" t="s">
        <v>593</v>
      </c>
      <c r="Q79" s="112">
        <v>5</v>
      </c>
      <c r="R79" s="112">
        <v>4</v>
      </c>
      <c r="S79" s="147">
        <f t="shared" si="15"/>
        <v>20</v>
      </c>
      <c r="T79" s="150" t="str">
        <f>_xlfn.IFNA(VLOOKUP(S79,Parameter!$D$53:$E$77,2),"")</f>
        <v>TINGGI</v>
      </c>
      <c r="U79" s="130" t="s">
        <v>594</v>
      </c>
      <c r="V79" s="124" t="s">
        <v>595</v>
      </c>
      <c r="W79" s="124" t="s">
        <v>596</v>
      </c>
      <c r="X79" s="124" t="s">
        <v>597</v>
      </c>
      <c r="Y79" s="124" t="s">
        <v>310</v>
      </c>
      <c r="Z79" s="124"/>
      <c r="AA79" s="126" t="s">
        <v>598</v>
      </c>
      <c r="AB79" s="145" t="s">
        <v>489</v>
      </c>
      <c r="AC79" s="156">
        <v>46387</v>
      </c>
      <c r="AD79" s="163">
        <v>46102</v>
      </c>
      <c r="AE79" s="115" t="s">
        <v>599</v>
      </c>
      <c r="AF79" s="163"/>
      <c r="AG79" s="115"/>
      <c r="AH79" s="163"/>
      <c r="AI79" s="115"/>
      <c r="AJ79" s="163"/>
      <c r="AK79" s="115"/>
      <c r="AL79" s="169">
        <f t="shared" ref="AL79:AL87" si="17">Q79</f>
        <v>5</v>
      </c>
      <c r="AM79" s="112">
        <v>3</v>
      </c>
      <c r="AN79" s="171">
        <f t="shared" si="16"/>
        <v>15</v>
      </c>
      <c r="AO79" s="150" t="str">
        <f>_xlfn.IFNA(VLOOKUP(AN79,Parameter!$D$53:$E$77,2),"")</f>
        <v>SEDANG-TINGGI</v>
      </c>
      <c r="AP79" s="167" t="s">
        <v>379</v>
      </c>
      <c r="AQ79" s="116"/>
    </row>
    <row r="80" spans="1:43" ht="324" x14ac:dyDescent="0.3">
      <c r="A80" s="114" t="s">
        <v>48</v>
      </c>
      <c r="B80" s="112">
        <f t="shared" si="7"/>
        <v>66</v>
      </c>
      <c r="C80" s="124" t="s">
        <v>1856</v>
      </c>
      <c r="D80" s="169" t="s">
        <v>315</v>
      </c>
      <c r="E80" s="176" t="s">
        <v>256</v>
      </c>
      <c r="F80" s="118" t="s">
        <v>368</v>
      </c>
      <c r="G80" s="117" t="s">
        <v>49</v>
      </c>
      <c r="H80" s="173" t="s">
        <v>50</v>
      </c>
      <c r="I80" s="127" t="s">
        <v>1857</v>
      </c>
      <c r="J80" s="113" t="s">
        <v>1858</v>
      </c>
      <c r="K80" s="113" t="s">
        <v>1859</v>
      </c>
      <c r="L80" s="113" t="s">
        <v>1860</v>
      </c>
      <c r="M80" s="113" t="s">
        <v>1861</v>
      </c>
      <c r="N80" s="117" t="s">
        <v>382</v>
      </c>
      <c r="O80" s="120" t="s">
        <v>482</v>
      </c>
      <c r="P80" s="119" t="s">
        <v>1862</v>
      </c>
      <c r="Q80" s="112">
        <v>4</v>
      </c>
      <c r="R80" s="112">
        <v>4</v>
      </c>
      <c r="S80" s="147">
        <f t="shared" si="15"/>
        <v>16</v>
      </c>
      <c r="T80" s="150" t="str">
        <f>_xlfn.IFNA(VLOOKUP(S80,Parameter!$D$53:$E$77,2),"")</f>
        <v>SEDANG-TINGGI</v>
      </c>
      <c r="U80" s="130" t="s">
        <v>1863</v>
      </c>
      <c r="V80" s="124" t="s">
        <v>1864</v>
      </c>
      <c r="W80" s="124" t="s">
        <v>1865</v>
      </c>
      <c r="X80" s="124" t="s">
        <v>1866</v>
      </c>
      <c r="Y80" s="124" t="s">
        <v>310</v>
      </c>
      <c r="Z80" s="124" t="s">
        <v>317</v>
      </c>
      <c r="AA80" s="126" t="s">
        <v>1869</v>
      </c>
      <c r="AB80" s="145" t="s">
        <v>1868</v>
      </c>
      <c r="AC80" s="156">
        <v>46387</v>
      </c>
      <c r="AD80" s="163">
        <v>46102</v>
      </c>
      <c r="AE80" s="115" t="s">
        <v>1867</v>
      </c>
      <c r="AF80" s="163"/>
      <c r="AG80" s="115"/>
      <c r="AH80" s="163"/>
      <c r="AI80" s="115"/>
      <c r="AJ80" s="163"/>
      <c r="AK80" s="115"/>
      <c r="AL80" s="169">
        <f t="shared" si="17"/>
        <v>4</v>
      </c>
      <c r="AM80" s="112">
        <f t="shared" ref="AM80:AM87" si="18">R80</f>
        <v>4</v>
      </c>
      <c r="AN80" s="171">
        <f t="shared" si="16"/>
        <v>16</v>
      </c>
      <c r="AO80" s="150" t="str">
        <f>_xlfn.IFNA(VLOOKUP(AN80,Parameter!$D$53:$E$77,2),"")</f>
        <v>SEDANG-TINGGI</v>
      </c>
      <c r="AP80" s="167" t="s">
        <v>379</v>
      </c>
      <c r="AQ80" s="116"/>
    </row>
    <row r="81" spans="1:43" ht="360" x14ac:dyDescent="0.3">
      <c r="A81" s="114" t="s">
        <v>48</v>
      </c>
      <c r="B81" s="112">
        <f t="shared" si="7"/>
        <v>67</v>
      </c>
      <c r="C81" s="124" t="s">
        <v>1664</v>
      </c>
      <c r="D81" s="169" t="s">
        <v>356</v>
      </c>
      <c r="E81" s="176" t="s">
        <v>256</v>
      </c>
      <c r="F81" s="118" t="s">
        <v>373</v>
      </c>
      <c r="G81" s="117" t="s">
        <v>49</v>
      </c>
      <c r="H81" s="173" t="s">
        <v>50</v>
      </c>
      <c r="I81" s="127" t="s">
        <v>1665</v>
      </c>
      <c r="J81" s="113" t="s">
        <v>1666</v>
      </c>
      <c r="K81" s="113" t="s">
        <v>1667</v>
      </c>
      <c r="L81" s="113" t="s">
        <v>1668</v>
      </c>
      <c r="M81" s="113" t="s">
        <v>1669</v>
      </c>
      <c r="N81" s="117" t="s">
        <v>382</v>
      </c>
      <c r="O81" s="120" t="s">
        <v>497</v>
      </c>
      <c r="P81" s="119" t="s">
        <v>1670</v>
      </c>
      <c r="Q81" s="112">
        <v>4</v>
      </c>
      <c r="R81" s="112">
        <v>3</v>
      </c>
      <c r="S81" s="147">
        <f t="shared" si="15"/>
        <v>12</v>
      </c>
      <c r="T81" s="150" t="str">
        <f>_xlfn.IFNA(VLOOKUP(S81,Parameter!$D$53:$E$77,2),"")</f>
        <v>SEDANG</v>
      </c>
      <c r="U81" s="130" t="s">
        <v>1671</v>
      </c>
      <c r="V81" s="124" t="s">
        <v>1672</v>
      </c>
      <c r="W81" s="124" t="s">
        <v>1673</v>
      </c>
      <c r="X81" s="124" t="s">
        <v>1674</v>
      </c>
      <c r="Y81" s="124" t="s">
        <v>337</v>
      </c>
      <c r="Z81" s="124" t="s">
        <v>279</v>
      </c>
      <c r="AA81" s="126" t="s">
        <v>1676</v>
      </c>
      <c r="AB81" s="145" t="s">
        <v>1677</v>
      </c>
      <c r="AC81" s="156">
        <v>46387</v>
      </c>
      <c r="AD81" s="163">
        <v>46102</v>
      </c>
      <c r="AE81" s="115" t="s">
        <v>1675</v>
      </c>
      <c r="AF81" s="163"/>
      <c r="AG81" s="115"/>
      <c r="AH81" s="163"/>
      <c r="AI81" s="115"/>
      <c r="AJ81" s="163"/>
      <c r="AK81" s="115"/>
      <c r="AL81" s="169">
        <f t="shared" si="17"/>
        <v>4</v>
      </c>
      <c r="AM81" s="112">
        <f t="shared" si="18"/>
        <v>3</v>
      </c>
      <c r="AN81" s="171">
        <f t="shared" si="16"/>
        <v>12</v>
      </c>
      <c r="AO81" s="150" t="str">
        <f>_xlfn.IFNA(VLOOKUP(AN81,Parameter!$D$53:$E$77,2),"")</f>
        <v>SEDANG</v>
      </c>
      <c r="AP81" s="167" t="s">
        <v>379</v>
      </c>
      <c r="AQ81" s="116"/>
    </row>
    <row r="82" spans="1:43" ht="409.6" x14ac:dyDescent="0.3">
      <c r="A82" s="114" t="s">
        <v>48</v>
      </c>
      <c r="B82" s="112">
        <f t="shared" si="7"/>
        <v>68</v>
      </c>
      <c r="C82" s="124" t="s">
        <v>641</v>
      </c>
      <c r="D82" s="169" t="s">
        <v>356</v>
      </c>
      <c r="E82" s="176" t="s">
        <v>256</v>
      </c>
      <c r="F82" s="118" t="s">
        <v>368</v>
      </c>
      <c r="G82" s="117" t="s">
        <v>49</v>
      </c>
      <c r="H82" s="173" t="s">
        <v>50</v>
      </c>
      <c r="I82" s="127" t="s">
        <v>640</v>
      </c>
      <c r="J82" s="113" t="s">
        <v>642</v>
      </c>
      <c r="K82" s="113" t="s">
        <v>643</v>
      </c>
      <c r="L82" s="113" t="s">
        <v>644</v>
      </c>
      <c r="M82" s="113" t="s">
        <v>645</v>
      </c>
      <c r="N82" s="117" t="s">
        <v>385</v>
      </c>
      <c r="O82" s="120" t="s">
        <v>482</v>
      </c>
      <c r="P82" s="119" t="s">
        <v>646</v>
      </c>
      <c r="Q82" s="112">
        <v>4</v>
      </c>
      <c r="R82" s="112">
        <v>3</v>
      </c>
      <c r="S82" s="147">
        <f t="shared" si="15"/>
        <v>12</v>
      </c>
      <c r="T82" s="150" t="str">
        <f>_xlfn.IFNA(VLOOKUP(S82,Parameter!$D$53:$E$77,2),"")</f>
        <v>SEDANG</v>
      </c>
      <c r="U82" s="130" t="s">
        <v>647</v>
      </c>
      <c r="V82" s="124" t="s">
        <v>648</v>
      </c>
      <c r="W82" s="124" t="s">
        <v>649</v>
      </c>
      <c r="X82" s="124" t="s">
        <v>650</v>
      </c>
      <c r="Y82" s="124" t="s">
        <v>297</v>
      </c>
      <c r="Z82" s="124"/>
      <c r="AA82" s="126" t="s">
        <v>652</v>
      </c>
      <c r="AB82" s="145" t="s">
        <v>489</v>
      </c>
      <c r="AC82" s="156">
        <v>46387</v>
      </c>
      <c r="AD82" s="163">
        <v>46102</v>
      </c>
      <c r="AE82" s="115" t="s">
        <v>651</v>
      </c>
      <c r="AF82" s="163"/>
      <c r="AG82" s="115"/>
      <c r="AH82" s="163"/>
      <c r="AI82" s="115"/>
      <c r="AJ82" s="163"/>
      <c r="AK82" s="115"/>
      <c r="AL82" s="169">
        <f t="shared" si="17"/>
        <v>4</v>
      </c>
      <c r="AM82" s="112">
        <f t="shared" si="18"/>
        <v>3</v>
      </c>
      <c r="AN82" s="171">
        <f t="shared" si="16"/>
        <v>12</v>
      </c>
      <c r="AO82" s="150" t="str">
        <f>_xlfn.IFNA(VLOOKUP(AN82,Parameter!$D$53:$E$77,2),"")</f>
        <v>SEDANG</v>
      </c>
      <c r="AP82" s="167" t="s">
        <v>379</v>
      </c>
      <c r="AQ82" s="116"/>
    </row>
    <row r="83" spans="1:43" ht="306" x14ac:dyDescent="0.3">
      <c r="A83" s="114" t="s">
        <v>48</v>
      </c>
      <c r="B83" s="112">
        <f t="shared" si="7"/>
        <v>69</v>
      </c>
      <c r="C83" s="124" t="s">
        <v>796</v>
      </c>
      <c r="D83" s="169" t="s">
        <v>342</v>
      </c>
      <c r="E83" s="176" t="s">
        <v>256</v>
      </c>
      <c r="F83" s="118" t="s">
        <v>368</v>
      </c>
      <c r="G83" s="117" t="s">
        <v>49</v>
      </c>
      <c r="H83" s="173" t="s">
        <v>50</v>
      </c>
      <c r="I83" s="127" t="s">
        <v>797</v>
      </c>
      <c r="J83" s="113" t="s">
        <v>798</v>
      </c>
      <c r="K83" s="113" t="s">
        <v>799</v>
      </c>
      <c r="L83" s="113" t="s">
        <v>800</v>
      </c>
      <c r="M83" s="113" t="s">
        <v>801</v>
      </c>
      <c r="N83" s="117" t="s">
        <v>382</v>
      </c>
      <c r="O83" s="120" t="s">
        <v>802</v>
      </c>
      <c r="P83" s="119" t="s">
        <v>803</v>
      </c>
      <c r="Q83" s="112">
        <v>4</v>
      </c>
      <c r="R83" s="112">
        <v>4</v>
      </c>
      <c r="S83" s="147">
        <f t="shared" si="15"/>
        <v>16</v>
      </c>
      <c r="T83" s="150" t="str">
        <f>_xlfn.IFNA(VLOOKUP(S83,Parameter!$D$53:$E$77,2),"")</f>
        <v>SEDANG-TINGGI</v>
      </c>
      <c r="U83" s="130" t="s">
        <v>804</v>
      </c>
      <c r="V83" s="124" t="s">
        <v>805</v>
      </c>
      <c r="W83" s="124" t="s">
        <v>806</v>
      </c>
      <c r="X83" s="124" t="s">
        <v>807</v>
      </c>
      <c r="Y83" s="124" t="s">
        <v>262</v>
      </c>
      <c r="Z83" s="124"/>
      <c r="AA83" s="126" t="s">
        <v>809</v>
      </c>
      <c r="AB83" s="111" t="s">
        <v>794</v>
      </c>
      <c r="AC83" s="156">
        <v>46387</v>
      </c>
      <c r="AD83" s="163">
        <v>46102</v>
      </c>
      <c r="AE83" s="115" t="s">
        <v>808</v>
      </c>
      <c r="AF83" s="163"/>
      <c r="AG83" s="115"/>
      <c r="AH83" s="163"/>
      <c r="AI83" s="115"/>
      <c r="AJ83" s="163"/>
      <c r="AK83" s="115"/>
      <c r="AL83" s="169">
        <f t="shared" si="17"/>
        <v>4</v>
      </c>
      <c r="AM83" s="112">
        <f t="shared" si="18"/>
        <v>4</v>
      </c>
      <c r="AN83" s="171">
        <f t="shared" si="16"/>
        <v>16</v>
      </c>
      <c r="AO83" s="150" t="str">
        <f>_xlfn.IFNA(VLOOKUP(AN83,Parameter!$D$53:$E$77,2),"")</f>
        <v>SEDANG-TINGGI</v>
      </c>
      <c r="AP83" s="167" t="s">
        <v>379</v>
      </c>
      <c r="AQ83" s="116"/>
    </row>
    <row r="84" spans="1:43" ht="360" x14ac:dyDescent="0.3">
      <c r="A84" s="114" t="s">
        <v>48</v>
      </c>
      <c r="B84" s="112">
        <f t="shared" si="7"/>
        <v>70</v>
      </c>
      <c r="C84" s="124" t="s">
        <v>1354</v>
      </c>
      <c r="D84" s="169" t="s">
        <v>296</v>
      </c>
      <c r="E84" s="176" t="s">
        <v>256</v>
      </c>
      <c r="F84" s="118" t="s">
        <v>368</v>
      </c>
      <c r="G84" s="117" t="s">
        <v>49</v>
      </c>
      <c r="H84" s="173" t="s">
        <v>50</v>
      </c>
      <c r="I84" s="127" t="s">
        <v>1355</v>
      </c>
      <c r="J84" s="113" t="s">
        <v>1356</v>
      </c>
      <c r="K84" s="113" t="s">
        <v>1357</v>
      </c>
      <c r="L84" s="113" t="s">
        <v>1358</v>
      </c>
      <c r="M84" s="113" t="s">
        <v>1359</v>
      </c>
      <c r="N84" s="117" t="s">
        <v>384</v>
      </c>
      <c r="O84" s="120" t="s">
        <v>482</v>
      </c>
      <c r="P84" s="119" t="s">
        <v>1360</v>
      </c>
      <c r="Q84" s="112">
        <v>4</v>
      </c>
      <c r="R84" s="112">
        <v>4</v>
      </c>
      <c r="S84" s="147">
        <f t="shared" si="15"/>
        <v>16</v>
      </c>
      <c r="T84" s="150" t="str">
        <f>_xlfn.IFNA(VLOOKUP(S84,Parameter!$D$53:$E$77,2),"")</f>
        <v>SEDANG-TINGGI</v>
      </c>
      <c r="U84" s="130" t="s">
        <v>1361</v>
      </c>
      <c r="V84" s="124" t="s">
        <v>1362</v>
      </c>
      <c r="W84" s="124" t="s">
        <v>1363</v>
      </c>
      <c r="X84" s="124" t="s">
        <v>1364</v>
      </c>
      <c r="Y84" s="124" t="s">
        <v>297</v>
      </c>
      <c r="Z84" s="124" t="s">
        <v>722</v>
      </c>
      <c r="AA84" s="126" t="s">
        <v>1367</v>
      </c>
      <c r="AB84" s="111" t="s">
        <v>1366</v>
      </c>
      <c r="AC84" s="156">
        <v>46387</v>
      </c>
      <c r="AD84" s="163">
        <v>46102</v>
      </c>
      <c r="AE84" s="115" t="s">
        <v>1365</v>
      </c>
      <c r="AF84" s="163"/>
      <c r="AG84" s="115"/>
      <c r="AH84" s="163"/>
      <c r="AI84" s="115"/>
      <c r="AJ84" s="163"/>
      <c r="AK84" s="115"/>
      <c r="AL84" s="169">
        <f t="shared" si="17"/>
        <v>4</v>
      </c>
      <c r="AM84" s="112">
        <f t="shared" si="18"/>
        <v>4</v>
      </c>
      <c r="AN84" s="171">
        <f t="shared" si="16"/>
        <v>16</v>
      </c>
      <c r="AO84" s="150" t="str">
        <f>_xlfn.IFNA(VLOOKUP(AN84,Parameter!$D$53:$E$77,2),"")</f>
        <v>SEDANG-TINGGI</v>
      </c>
      <c r="AP84" s="167" t="s">
        <v>379</v>
      </c>
      <c r="AQ84" s="116"/>
    </row>
    <row r="85" spans="1:43" ht="288" x14ac:dyDescent="0.3">
      <c r="A85" s="114" t="s">
        <v>48</v>
      </c>
      <c r="B85" s="112">
        <f t="shared" si="7"/>
        <v>71</v>
      </c>
      <c r="C85" s="124" t="s">
        <v>1854</v>
      </c>
      <c r="D85" s="169" t="s">
        <v>311</v>
      </c>
      <c r="E85" s="176" t="s">
        <v>57</v>
      </c>
      <c r="F85" s="118" t="s">
        <v>368</v>
      </c>
      <c r="G85" s="117" t="s">
        <v>49</v>
      </c>
      <c r="H85" s="173" t="s">
        <v>50</v>
      </c>
      <c r="I85" s="127" t="s">
        <v>611</v>
      </c>
      <c r="J85" s="113" t="s">
        <v>612</v>
      </c>
      <c r="K85" s="113" t="s">
        <v>613</v>
      </c>
      <c r="L85" s="113" t="s">
        <v>614</v>
      </c>
      <c r="M85" s="113" t="s">
        <v>615</v>
      </c>
      <c r="N85" s="117" t="s">
        <v>384</v>
      </c>
      <c r="O85" s="120" t="s">
        <v>482</v>
      </c>
      <c r="P85" s="119" t="s">
        <v>616</v>
      </c>
      <c r="Q85" s="112">
        <v>4</v>
      </c>
      <c r="R85" s="112">
        <v>4</v>
      </c>
      <c r="S85" s="147">
        <f t="shared" si="15"/>
        <v>16</v>
      </c>
      <c r="T85" s="150" t="str">
        <f>_xlfn.IFNA(VLOOKUP(S85,Parameter!$D$53:$E$77,2),"")</f>
        <v>SEDANG-TINGGI</v>
      </c>
      <c r="U85" s="130" t="s">
        <v>617</v>
      </c>
      <c r="V85" s="124" t="s">
        <v>618</v>
      </c>
      <c r="W85" s="124" t="s">
        <v>619</v>
      </c>
      <c r="X85" s="124" t="s">
        <v>620</v>
      </c>
      <c r="Y85" s="124" t="s">
        <v>310</v>
      </c>
      <c r="Z85" s="124"/>
      <c r="AA85" s="126" t="s">
        <v>622</v>
      </c>
      <c r="AB85" s="145" t="s">
        <v>489</v>
      </c>
      <c r="AC85" s="156">
        <v>46387</v>
      </c>
      <c r="AD85" s="163">
        <v>46102</v>
      </c>
      <c r="AE85" s="115" t="s">
        <v>621</v>
      </c>
      <c r="AF85" s="163"/>
      <c r="AG85" s="115"/>
      <c r="AH85" s="163"/>
      <c r="AI85" s="115"/>
      <c r="AJ85" s="163"/>
      <c r="AK85" s="115"/>
      <c r="AL85" s="169">
        <f t="shared" si="17"/>
        <v>4</v>
      </c>
      <c r="AM85" s="112">
        <f t="shared" si="18"/>
        <v>4</v>
      </c>
      <c r="AN85" s="171">
        <f t="shared" si="16"/>
        <v>16</v>
      </c>
      <c r="AO85" s="150" t="str">
        <f>_xlfn.IFNA(VLOOKUP(AN85,Parameter!$D$53:$E$77,2),"")</f>
        <v>SEDANG-TINGGI</v>
      </c>
      <c r="AP85" s="167" t="s">
        <v>379</v>
      </c>
      <c r="AQ85" s="116"/>
    </row>
    <row r="86" spans="1:43" ht="360" x14ac:dyDescent="0.3">
      <c r="A86" s="114" t="s">
        <v>48</v>
      </c>
      <c r="B86" s="112">
        <f t="shared" si="7"/>
        <v>72</v>
      </c>
      <c r="C86" s="124" t="s">
        <v>1855</v>
      </c>
      <c r="D86" s="169" t="s">
        <v>311</v>
      </c>
      <c r="E86" s="176" t="s">
        <v>57</v>
      </c>
      <c r="F86" s="118" t="s">
        <v>368</v>
      </c>
      <c r="G86" s="117" t="s">
        <v>49</v>
      </c>
      <c r="H86" s="173" t="s">
        <v>50</v>
      </c>
      <c r="I86" s="127" t="s">
        <v>600</v>
      </c>
      <c r="J86" s="113" t="s">
        <v>601</v>
      </c>
      <c r="K86" s="113" t="s">
        <v>602</v>
      </c>
      <c r="L86" s="113" t="s">
        <v>603</v>
      </c>
      <c r="M86" s="113" t="s">
        <v>604</v>
      </c>
      <c r="N86" s="117" t="s">
        <v>384</v>
      </c>
      <c r="O86" s="120" t="s">
        <v>482</v>
      </c>
      <c r="P86" s="119" t="s">
        <v>605</v>
      </c>
      <c r="Q86" s="112">
        <v>3</v>
      </c>
      <c r="R86" s="112">
        <v>5</v>
      </c>
      <c r="S86" s="147">
        <f t="shared" si="15"/>
        <v>15</v>
      </c>
      <c r="T86" s="150" t="str">
        <f>_xlfn.IFNA(VLOOKUP(S86,Parameter!$D$53:$E$77,2),"")</f>
        <v>SEDANG-TINGGI</v>
      </c>
      <c r="U86" s="130" t="s">
        <v>606</v>
      </c>
      <c r="V86" s="124" t="s">
        <v>545</v>
      </c>
      <c r="W86" s="124" t="s">
        <v>607</v>
      </c>
      <c r="X86" s="124" t="s">
        <v>608</v>
      </c>
      <c r="Y86" s="124" t="s">
        <v>310</v>
      </c>
      <c r="Z86" s="124"/>
      <c r="AA86" s="126" t="s">
        <v>610</v>
      </c>
      <c r="AB86" s="145" t="s">
        <v>489</v>
      </c>
      <c r="AC86" s="156">
        <v>46387</v>
      </c>
      <c r="AD86" s="163">
        <v>46102</v>
      </c>
      <c r="AE86" s="115" t="s">
        <v>609</v>
      </c>
      <c r="AF86" s="163"/>
      <c r="AG86" s="115"/>
      <c r="AH86" s="163"/>
      <c r="AI86" s="115"/>
      <c r="AJ86" s="163"/>
      <c r="AK86" s="115"/>
      <c r="AL86" s="169">
        <f t="shared" si="17"/>
        <v>3</v>
      </c>
      <c r="AM86" s="112">
        <f t="shared" si="18"/>
        <v>5</v>
      </c>
      <c r="AN86" s="171">
        <f t="shared" si="16"/>
        <v>15</v>
      </c>
      <c r="AO86" s="150" t="str">
        <f>_xlfn.IFNA(VLOOKUP(AN86,Parameter!$D$53:$E$77,2),"")</f>
        <v>SEDANG-TINGGI</v>
      </c>
      <c r="AP86" s="167" t="s">
        <v>379</v>
      </c>
      <c r="AQ86" s="116"/>
    </row>
    <row r="87" spans="1:43" ht="396" x14ac:dyDescent="0.3">
      <c r="A87" s="114" t="s">
        <v>48</v>
      </c>
      <c r="B87" s="112">
        <f t="shared" si="7"/>
        <v>73</v>
      </c>
      <c r="C87" s="124" t="s">
        <v>1380</v>
      </c>
      <c r="D87" s="169" t="s">
        <v>311</v>
      </c>
      <c r="E87" s="176" t="s">
        <v>57</v>
      </c>
      <c r="F87" s="118" t="s">
        <v>368</v>
      </c>
      <c r="G87" s="117" t="s">
        <v>377</v>
      </c>
      <c r="H87" s="173" t="s">
        <v>50</v>
      </c>
      <c r="I87" s="127" t="s">
        <v>1368</v>
      </c>
      <c r="J87" s="113" t="s">
        <v>1369</v>
      </c>
      <c r="K87" s="113" t="s">
        <v>1370</v>
      </c>
      <c r="L87" s="113" t="s">
        <v>1371</v>
      </c>
      <c r="M87" s="113" t="s">
        <v>1372</v>
      </c>
      <c r="N87" s="117" t="s">
        <v>385</v>
      </c>
      <c r="O87" s="120" t="s">
        <v>482</v>
      </c>
      <c r="P87" s="119" t="s">
        <v>1373</v>
      </c>
      <c r="Q87" s="112">
        <v>4</v>
      </c>
      <c r="R87" s="112">
        <v>3</v>
      </c>
      <c r="S87" s="147">
        <f t="shared" si="15"/>
        <v>12</v>
      </c>
      <c r="T87" s="150" t="str">
        <f>_xlfn.IFNA(VLOOKUP(S87,Parameter!$D$53:$E$77,2),"")</f>
        <v>SEDANG</v>
      </c>
      <c r="U87" s="130" t="s">
        <v>1374</v>
      </c>
      <c r="V87" s="124" t="s">
        <v>1375</v>
      </c>
      <c r="W87" s="124" t="s">
        <v>1376</v>
      </c>
      <c r="X87" s="124" t="s">
        <v>1377</v>
      </c>
      <c r="Y87" s="124" t="s">
        <v>310</v>
      </c>
      <c r="Z87" s="124" t="s">
        <v>722</v>
      </c>
      <c r="AA87" s="126" t="s">
        <v>1381</v>
      </c>
      <c r="AB87" s="111" t="s">
        <v>1379</v>
      </c>
      <c r="AC87" s="156">
        <v>46387</v>
      </c>
      <c r="AD87" s="163">
        <v>46102</v>
      </c>
      <c r="AE87" s="115" t="s">
        <v>1378</v>
      </c>
      <c r="AF87" s="163"/>
      <c r="AG87" s="115"/>
      <c r="AH87" s="163"/>
      <c r="AI87" s="115"/>
      <c r="AJ87" s="163"/>
      <c r="AK87" s="115"/>
      <c r="AL87" s="169">
        <f t="shared" si="17"/>
        <v>4</v>
      </c>
      <c r="AM87" s="112">
        <f t="shared" si="18"/>
        <v>3</v>
      </c>
      <c r="AN87" s="171">
        <f t="shared" si="16"/>
        <v>12</v>
      </c>
      <c r="AO87" s="150" t="str">
        <f>_xlfn.IFNA(VLOOKUP(AN87,Parameter!$D$53:$E$77,2),"")</f>
        <v>SEDANG</v>
      </c>
      <c r="AP87" s="167" t="s">
        <v>379</v>
      </c>
      <c r="AQ87" s="116"/>
    </row>
    <row r="88" spans="1:43" ht="270" x14ac:dyDescent="0.3">
      <c r="A88" s="114" t="s">
        <v>48</v>
      </c>
      <c r="B88" s="112">
        <f t="shared" si="7"/>
        <v>74</v>
      </c>
      <c r="C88" s="124" t="s">
        <v>525</v>
      </c>
      <c r="D88" s="169" t="s">
        <v>298</v>
      </c>
      <c r="E88" s="176" t="s">
        <v>57</v>
      </c>
      <c r="F88" s="118" t="s">
        <v>368</v>
      </c>
      <c r="G88" s="117" t="s">
        <v>49</v>
      </c>
      <c r="H88" s="173" t="s">
        <v>50</v>
      </c>
      <c r="I88" s="127" t="s">
        <v>526</v>
      </c>
      <c r="J88" s="113" t="s">
        <v>527</v>
      </c>
      <c r="K88" s="113" t="s">
        <v>528</v>
      </c>
      <c r="L88" s="113" t="s">
        <v>529</v>
      </c>
      <c r="M88" s="113" t="s">
        <v>530</v>
      </c>
      <c r="N88" s="117" t="s">
        <v>384</v>
      </c>
      <c r="O88" s="120" t="s">
        <v>482</v>
      </c>
      <c r="P88" s="119" t="s">
        <v>531</v>
      </c>
      <c r="Q88" s="112">
        <v>4</v>
      </c>
      <c r="R88" s="112">
        <v>4</v>
      </c>
      <c r="S88" s="147">
        <f t="shared" si="15"/>
        <v>16</v>
      </c>
      <c r="T88" s="150" t="str">
        <f>_xlfn.IFNA(VLOOKUP(S88,Parameter!$D$53:$E$77,2),"")</f>
        <v>SEDANG-TINGGI</v>
      </c>
      <c r="U88" s="130" t="s">
        <v>532</v>
      </c>
      <c r="V88" s="124" t="s">
        <v>533</v>
      </c>
      <c r="W88" s="124" t="s">
        <v>534</v>
      </c>
      <c r="X88" s="124" t="s">
        <v>574</v>
      </c>
      <c r="Y88" s="124" t="s">
        <v>297</v>
      </c>
      <c r="Z88" s="124"/>
      <c r="AA88" s="126" t="s">
        <v>535</v>
      </c>
      <c r="AB88" s="145" t="s">
        <v>489</v>
      </c>
      <c r="AC88" s="156">
        <v>46387</v>
      </c>
      <c r="AD88" s="163">
        <v>46102</v>
      </c>
      <c r="AE88" s="115" t="s">
        <v>536</v>
      </c>
      <c r="AF88" s="163"/>
      <c r="AG88" s="115"/>
      <c r="AH88" s="163"/>
      <c r="AI88" s="115"/>
      <c r="AJ88" s="163"/>
      <c r="AK88" s="115"/>
      <c r="AL88" s="169">
        <v>4</v>
      </c>
      <c r="AM88" s="112">
        <v>3</v>
      </c>
      <c r="AN88" s="171">
        <f t="shared" si="16"/>
        <v>12</v>
      </c>
      <c r="AO88" s="150" t="str">
        <f>_xlfn.IFNA(VLOOKUP(AN88,Parameter!$D$53:$E$77,2),"")</f>
        <v>SEDANG</v>
      </c>
      <c r="AP88" s="167" t="s">
        <v>379</v>
      </c>
      <c r="AQ88" s="116"/>
    </row>
    <row r="89" spans="1:43" ht="342" x14ac:dyDescent="0.3">
      <c r="A89" s="114" t="s">
        <v>48</v>
      </c>
      <c r="B89" s="112">
        <f t="shared" si="7"/>
        <v>75</v>
      </c>
      <c r="C89" s="124" t="s">
        <v>1769</v>
      </c>
      <c r="D89" s="169" t="s">
        <v>298</v>
      </c>
      <c r="E89" s="176" t="s">
        <v>57</v>
      </c>
      <c r="F89" s="118" t="s">
        <v>368</v>
      </c>
      <c r="G89" s="117" t="s">
        <v>49</v>
      </c>
      <c r="H89" s="173" t="s">
        <v>50</v>
      </c>
      <c r="I89" s="127" t="s">
        <v>1770</v>
      </c>
      <c r="J89" s="113" t="s">
        <v>1771</v>
      </c>
      <c r="K89" s="113" t="s">
        <v>1772</v>
      </c>
      <c r="L89" s="113" t="s">
        <v>1773</v>
      </c>
      <c r="M89" s="113" t="s">
        <v>1774</v>
      </c>
      <c r="N89" s="117" t="s">
        <v>385</v>
      </c>
      <c r="O89" s="120" t="s">
        <v>482</v>
      </c>
      <c r="P89" s="119" t="s">
        <v>1775</v>
      </c>
      <c r="Q89" s="112">
        <v>4</v>
      </c>
      <c r="R89" s="112">
        <v>3</v>
      </c>
      <c r="S89" s="147">
        <f t="shared" si="15"/>
        <v>12</v>
      </c>
      <c r="T89" s="150" t="str">
        <f>_xlfn.IFNA(VLOOKUP(S89,Parameter!$D$53:$E$77,2),"")</f>
        <v>SEDANG</v>
      </c>
      <c r="U89" s="130" t="s">
        <v>1776</v>
      </c>
      <c r="V89" s="124" t="s">
        <v>1777</v>
      </c>
      <c r="W89" s="124" t="s">
        <v>1778</v>
      </c>
      <c r="X89" s="124" t="s">
        <v>1779</v>
      </c>
      <c r="Y89" s="124" t="s">
        <v>297</v>
      </c>
      <c r="Z89" s="124" t="s">
        <v>310</v>
      </c>
      <c r="AA89" s="126" t="s">
        <v>1782</v>
      </c>
      <c r="AB89" s="111" t="s">
        <v>1781</v>
      </c>
      <c r="AC89" s="156">
        <v>46387</v>
      </c>
      <c r="AD89" s="163">
        <v>46102</v>
      </c>
      <c r="AE89" s="115" t="s">
        <v>1780</v>
      </c>
      <c r="AF89" s="163"/>
      <c r="AG89" s="115"/>
      <c r="AH89" s="163"/>
      <c r="AI89" s="115"/>
      <c r="AJ89" s="163"/>
      <c r="AK89" s="115"/>
      <c r="AL89" s="169">
        <f t="shared" ref="AL89:AL104" si="19">Q89</f>
        <v>4</v>
      </c>
      <c r="AM89" s="112">
        <f t="shared" ref="AM89:AM104" si="20">R89</f>
        <v>3</v>
      </c>
      <c r="AN89" s="171">
        <f t="shared" si="16"/>
        <v>12</v>
      </c>
      <c r="AO89" s="150" t="str">
        <f>_xlfn.IFNA(VLOOKUP(AN89,Parameter!$D$53:$E$77,2),"")</f>
        <v>SEDANG</v>
      </c>
      <c r="AP89" s="167" t="s">
        <v>379</v>
      </c>
      <c r="AQ89" s="116"/>
    </row>
    <row r="90" spans="1:43" ht="288" x14ac:dyDescent="0.3">
      <c r="A90" s="114" t="s">
        <v>48</v>
      </c>
      <c r="B90" s="112">
        <f t="shared" si="7"/>
        <v>76</v>
      </c>
      <c r="C90" s="124" t="s">
        <v>781</v>
      </c>
      <c r="D90" s="169" t="s">
        <v>265</v>
      </c>
      <c r="E90" s="176" t="s">
        <v>260</v>
      </c>
      <c r="F90" s="118" t="s">
        <v>368</v>
      </c>
      <c r="G90" s="117" t="s">
        <v>49</v>
      </c>
      <c r="H90" s="173" t="s">
        <v>50</v>
      </c>
      <c r="I90" s="127" t="s">
        <v>782</v>
      </c>
      <c r="J90" s="113" t="s">
        <v>783</v>
      </c>
      <c r="K90" s="113" t="s">
        <v>784</v>
      </c>
      <c r="L90" s="113" t="s">
        <v>785</v>
      </c>
      <c r="M90" s="113" t="s">
        <v>786</v>
      </c>
      <c r="N90" s="117" t="s">
        <v>382</v>
      </c>
      <c r="O90" s="120" t="s">
        <v>787</v>
      </c>
      <c r="P90" s="119" t="s">
        <v>788</v>
      </c>
      <c r="Q90" s="112">
        <v>4</v>
      </c>
      <c r="R90" s="112">
        <v>5</v>
      </c>
      <c r="S90" s="147">
        <f t="shared" si="15"/>
        <v>20</v>
      </c>
      <c r="T90" s="150" t="str">
        <f>_xlfn.IFNA(VLOOKUP(S90,Parameter!$D$53:$E$77,2),"")</f>
        <v>TINGGI</v>
      </c>
      <c r="U90" s="130" t="s">
        <v>789</v>
      </c>
      <c r="V90" s="124" t="s">
        <v>791</v>
      </c>
      <c r="W90" s="124" t="s">
        <v>790</v>
      </c>
      <c r="X90" s="124" t="s">
        <v>792</v>
      </c>
      <c r="Y90" s="124" t="s">
        <v>262</v>
      </c>
      <c r="Z90" s="124"/>
      <c r="AA90" s="126" t="s">
        <v>795</v>
      </c>
      <c r="AB90" s="111" t="s">
        <v>794</v>
      </c>
      <c r="AC90" s="156">
        <v>46387</v>
      </c>
      <c r="AD90" s="163">
        <v>46102</v>
      </c>
      <c r="AE90" s="115" t="s">
        <v>793</v>
      </c>
      <c r="AF90" s="163"/>
      <c r="AG90" s="115"/>
      <c r="AH90" s="163"/>
      <c r="AI90" s="115"/>
      <c r="AJ90" s="163"/>
      <c r="AK90" s="115"/>
      <c r="AL90" s="169">
        <f t="shared" si="19"/>
        <v>4</v>
      </c>
      <c r="AM90" s="112">
        <f t="shared" si="20"/>
        <v>5</v>
      </c>
      <c r="AN90" s="171">
        <f t="shared" si="16"/>
        <v>20</v>
      </c>
      <c r="AO90" s="150" t="str">
        <f>_xlfn.IFNA(VLOOKUP(AN90,Parameter!$D$53:$E$77,2),"")</f>
        <v>TINGGI</v>
      </c>
      <c r="AP90" s="167" t="s">
        <v>379</v>
      </c>
      <c r="AQ90" s="116"/>
    </row>
    <row r="91" spans="1:43" ht="261.60000000000002" customHeight="1" x14ac:dyDescent="0.3">
      <c r="A91" s="114" t="s">
        <v>48</v>
      </c>
      <c r="B91" s="112">
        <f t="shared" si="7"/>
        <v>77</v>
      </c>
      <c r="C91" s="124" t="s">
        <v>1514</v>
      </c>
      <c r="D91" s="169" t="s">
        <v>953</v>
      </c>
      <c r="E91" s="176" t="s">
        <v>256</v>
      </c>
      <c r="F91" s="118" t="s">
        <v>373</v>
      </c>
      <c r="G91" s="117" t="s">
        <v>49</v>
      </c>
      <c r="H91" s="173" t="s">
        <v>50</v>
      </c>
      <c r="I91" s="127" t="s">
        <v>1515</v>
      </c>
      <c r="J91" s="113" t="s">
        <v>1516</v>
      </c>
      <c r="K91" s="113" t="s">
        <v>1517</v>
      </c>
      <c r="L91" s="113" t="s">
        <v>1518</v>
      </c>
      <c r="M91" s="113" t="s">
        <v>1519</v>
      </c>
      <c r="N91" s="117" t="s">
        <v>382</v>
      </c>
      <c r="O91" s="120" t="s">
        <v>1520</v>
      </c>
      <c r="P91" s="119" t="s">
        <v>1521</v>
      </c>
      <c r="Q91" s="112">
        <v>4</v>
      </c>
      <c r="R91" s="112">
        <v>4</v>
      </c>
      <c r="S91" s="147">
        <f t="shared" si="15"/>
        <v>16</v>
      </c>
      <c r="T91" s="150" t="str">
        <f>_xlfn.IFNA(VLOOKUP(S91,Parameter!$D$53:$E$77,2),"")</f>
        <v>SEDANG-TINGGI</v>
      </c>
      <c r="U91" s="130" t="s">
        <v>1522</v>
      </c>
      <c r="V91" s="124" t="s">
        <v>1523</v>
      </c>
      <c r="W91" s="124" t="s">
        <v>1524</v>
      </c>
      <c r="X91" s="124" t="s">
        <v>1525</v>
      </c>
      <c r="Y91" s="124" t="s">
        <v>327</v>
      </c>
      <c r="Z91" s="124" t="s">
        <v>337</v>
      </c>
      <c r="AA91" s="126" t="s">
        <v>1528</v>
      </c>
      <c r="AB91" s="111" t="s">
        <v>1527</v>
      </c>
      <c r="AC91" s="156">
        <v>46387</v>
      </c>
      <c r="AD91" s="163">
        <v>46102</v>
      </c>
      <c r="AE91" s="115" t="s">
        <v>1526</v>
      </c>
      <c r="AF91" s="163"/>
      <c r="AG91" s="115"/>
      <c r="AH91" s="163"/>
      <c r="AI91" s="115"/>
      <c r="AJ91" s="163"/>
      <c r="AK91" s="115"/>
      <c r="AL91" s="169">
        <f t="shared" si="19"/>
        <v>4</v>
      </c>
      <c r="AM91" s="112">
        <f t="shared" si="20"/>
        <v>4</v>
      </c>
      <c r="AN91" s="171">
        <f t="shared" si="16"/>
        <v>16</v>
      </c>
      <c r="AO91" s="150" t="str">
        <f>_xlfn.IFNA(VLOOKUP(AN91,Parameter!$D$53:$E$77,2),"")</f>
        <v>SEDANG-TINGGI</v>
      </c>
      <c r="AP91" s="167" t="s">
        <v>379</v>
      </c>
      <c r="AQ91" s="116"/>
    </row>
    <row r="92" spans="1:43" ht="306" x14ac:dyDescent="0.3">
      <c r="A92" s="114" t="s">
        <v>48</v>
      </c>
      <c r="B92" s="179">
        <f t="shared" si="7"/>
        <v>78</v>
      </c>
      <c r="C92" s="124" t="s">
        <v>1678</v>
      </c>
      <c r="D92" s="169" t="s">
        <v>953</v>
      </c>
      <c r="E92" s="176" t="s">
        <v>260</v>
      </c>
      <c r="F92" s="118" t="s">
        <v>373</v>
      </c>
      <c r="G92" s="117" t="s">
        <v>49</v>
      </c>
      <c r="H92" s="173" t="s">
        <v>50</v>
      </c>
      <c r="I92" s="127" t="s">
        <v>1679</v>
      </c>
      <c r="J92" s="113" t="s">
        <v>1680</v>
      </c>
      <c r="K92" s="113" t="s">
        <v>1681</v>
      </c>
      <c r="L92" s="113" t="s">
        <v>1682</v>
      </c>
      <c r="M92" s="113" t="s">
        <v>1683</v>
      </c>
      <c r="N92" s="117" t="s">
        <v>382</v>
      </c>
      <c r="O92" s="120" t="s">
        <v>1684</v>
      </c>
      <c r="P92" s="119" t="s">
        <v>1685</v>
      </c>
      <c r="Q92" s="112">
        <v>4</v>
      </c>
      <c r="R92" s="112">
        <v>4</v>
      </c>
      <c r="S92" s="147">
        <f t="shared" si="15"/>
        <v>16</v>
      </c>
      <c r="T92" s="150" t="str">
        <f>_xlfn.IFNA(VLOOKUP(S92,Parameter!$D$53:$E$77,2),"")</f>
        <v>SEDANG-TINGGI</v>
      </c>
      <c r="U92" s="130" t="s">
        <v>1686</v>
      </c>
      <c r="V92" s="124" t="s">
        <v>1687</v>
      </c>
      <c r="W92" s="124" t="s">
        <v>1688</v>
      </c>
      <c r="X92" s="124" t="s">
        <v>1689</v>
      </c>
      <c r="Y92" s="124" t="s">
        <v>337</v>
      </c>
      <c r="Z92" s="124"/>
      <c r="AA92" s="126" t="s">
        <v>1691</v>
      </c>
      <c r="AB92" s="111" t="s">
        <v>386</v>
      </c>
      <c r="AC92" s="156">
        <v>46387</v>
      </c>
      <c r="AD92" s="163">
        <v>46102</v>
      </c>
      <c r="AE92" s="115" t="s">
        <v>1690</v>
      </c>
      <c r="AF92" s="163"/>
      <c r="AG92" s="115"/>
      <c r="AH92" s="163"/>
      <c r="AI92" s="115"/>
      <c r="AJ92" s="163"/>
      <c r="AK92" s="115"/>
      <c r="AL92" s="169">
        <f t="shared" si="19"/>
        <v>4</v>
      </c>
      <c r="AM92" s="112">
        <f t="shared" si="20"/>
        <v>4</v>
      </c>
      <c r="AN92" s="171">
        <f t="shared" si="16"/>
        <v>16</v>
      </c>
      <c r="AO92" s="150" t="str">
        <f>_xlfn.IFNA(VLOOKUP(AN92,Parameter!$D$53:$E$77,2),"")</f>
        <v>SEDANG-TINGGI</v>
      </c>
      <c r="AP92" s="167" t="s">
        <v>379</v>
      </c>
      <c r="AQ92" s="116"/>
    </row>
    <row r="93" spans="1:43" ht="396" x14ac:dyDescent="0.3">
      <c r="A93" s="114" t="s">
        <v>48</v>
      </c>
      <c r="B93" s="112">
        <f t="shared" si="7"/>
        <v>79</v>
      </c>
      <c r="C93" s="124" t="s">
        <v>1928</v>
      </c>
      <c r="D93" s="169" t="s">
        <v>953</v>
      </c>
      <c r="E93" s="176" t="s">
        <v>256</v>
      </c>
      <c r="F93" s="118" t="s">
        <v>367</v>
      </c>
      <c r="G93" s="117" t="s">
        <v>49</v>
      </c>
      <c r="H93" s="173" t="s">
        <v>190</v>
      </c>
      <c r="I93" s="127" t="s">
        <v>1929</v>
      </c>
      <c r="J93" s="113" t="s">
        <v>1930</v>
      </c>
      <c r="K93" s="113" t="s">
        <v>1931</v>
      </c>
      <c r="L93" s="113" t="s">
        <v>1932</v>
      </c>
      <c r="M93" s="113" t="s">
        <v>1933</v>
      </c>
      <c r="N93" s="117" t="s">
        <v>384</v>
      </c>
      <c r="O93" s="120" t="s">
        <v>1934</v>
      </c>
      <c r="P93" s="119" t="s">
        <v>1935</v>
      </c>
      <c r="Q93" s="112">
        <v>4</v>
      </c>
      <c r="R93" s="112">
        <v>3</v>
      </c>
      <c r="S93" s="147">
        <f t="shared" si="15"/>
        <v>12</v>
      </c>
      <c r="T93" s="150" t="str">
        <f>_xlfn.IFNA(VLOOKUP(S93,Parameter!$D$53:$E$77,2),"")</f>
        <v>SEDANG</v>
      </c>
      <c r="U93" s="130" t="s">
        <v>1936</v>
      </c>
      <c r="V93" s="124" t="s">
        <v>1937</v>
      </c>
      <c r="W93" s="124" t="s">
        <v>1938</v>
      </c>
      <c r="X93" s="124" t="s">
        <v>1939</v>
      </c>
      <c r="Y93" s="124" t="s">
        <v>327</v>
      </c>
      <c r="Z93" s="124"/>
      <c r="AA93" s="126" t="s">
        <v>1942</v>
      </c>
      <c r="AB93" s="145" t="s">
        <v>1940</v>
      </c>
      <c r="AC93" s="156">
        <v>46387</v>
      </c>
      <c r="AD93" s="163">
        <v>46102</v>
      </c>
      <c r="AE93" s="115" t="s">
        <v>1941</v>
      </c>
      <c r="AF93" s="163"/>
      <c r="AG93" s="115"/>
      <c r="AH93" s="163"/>
      <c r="AI93" s="115"/>
      <c r="AJ93" s="163"/>
      <c r="AK93" s="115"/>
      <c r="AL93" s="169">
        <f t="shared" si="19"/>
        <v>4</v>
      </c>
      <c r="AM93" s="112">
        <f t="shared" si="20"/>
        <v>3</v>
      </c>
      <c r="AN93" s="171">
        <f t="shared" si="16"/>
        <v>12</v>
      </c>
      <c r="AO93" s="150" t="str">
        <f>_xlfn.IFNA(VLOOKUP(AN93,Parameter!$D$53:$E$77,2),"")</f>
        <v>SEDANG</v>
      </c>
      <c r="AP93" s="167" t="s">
        <v>379</v>
      </c>
      <c r="AQ93" s="116"/>
    </row>
    <row r="94" spans="1:43" ht="378" x14ac:dyDescent="0.3">
      <c r="A94" s="114" t="s">
        <v>48</v>
      </c>
      <c r="B94" s="112">
        <f t="shared" si="7"/>
        <v>80</v>
      </c>
      <c r="C94" s="124" t="s">
        <v>1913</v>
      </c>
      <c r="D94" s="169" t="s">
        <v>278</v>
      </c>
      <c r="E94" s="176" t="s">
        <v>256</v>
      </c>
      <c r="F94" s="118" t="s">
        <v>368</v>
      </c>
      <c r="G94" s="117" t="s">
        <v>49</v>
      </c>
      <c r="H94" s="173" t="s">
        <v>50</v>
      </c>
      <c r="I94" s="127" t="s">
        <v>1914</v>
      </c>
      <c r="J94" s="113" t="s">
        <v>1915</v>
      </c>
      <c r="K94" s="113" t="s">
        <v>1916</v>
      </c>
      <c r="L94" s="113" t="s">
        <v>1917</v>
      </c>
      <c r="M94" s="113" t="s">
        <v>1918</v>
      </c>
      <c r="N94" s="117" t="s">
        <v>382</v>
      </c>
      <c r="O94" s="120" t="s">
        <v>1919</v>
      </c>
      <c r="P94" s="119" t="s">
        <v>1920</v>
      </c>
      <c r="Q94" s="112">
        <v>3</v>
      </c>
      <c r="R94" s="112">
        <v>4</v>
      </c>
      <c r="S94" s="147">
        <f t="shared" si="15"/>
        <v>12</v>
      </c>
      <c r="T94" s="150" t="str">
        <f>_xlfn.IFNA(VLOOKUP(S94,Parameter!$D$53:$E$77,2),"")</f>
        <v>SEDANG</v>
      </c>
      <c r="U94" s="130" t="s">
        <v>1921</v>
      </c>
      <c r="V94" s="124" t="s">
        <v>1922</v>
      </c>
      <c r="W94" s="124" t="s">
        <v>1923</v>
      </c>
      <c r="X94" s="124" t="s">
        <v>1924</v>
      </c>
      <c r="Y94" s="124" t="s">
        <v>327</v>
      </c>
      <c r="Z94" s="124" t="s">
        <v>337</v>
      </c>
      <c r="AA94" s="126" t="s">
        <v>1927</v>
      </c>
      <c r="AB94" s="111" t="s">
        <v>1926</v>
      </c>
      <c r="AC94" s="156">
        <v>46387</v>
      </c>
      <c r="AD94" s="163">
        <v>46102</v>
      </c>
      <c r="AE94" s="115" t="s">
        <v>1925</v>
      </c>
      <c r="AF94" s="163"/>
      <c r="AG94" s="115"/>
      <c r="AH94" s="163"/>
      <c r="AI94" s="115"/>
      <c r="AJ94" s="163"/>
      <c r="AK94" s="115"/>
      <c r="AL94" s="169">
        <f t="shared" si="19"/>
        <v>3</v>
      </c>
      <c r="AM94" s="112">
        <f t="shared" si="20"/>
        <v>4</v>
      </c>
      <c r="AN94" s="171">
        <f t="shared" si="16"/>
        <v>12</v>
      </c>
      <c r="AO94" s="150" t="str">
        <f>_xlfn.IFNA(VLOOKUP(AN94,Parameter!$D$53:$E$77,2),"")</f>
        <v>SEDANG</v>
      </c>
      <c r="AP94" s="167" t="s">
        <v>379</v>
      </c>
      <c r="AQ94" s="116"/>
    </row>
    <row r="95" spans="1:43" ht="270" x14ac:dyDescent="0.3">
      <c r="A95" s="114" t="s">
        <v>48</v>
      </c>
      <c r="B95" s="112">
        <f t="shared" si="7"/>
        <v>81</v>
      </c>
      <c r="C95" s="124" t="s">
        <v>623</v>
      </c>
      <c r="D95" s="169" t="s">
        <v>624</v>
      </c>
      <c r="E95" s="176" t="s">
        <v>260</v>
      </c>
      <c r="F95" s="118" t="s">
        <v>368</v>
      </c>
      <c r="G95" s="117" t="s">
        <v>49</v>
      </c>
      <c r="H95" s="173" t="s">
        <v>50</v>
      </c>
      <c r="I95" s="127" t="s">
        <v>625</v>
      </c>
      <c r="J95" s="113" t="s">
        <v>626</v>
      </c>
      <c r="K95" s="113" t="s">
        <v>627</v>
      </c>
      <c r="L95" s="113" t="s">
        <v>628</v>
      </c>
      <c r="M95" s="113" t="s">
        <v>629</v>
      </c>
      <c r="N95" s="117" t="s">
        <v>363</v>
      </c>
      <c r="O95" s="120" t="s">
        <v>630</v>
      </c>
      <c r="P95" s="119" t="s">
        <v>631</v>
      </c>
      <c r="Q95" s="112">
        <v>3</v>
      </c>
      <c r="R95" s="112">
        <v>3</v>
      </c>
      <c r="S95" s="147">
        <f t="shared" si="15"/>
        <v>9</v>
      </c>
      <c r="T95" s="150" t="str">
        <f>_xlfn.IFNA(VLOOKUP(S95,Parameter!$D$53:$E$77,2),"")</f>
        <v>SEDANG-RENDAH</v>
      </c>
      <c r="U95" s="130" t="s">
        <v>632</v>
      </c>
      <c r="V95" s="124" t="s">
        <v>633</v>
      </c>
      <c r="W95" s="124" t="s">
        <v>634</v>
      </c>
      <c r="X95" s="124" t="s">
        <v>635</v>
      </c>
      <c r="Y95" s="124" t="s">
        <v>325</v>
      </c>
      <c r="Z95" s="124" t="s">
        <v>317</v>
      </c>
      <c r="AA95" s="126" t="s">
        <v>637</v>
      </c>
      <c r="AB95" s="145" t="s">
        <v>489</v>
      </c>
      <c r="AC95" s="156">
        <v>46387</v>
      </c>
      <c r="AD95" s="163">
        <v>46102</v>
      </c>
      <c r="AE95" s="115" t="s">
        <v>636</v>
      </c>
      <c r="AF95" s="163"/>
      <c r="AG95" s="115"/>
      <c r="AH95" s="163"/>
      <c r="AI95" s="115"/>
      <c r="AJ95" s="163"/>
      <c r="AK95" s="115"/>
      <c r="AL95" s="169">
        <f t="shared" si="19"/>
        <v>3</v>
      </c>
      <c r="AM95" s="112">
        <f t="shared" si="20"/>
        <v>3</v>
      </c>
      <c r="AN95" s="171">
        <f t="shared" si="16"/>
        <v>9</v>
      </c>
      <c r="AO95" s="150" t="str">
        <f>_xlfn.IFNA(VLOOKUP(AN95,Parameter!$D$53:$E$77,2),"")</f>
        <v>SEDANG-RENDAH</v>
      </c>
      <c r="AP95" s="167" t="s">
        <v>379</v>
      </c>
      <c r="AQ95" s="116"/>
    </row>
    <row r="96" spans="1:43" ht="342" x14ac:dyDescent="0.3">
      <c r="A96" s="114" t="s">
        <v>48</v>
      </c>
      <c r="B96" s="112">
        <f t="shared" si="7"/>
        <v>82</v>
      </c>
      <c r="C96" s="124" t="s">
        <v>1257</v>
      </c>
      <c r="D96" s="169" t="s">
        <v>295</v>
      </c>
      <c r="E96" s="176" t="s">
        <v>260</v>
      </c>
      <c r="F96" s="118" t="s">
        <v>368</v>
      </c>
      <c r="G96" s="117" t="s">
        <v>49</v>
      </c>
      <c r="H96" s="173" t="s">
        <v>190</v>
      </c>
      <c r="I96" s="127" t="s">
        <v>1258</v>
      </c>
      <c r="J96" s="113" t="s">
        <v>1259</v>
      </c>
      <c r="K96" s="113" t="s">
        <v>1260</v>
      </c>
      <c r="L96" s="113" t="s">
        <v>1261</v>
      </c>
      <c r="M96" s="113" t="s">
        <v>1262</v>
      </c>
      <c r="N96" s="117" t="s">
        <v>385</v>
      </c>
      <c r="O96" s="120" t="s">
        <v>1263</v>
      </c>
      <c r="P96" s="119" t="s">
        <v>1264</v>
      </c>
      <c r="Q96" s="112">
        <v>4</v>
      </c>
      <c r="R96" s="112">
        <v>4</v>
      </c>
      <c r="S96" s="147">
        <f t="shared" si="15"/>
        <v>16</v>
      </c>
      <c r="T96" s="150" t="str">
        <f>_xlfn.IFNA(VLOOKUP(S96,Parameter!$D$53:$E$77,2),"")</f>
        <v>SEDANG-TINGGI</v>
      </c>
      <c r="U96" s="130" t="s">
        <v>1265</v>
      </c>
      <c r="V96" s="124" t="s">
        <v>1266</v>
      </c>
      <c r="W96" s="124" t="s">
        <v>1267</v>
      </c>
      <c r="X96" s="124" t="s">
        <v>1268</v>
      </c>
      <c r="Y96" s="124" t="s">
        <v>327</v>
      </c>
      <c r="Z96" s="124"/>
      <c r="AA96" s="126" t="s">
        <v>1271</v>
      </c>
      <c r="AB96" s="145" t="s">
        <v>1270</v>
      </c>
      <c r="AC96" s="156">
        <v>46387</v>
      </c>
      <c r="AD96" s="163">
        <v>46102</v>
      </c>
      <c r="AE96" s="115" t="s">
        <v>1269</v>
      </c>
      <c r="AF96" s="165"/>
      <c r="AG96" s="115"/>
      <c r="AH96" s="165"/>
      <c r="AI96" s="115"/>
      <c r="AJ96" s="165"/>
      <c r="AK96" s="115"/>
      <c r="AL96" s="169">
        <f t="shared" si="19"/>
        <v>4</v>
      </c>
      <c r="AM96" s="112">
        <f t="shared" si="20"/>
        <v>4</v>
      </c>
      <c r="AN96" s="171">
        <f t="shared" si="16"/>
        <v>16</v>
      </c>
      <c r="AO96" s="150" t="str">
        <f>_xlfn.IFNA(VLOOKUP(AN96,Parameter!$D$53:$E$77,2),"")</f>
        <v>SEDANG-TINGGI</v>
      </c>
      <c r="AP96" s="167" t="s">
        <v>379</v>
      </c>
      <c r="AQ96" s="116"/>
    </row>
    <row r="97" spans="1:43" ht="342" x14ac:dyDescent="0.3">
      <c r="A97" s="114" t="s">
        <v>48</v>
      </c>
      <c r="B97" s="112">
        <f t="shared" si="7"/>
        <v>83</v>
      </c>
      <c r="C97" s="124" t="s">
        <v>1470</v>
      </c>
      <c r="D97" s="169" t="s">
        <v>962</v>
      </c>
      <c r="E97" s="176" t="s">
        <v>260</v>
      </c>
      <c r="F97" s="118" t="s">
        <v>368</v>
      </c>
      <c r="G97" s="117" t="s">
        <v>49</v>
      </c>
      <c r="H97" s="173" t="s">
        <v>50</v>
      </c>
      <c r="I97" s="127" t="s">
        <v>1471</v>
      </c>
      <c r="J97" s="113" t="s">
        <v>1472</v>
      </c>
      <c r="K97" s="113" t="s">
        <v>1473</v>
      </c>
      <c r="L97" s="113" t="s">
        <v>1474</v>
      </c>
      <c r="M97" s="113" t="s">
        <v>1475</v>
      </c>
      <c r="N97" s="117" t="s">
        <v>382</v>
      </c>
      <c r="O97" s="120" t="s">
        <v>1476</v>
      </c>
      <c r="P97" s="119" t="s">
        <v>1477</v>
      </c>
      <c r="Q97" s="112">
        <v>3</v>
      </c>
      <c r="R97" s="112">
        <v>3</v>
      </c>
      <c r="S97" s="147">
        <f t="shared" si="15"/>
        <v>9</v>
      </c>
      <c r="T97" s="150" t="str">
        <f>_xlfn.IFNA(VLOOKUP(S97,Parameter!$D$53:$E$77,2),"")</f>
        <v>SEDANG-RENDAH</v>
      </c>
      <c r="U97" s="130" t="s">
        <v>1478</v>
      </c>
      <c r="V97" s="124" t="s">
        <v>1479</v>
      </c>
      <c r="W97" s="124" t="s">
        <v>1480</v>
      </c>
      <c r="X97" s="124" t="s">
        <v>1481</v>
      </c>
      <c r="Y97" s="124" t="s">
        <v>345</v>
      </c>
      <c r="Z97" s="124"/>
      <c r="AA97" s="126" t="s">
        <v>1484</v>
      </c>
      <c r="AB97" s="145" t="s">
        <v>1483</v>
      </c>
      <c r="AC97" s="156">
        <v>46387</v>
      </c>
      <c r="AD97" s="163">
        <v>46102</v>
      </c>
      <c r="AE97" s="115" t="s">
        <v>1482</v>
      </c>
      <c r="AF97" s="163"/>
      <c r="AG97" s="115"/>
      <c r="AH97" s="163"/>
      <c r="AI97" s="115"/>
      <c r="AJ97" s="163"/>
      <c r="AK97" s="115"/>
      <c r="AL97" s="169">
        <f t="shared" si="19"/>
        <v>3</v>
      </c>
      <c r="AM97" s="112">
        <f t="shared" si="20"/>
        <v>3</v>
      </c>
      <c r="AN97" s="171">
        <f t="shared" si="16"/>
        <v>9</v>
      </c>
      <c r="AO97" s="150" t="str">
        <f>_xlfn.IFNA(VLOOKUP(AN97,Parameter!$D$53:$E$77,2),"")</f>
        <v>SEDANG-RENDAH</v>
      </c>
      <c r="AP97" s="167" t="s">
        <v>379</v>
      </c>
      <c r="AQ97" s="116"/>
    </row>
    <row r="98" spans="1:43" ht="216" x14ac:dyDescent="0.3">
      <c r="A98" s="114" t="s">
        <v>48</v>
      </c>
      <c r="B98" s="112">
        <f t="shared" si="7"/>
        <v>84</v>
      </c>
      <c r="C98" s="124" t="s">
        <v>726</v>
      </c>
      <c r="D98" s="169" t="s">
        <v>727</v>
      </c>
      <c r="E98" s="176" t="s">
        <v>256</v>
      </c>
      <c r="F98" s="118" t="s">
        <v>368</v>
      </c>
      <c r="G98" s="117" t="s">
        <v>49</v>
      </c>
      <c r="H98" s="173" t="s">
        <v>50</v>
      </c>
      <c r="I98" s="127" t="s">
        <v>728</v>
      </c>
      <c r="J98" s="113" t="s">
        <v>729</v>
      </c>
      <c r="K98" s="113" t="s">
        <v>730</v>
      </c>
      <c r="L98" s="113" t="s">
        <v>731</v>
      </c>
      <c r="M98" s="113" t="s">
        <v>732</v>
      </c>
      <c r="N98" s="117" t="s">
        <v>382</v>
      </c>
      <c r="O98" s="120" t="s">
        <v>733</v>
      </c>
      <c r="P98" s="119" t="s">
        <v>734</v>
      </c>
      <c r="Q98" s="112">
        <v>3</v>
      </c>
      <c r="R98" s="112">
        <v>5</v>
      </c>
      <c r="S98" s="147">
        <f t="shared" si="15"/>
        <v>15</v>
      </c>
      <c r="T98" s="150" t="str">
        <f>_xlfn.IFNA(VLOOKUP(S98,Parameter!$D$53:$E$77,2),"")</f>
        <v>SEDANG-TINGGI</v>
      </c>
      <c r="U98" s="130" t="s">
        <v>735</v>
      </c>
      <c r="V98" s="124" t="s">
        <v>736</v>
      </c>
      <c r="W98" s="124" t="s">
        <v>737</v>
      </c>
      <c r="X98" s="124" t="s">
        <v>738</v>
      </c>
      <c r="Y98" s="124" t="s">
        <v>262</v>
      </c>
      <c r="Z98" s="124" t="s">
        <v>267</v>
      </c>
      <c r="AA98" s="126" t="s">
        <v>739</v>
      </c>
      <c r="AB98" s="111" t="s">
        <v>740</v>
      </c>
      <c r="AC98" s="156">
        <v>46387</v>
      </c>
      <c r="AD98" s="163">
        <v>46102</v>
      </c>
      <c r="AE98" s="115" t="s">
        <v>741</v>
      </c>
      <c r="AF98" s="163"/>
      <c r="AG98" s="115"/>
      <c r="AH98" s="163"/>
      <c r="AI98" s="115"/>
      <c r="AJ98" s="163"/>
      <c r="AK98" s="115"/>
      <c r="AL98" s="169">
        <f t="shared" si="19"/>
        <v>3</v>
      </c>
      <c r="AM98" s="112">
        <f t="shared" si="20"/>
        <v>5</v>
      </c>
      <c r="AN98" s="171">
        <f t="shared" si="16"/>
        <v>15</v>
      </c>
      <c r="AO98" s="150" t="str">
        <f>_xlfn.IFNA(VLOOKUP(AN98,Parameter!$D$53:$E$77,2),"")</f>
        <v>SEDANG-TINGGI</v>
      </c>
      <c r="AP98" s="167" t="s">
        <v>379</v>
      </c>
      <c r="AQ98" s="116"/>
    </row>
    <row r="99" spans="1:43" ht="396" x14ac:dyDescent="0.3">
      <c r="A99" s="114" t="s">
        <v>48</v>
      </c>
      <c r="B99" s="112">
        <f t="shared" si="7"/>
        <v>85</v>
      </c>
      <c r="C99" s="124" t="s">
        <v>1731</v>
      </c>
      <c r="D99" s="169" t="s">
        <v>727</v>
      </c>
      <c r="E99" s="176" t="s">
        <v>256</v>
      </c>
      <c r="F99" s="118" t="s">
        <v>368</v>
      </c>
      <c r="G99" s="117" t="s">
        <v>49</v>
      </c>
      <c r="H99" s="173" t="s">
        <v>50</v>
      </c>
      <c r="I99" s="127" t="s">
        <v>1732</v>
      </c>
      <c r="J99" s="113" t="s">
        <v>1732</v>
      </c>
      <c r="K99" s="113" t="s">
        <v>1733</v>
      </c>
      <c r="L99" s="113" t="s">
        <v>1734</v>
      </c>
      <c r="M99" s="113" t="s">
        <v>1735</v>
      </c>
      <c r="N99" s="117" t="s">
        <v>384</v>
      </c>
      <c r="O99" s="120" t="s">
        <v>482</v>
      </c>
      <c r="P99" s="119" t="s">
        <v>1563</v>
      </c>
      <c r="Q99" s="112">
        <v>3</v>
      </c>
      <c r="R99" s="112">
        <v>4</v>
      </c>
      <c r="S99" s="147">
        <f t="shared" si="15"/>
        <v>12</v>
      </c>
      <c r="T99" s="150" t="str">
        <f>_xlfn.IFNA(VLOOKUP(S99,Parameter!$D$53:$E$77,2),"")</f>
        <v>SEDANG</v>
      </c>
      <c r="U99" s="130" t="s">
        <v>1736</v>
      </c>
      <c r="V99" s="124" t="s">
        <v>1737</v>
      </c>
      <c r="W99" s="124" t="s">
        <v>1738</v>
      </c>
      <c r="X99" s="124" t="s">
        <v>1739</v>
      </c>
      <c r="Y99" s="124" t="s">
        <v>337</v>
      </c>
      <c r="Z99" s="124" t="s">
        <v>267</v>
      </c>
      <c r="AA99" s="126" t="s">
        <v>1741</v>
      </c>
      <c r="AB99" s="111" t="s">
        <v>1742</v>
      </c>
      <c r="AC99" s="156">
        <v>46387</v>
      </c>
      <c r="AD99" s="163">
        <v>46102</v>
      </c>
      <c r="AE99" s="115" t="s">
        <v>1740</v>
      </c>
      <c r="AF99" s="163"/>
      <c r="AG99" s="115"/>
      <c r="AH99" s="163"/>
      <c r="AI99" s="115"/>
      <c r="AJ99" s="163"/>
      <c r="AK99" s="115"/>
      <c r="AL99" s="169">
        <f t="shared" si="19"/>
        <v>3</v>
      </c>
      <c r="AM99" s="112">
        <f t="shared" si="20"/>
        <v>4</v>
      </c>
      <c r="AN99" s="171">
        <f t="shared" si="16"/>
        <v>12</v>
      </c>
      <c r="AO99" s="150" t="str">
        <f>_xlfn.IFNA(VLOOKUP(AN99,Parameter!$D$53:$E$77,2),"")</f>
        <v>SEDANG</v>
      </c>
      <c r="AP99" s="167" t="s">
        <v>379</v>
      </c>
      <c r="AQ99" s="116"/>
    </row>
    <row r="100" spans="1:43" ht="378" x14ac:dyDescent="0.3">
      <c r="A100" s="114" t="s">
        <v>48</v>
      </c>
      <c r="B100" s="112">
        <f t="shared" si="7"/>
        <v>86</v>
      </c>
      <c r="C100" s="124" t="s">
        <v>1557</v>
      </c>
      <c r="D100" s="169" t="s">
        <v>727</v>
      </c>
      <c r="E100" s="176" t="s">
        <v>256</v>
      </c>
      <c r="F100" s="118" t="s">
        <v>368</v>
      </c>
      <c r="G100" s="117" t="s">
        <v>49</v>
      </c>
      <c r="H100" s="173" t="s">
        <v>50</v>
      </c>
      <c r="I100" s="127" t="s">
        <v>1558</v>
      </c>
      <c r="J100" s="113" t="s">
        <v>1559</v>
      </c>
      <c r="K100" s="113" t="s">
        <v>1560</v>
      </c>
      <c r="L100" s="113" t="s">
        <v>1561</v>
      </c>
      <c r="M100" s="113" t="s">
        <v>1562</v>
      </c>
      <c r="N100" s="117" t="s">
        <v>384</v>
      </c>
      <c r="O100" s="120" t="s">
        <v>747</v>
      </c>
      <c r="P100" s="119" t="s">
        <v>1563</v>
      </c>
      <c r="Q100" s="112">
        <v>3</v>
      </c>
      <c r="R100" s="112">
        <v>3</v>
      </c>
      <c r="S100" s="147">
        <f t="shared" si="15"/>
        <v>9</v>
      </c>
      <c r="T100" s="150" t="str">
        <f>_xlfn.IFNA(VLOOKUP(S100,Parameter!$D$53:$E$77,2),"")</f>
        <v>SEDANG-RENDAH</v>
      </c>
      <c r="U100" s="130" t="s">
        <v>1564</v>
      </c>
      <c r="V100" s="124" t="s">
        <v>1565</v>
      </c>
      <c r="W100" s="124" t="s">
        <v>1566</v>
      </c>
      <c r="X100" s="124" t="s">
        <v>1567</v>
      </c>
      <c r="Y100" s="124" t="s">
        <v>337</v>
      </c>
      <c r="Z100" s="124"/>
      <c r="AA100" s="126" t="s">
        <v>1570</v>
      </c>
      <c r="AB100" s="111" t="s">
        <v>1569</v>
      </c>
      <c r="AC100" s="156">
        <v>46387</v>
      </c>
      <c r="AD100" s="163">
        <v>46102</v>
      </c>
      <c r="AE100" s="115" t="s">
        <v>1568</v>
      </c>
      <c r="AF100" s="163"/>
      <c r="AG100" s="115"/>
      <c r="AH100" s="163"/>
      <c r="AI100" s="115"/>
      <c r="AJ100" s="163"/>
      <c r="AK100" s="115"/>
      <c r="AL100" s="169">
        <f t="shared" si="19"/>
        <v>3</v>
      </c>
      <c r="AM100" s="112">
        <f t="shared" si="20"/>
        <v>3</v>
      </c>
      <c r="AN100" s="171">
        <f t="shared" si="16"/>
        <v>9</v>
      </c>
      <c r="AO100" s="150" t="str">
        <f>_xlfn.IFNA(VLOOKUP(AN100,Parameter!$D$53:$E$77,2),"")</f>
        <v>SEDANG-RENDAH</v>
      </c>
      <c r="AP100" s="167" t="s">
        <v>379</v>
      </c>
      <c r="AQ100" s="116"/>
    </row>
    <row r="101" spans="1:43" ht="378" x14ac:dyDescent="0.3">
      <c r="A101" s="114" t="s">
        <v>48</v>
      </c>
      <c r="B101" s="112">
        <f t="shared" si="7"/>
        <v>87</v>
      </c>
      <c r="C101" s="124" t="s">
        <v>1957</v>
      </c>
      <c r="D101" s="169" t="s">
        <v>727</v>
      </c>
      <c r="E101" s="176" t="s">
        <v>256</v>
      </c>
      <c r="F101" s="118" t="s">
        <v>368</v>
      </c>
      <c r="G101" s="117" t="s">
        <v>49</v>
      </c>
      <c r="H101" s="173" t="s">
        <v>50</v>
      </c>
      <c r="I101" s="127" t="s">
        <v>1958</v>
      </c>
      <c r="J101" s="113" t="s">
        <v>1959</v>
      </c>
      <c r="K101" s="113" t="s">
        <v>1960</v>
      </c>
      <c r="L101" s="113" t="s">
        <v>1961</v>
      </c>
      <c r="M101" s="113" t="s">
        <v>1962</v>
      </c>
      <c r="N101" s="117" t="s">
        <v>384</v>
      </c>
      <c r="O101" s="120" t="s">
        <v>747</v>
      </c>
      <c r="P101" s="119" t="s">
        <v>1963</v>
      </c>
      <c r="Q101" s="112">
        <v>3</v>
      </c>
      <c r="R101" s="112">
        <v>5</v>
      </c>
      <c r="S101" s="147">
        <f t="shared" si="15"/>
        <v>15</v>
      </c>
      <c r="T101" s="150" t="str">
        <f>_xlfn.IFNA(VLOOKUP(S101,Parameter!$D$53:$E$77,2),"")</f>
        <v>SEDANG-TINGGI</v>
      </c>
      <c r="U101" s="130" t="s">
        <v>1964</v>
      </c>
      <c r="V101" s="124" t="s">
        <v>1965</v>
      </c>
      <c r="W101" s="124" t="s">
        <v>1966</v>
      </c>
      <c r="X101" s="124" t="s">
        <v>1967</v>
      </c>
      <c r="Y101" s="124" t="s">
        <v>267</v>
      </c>
      <c r="Z101" s="124"/>
      <c r="AA101" s="126" t="s">
        <v>1970</v>
      </c>
      <c r="AB101" s="111" t="s">
        <v>1969</v>
      </c>
      <c r="AC101" s="156">
        <v>46387</v>
      </c>
      <c r="AD101" s="163">
        <v>46102</v>
      </c>
      <c r="AE101" s="115" t="s">
        <v>1968</v>
      </c>
      <c r="AF101" s="163"/>
      <c r="AG101" s="115"/>
      <c r="AH101" s="163"/>
      <c r="AI101" s="115"/>
      <c r="AJ101" s="163"/>
      <c r="AK101" s="115"/>
      <c r="AL101" s="169">
        <f t="shared" si="19"/>
        <v>3</v>
      </c>
      <c r="AM101" s="112">
        <f t="shared" si="20"/>
        <v>5</v>
      </c>
      <c r="AN101" s="171">
        <f t="shared" si="16"/>
        <v>15</v>
      </c>
      <c r="AO101" s="150" t="str">
        <f>_xlfn.IFNA(VLOOKUP(AN101,Parameter!$D$53:$E$77,2),"")</f>
        <v>SEDANG-TINGGI</v>
      </c>
      <c r="AP101" s="167" t="s">
        <v>379</v>
      </c>
      <c r="AQ101" s="116"/>
    </row>
    <row r="102" spans="1:43" ht="270" x14ac:dyDescent="0.3">
      <c r="A102" s="114" t="s">
        <v>48</v>
      </c>
      <c r="B102" s="112">
        <f t="shared" ref="B102:B127" si="21">ROW()-ROW($B$14)</f>
        <v>88</v>
      </c>
      <c r="C102" s="124" t="s">
        <v>906</v>
      </c>
      <c r="D102" s="169" t="s">
        <v>343</v>
      </c>
      <c r="E102" s="176" t="s">
        <v>256</v>
      </c>
      <c r="F102" s="118" t="s">
        <v>368</v>
      </c>
      <c r="G102" s="117" t="s">
        <v>49</v>
      </c>
      <c r="H102" s="173" t="s">
        <v>50</v>
      </c>
      <c r="I102" s="127" t="s">
        <v>907</v>
      </c>
      <c r="J102" s="113" t="s">
        <v>908</v>
      </c>
      <c r="K102" s="113" t="s">
        <v>909</v>
      </c>
      <c r="L102" s="113" t="s">
        <v>910</v>
      </c>
      <c r="M102" s="113" t="s">
        <v>911</v>
      </c>
      <c r="N102" s="117" t="s">
        <v>384</v>
      </c>
      <c r="O102" s="120" t="s">
        <v>912</v>
      </c>
      <c r="P102" s="119" t="s">
        <v>975</v>
      </c>
      <c r="Q102" s="112">
        <v>4</v>
      </c>
      <c r="R102" s="112">
        <v>3</v>
      </c>
      <c r="S102" s="147">
        <f t="shared" si="15"/>
        <v>12</v>
      </c>
      <c r="T102" s="150" t="str">
        <f>_xlfn.IFNA(VLOOKUP(S102,Parameter!$D$53:$E$77,2),"")</f>
        <v>SEDANG</v>
      </c>
      <c r="U102" s="130" t="s">
        <v>913</v>
      </c>
      <c r="V102" s="124" t="s">
        <v>914</v>
      </c>
      <c r="W102" s="124" t="s">
        <v>915</v>
      </c>
      <c r="X102" s="124" t="s">
        <v>916</v>
      </c>
      <c r="Y102" s="124" t="s">
        <v>337</v>
      </c>
      <c r="Z102" s="124"/>
      <c r="AA102" s="126" t="s">
        <v>919</v>
      </c>
      <c r="AB102" s="111" t="s">
        <v>918</v>
      </c>
      <c r="AC102" s="156">
        <v>46387</v>
      </c>
      <c r="AD102" s="163">
        <v>46102</v>
      </c>
      <c r="AE102" s="115" t="s">
        <v>917</v>
      </c>
      <c r="AF102" s="163"/>
      <c r="AG102" s="115"/>
      <c r="AH102" s="163"/>
      <c r="AI102" s="115"/>
      <c r="AJ102" s="163"/>
      <c r="AK102" s="115"/>
      <c r="AL102" s="169">
        <f t="shared" si="19"/>
        <v>4</v>
      </c>
      <c r="AM102" s="112">
        <f t="shared" si="20"/>
        <v>3</v>
      </c>
      <c r="AN102" s="171">
        <f t="shared" si="16"/>
        <v>12</v>
      </c>
      <c r="AO102" s="150" t="str">
        <f>_xlfn.IFNA(VLOOKUP(AN102,Parameter!$D$53:$E$77,2),"")</f>
        <v>SEDANG</v>
      </c>
      <c r="AP102" s="167" t="s">
        <v>379</v>
      </c>
      <c r="AQ102" s="116"/>
    </row>
    <row r="103" spans="1:43" ht="108" x14ac:dyDescent="0.3">
      <c r="A103" s="114" t="s">
        <v>48</v>
      </c>
      <c r="B103" s="112">
        <f t="shared" si="21"/>
        <v>89</v>
      </c>
      <c r="C103" s="124" t="s">
        <v>413</v>
      </c>
      <c r="D103" s="169" t="s">
        <v>291</v>
      </c>
      <c r="E103" s="176" t="s">
        <v>52</v>
      </c>
      <c r="F103" s="118" t="s">
        <v>368</v>
      </c>
      <c r="G103" s="117" t="s">
        <v>49</v>
      </c>
      <c r="H103" s="173" t="s">
        <v>50</v>
      </c>
      <c r="I103" s="127" t="s">
        <v>414</v>
      </c>
      <c r="J103" s="113" t="s">
        <v>415</v>
      </c>
      <c r="K103" s="113" t="s">
        <v>416</v>
      </c>
      <c r="L103" s="113" t="s">
        <v>417</v>
      </c>
      <c r="M103" s="113" t="s">
        <v>418</v>
      </c>
      <c r="N103" s="117" t="s">
        <v>385</v>
      </c>
      <c r="O103" s="120" t="s">
        <v>405</v>
      </c>
      <c r="P103" s="119" t="s">
        <v>419</v>
      </c>
      <c r="Q103" s="112">
        <v>4</v>
      </c>
      <c r="R103" s="112">
        <v>4</v>
      </c>
      <c r="S103" s="147">
        <f t="shared" si="15"/>
        <v>16</v>
      </c>
      <c r="T103" s="150" t="str">
        <f>_xlfn.IFNA(VLOOKUP(S103,Parameter!$D$53:$E$77,2),"")</f>
        <v>SEDANG-TINGGI</v>
      </c>
      <c r="U103" s="130" t="s">
        <v>420</v>
      </c>
      <c r="V103" s="124" t="s">
        <v>421</v>
      </c>
      <c r="W103" s="124" t="s">
        <v>422</v>
      </c>
      <c r="X103" s="124" t="s">
        <v>423</v>
      </c>
      <c r="Y103" s="124" t="s">
        <v>290</v>
      </c>
      <c r="Z103" s="124"/>
      <c r="AA103" s="126" t="s">
        <v>425</v>
      </c>
      <c r="AB103" s="111" t="s">
        <v>294</v>
      </c>
      <c r="AC103" s="156">
        <v>46387</v>
      </c>
      <c r="AD103" s="163">
        <v>46102</v>
      </c>
      <c r="AE103" s="115" t="s">
        <v>424</v>
      </c>
      <c r="AF103" s="163"/>
      <c r="AG103" s="115"/>
      <c r="AH103" s="163"/>
      <c r="AI103" s="115"/>
      <c r="AJ103" s="163"/>
      <c r="AK103" s="115"/>
      <c r="AL103" s="169">
        <f t="shared" si="19"/>
        <v>4</v>
      </c>
      <c r="AM103" s="112">
        <f t="shared" si="20"/>
        <v>4</v>
      </c>
      <c r="AN103" s="171">
        <f t="shared" si="16"/>
        <v>16</v>
      </c>
      <c r="AO103" s="150" t="str">
        <f>_xlfn.IFNA(VLOOKUP(AN103,Parameter!$D$53:$E$77,2),"")</f>
        <v>SEDANG-TINGGI</v>
      </c>
      <c r="AP103" s="167" t="s">
        <v>379</v>
      </c>
      <c r="AQ103" s="116"/>
    </row>
    <row r="104" spans="1:43" ht="360" x14ac:dyDescent="0.3">
      <c r="A104" s="114" t="s">
        <v>48</v>
      </c>
      <c r="B104" s="112">
        <f t="shared" si="21"/>
        <v>90</v>
      </c>
      <c r="C104" s="124" t="s">
        <v>1215</v>
      </c>
      <c r="D104" s="169" t="s">
        <v>291</v>
      </c>
      <c r="E104" s="176" t="s">
        <v>256</v>
      </c>
      <c r="F104" s="118" t="s">
        <v>368</v>
      </c>
      <c r="G104" s="117" t="s">
        <v>49</v>
      </c>
      <c r="H104" s="173" t="s">
        <v>50</v>
      </c>
      <c r="I104" s="127" t="s">
        <v>1216</v>
      </c>
      <c r="J104" s="113" t="s">
        <v>1217</v>
      </c>
      <c r="K104" s="113" t="s">
        <v>1218</v>
      </c>
      <c r="L104" s="113" t="s">
        <v>1219</v>
      </c>
      <c r="M104" s="113" t="s">
        <v>1220</v>
      </c>
      <c r="N104" s="117" t="s">
        <v>382</v>
      </c>
      <c r="O104" s="120" t="s">
        <v>482</v>
      </c>
      <c r="P104" s="119" t="s">
        <v>1221</v>
      </c>
      <c r="Q104" s="112">
        <v>4</v>
      </c>
      <c r="R104" s="112">
        <v>4</v>
      </c>
      <c r="S104" s="147">
        <f t="shared" si="15"/>
        <v>16</v>
      </c>
      <c r="T104" s="150" t="str">
        <f>_xlfn.IFNA(VLOOKUP(S104,Parameter!$D$53:$E$77,2),"")</f>
        <v>SEDANG-TINGGI</v>
      </c>
      <c r="U104" s="130" t="s">
        <v>1222</v>
      </c>
      <c r="V104" s="124" t="s">
        <v>1223</v>
      </c>
      <c r="W104" s="124" t="s">
        <v>1224</v>
      </c>
      <c r="X104" s="124" t="s">
        <v>1225</v>
      </c>
      <c r="Y104" s="124" t="s">
        <v>290</v>
      </c>
      <c r="Z104" s="124" t="s">
        <v>722</v>
      </c>
      <c r="AA104" s="126" t="s">
        <v>1227</v>
      </c>
      <c r="AB104" s="111" t="s">
        <v>1128</v>
      </c>
      <c r="AC104" s="156">
        <v>46387</v>
      </c>
      <c r="AD104" s="163">
        <v>46102</v>
      </c>
      <c r="AE104" s="115" t="s">
        <v>1226</v>
      </c>
      <c r="AF104" s="163"/>
      <c r="AG104" s="115"/>
      <c r="AH104" s="163"/>
      <c r="AI104" s="115"/>
      <c r="AJ104" s="163"/>
      <c r="AK104" s="115"/>
      <c r="AL104" s="169">
        <f t="shared" si="19"/>
        <v>4</v>
      </c>
      <c r="AM104" s="112">
        <f t="shared" si="20"/>
        <v>4</v>
      </c>
      <c r="AN104" s="171">
        <f t="shared" si="16"/>
        <v>16</v>
      </c>
      <c r="AO104" s="150" t="str">
        <f>_xlfn.IFNA(VLOOKUP(AN104,Parameter!$D$53:$E$77,2),"")</f>
        <v>SEDANG-TINGGI</v>
      </c>
      <c r="AP104" s="167" t="s">
        <v>379</v>
      </c>
      <c r="AQ104" s="116"/>
    </row>
    <row r="105" spans="1:43" ht="126" x14ac:dyDescent="0.3">
      <c r="A105" s="114" t="s">
        <v>48</v>
      </c>
      <c r="B105" s="112">
        <f t="shared" si="21"/>
        <v>91</v>
      </c>
      <c r="C105" s="124" t="s">
        <v>426</v>
      </c>
      <c r="D105" s="169" t="s">
        <v>291</v>
      </c>
      <c r="E105" s="176" t="s">
        <v>52</v>
      </c>
      <c r="F105" s="118" t="s">
        <v>368</v>
      </c>
      <c r="G105" s="117" t="s">
        <v>49</v>
      </c>
      <c r="H105" s="173" t="s">
        <v>50</v>
      </c>
      <c r="I105" s="127" t="s">
        <v>427</v>
      </c>
      <c r="J105" s="113" t="s">
        <v>428</v>
      </c>
      <c r="K105" s="113" t="s">
        <v>429</v>
      </c>
      <c r="L105" s="113" t="s">
        <v>430</v>
      </c>
      <c r="M105" s="113" t="s">
        <v>431</v>
      </c>
      <c r="N105" s="117" t="s">
        <v>385</v>
      </c>
      <c r="O105" s="120" t="s">
        <v>405</v>
      </c>
      <c r="P105" s="119" t="s">
        <v>432</v>
      </c>
      <c r="Q105" s="112">
        <v>4</v>
      </c>
      <c r="R105" s="112">
        <v>3</v>
      </c>
      <c r="S105" s="147">
        <f t="shared" si="15"/>
        <v>12</v>
      </c>
      <c r="T105" s="150" t="str">
        <f>_xlfn.IFNA(VLOOKUP(S105,Parameter!$D$53:$E$77,2),"")</f>
        <v>SEDANG</v>
      </c>
      <c r="U105" s="130" t="s">
        <v>433</v>
      </c>
      <c r="V105" s="124" t="s">
        <v>434</v>
      </c>
      <c r="W105" s="124" t="s">
        <v>435</v>
      </c>
      <c r="X105" s="124" t="s">
        <v>436</v>
      </c>
      <c r="Y105" s="124" t="s">
        <v>290</v>
      </c>
      <c r="Z105" s="124"/>
      <c r="AA105" s="126" t="s">
        <v>438</v>
      </c>
      <c r="AB105" s="111" t="s">
        <v>294</v>
      </c>
      <c r="AC105" s="156">
        <v>46387</v>
      </c>
      <c r="AD105" s="163">
        <v>46102</v>
      </c>
      <c r="AE105" s="115" t="s">
        <v>437</v>
      </c>
      <c r="AF105" s="163"/>
      <c r="AG105" s="115"/>
      <c r="AH105" s="163"/>
      <c r="AI105" s="115"/>
      <c r="AJ105" s="163"/>
      <c r="AK105" s="115"/>
      <c r="AL105" s="169">
        <v>3</v>
      </c>
      <c r="AM105" s="112">
        <f>R105</f>
        <v>3</v>
      </c>
      <c r="AN105" s="171">
        <f t="shared" si="16"/>
        <v>9</v>
      </c>
      <c r="AO105" s="150" t="str">
        <f>_xlfn.IFNA(VLOOKUP(AN105,Parameter!$D$53:$E$77,2),"")</f>
        <v>SEDANG-RENDAH</v>
      </c>
      <c r="AP105" s="167" t="s">
        <v>379</v>
      </c>
      <c r="AQ105" s="116"/>
    </row>
    <row r="106" spans="1:43" ht="126" x14ac:dyDescent="0.3">
      <c r="A106" s="114" t="s">
        <v>48</v>
      </c>
      <c r="B106" s="112">
        <f t="shared" si="21"/>
        <v>92</v>
      </c>
      <c r="C106" s="124" t="s">
        <v>450</v>
      </c>
      <c r="D106" s="169" t="s">
        <v>291</v>
      </c>
      <c r="E106" s="176" t="s">
        <v>52</v>
      </c>
      <c r="F106" s="118" t="s">
        <v>368</v>
      </c>
      <c r="G106" s="117" t="s">
        <v>49</v>
      </c>
      <c r="H106" s="173" t="s">
        <v>50</v>
      </c>
      <c r="I106" s="127" t="s">
        <v>451</v>
      </c>
      <c r="J106" s="113" t="s">
        <v>452</v>
      </c>
      <c r="K106" s="113" t="s">
        <v>453</v>
      </c>
      <c r="L106" s="113" t="s">
        <v>454</v>
      </c>
      <c r="M106" s="113" t="s">
        <v>455</v>
      </c>
      <c r="N106" s="117" t="s">
        <v>382</v>
      </c>
      <c r="O106" s="120" t="s">
        <v>405</v>
      </c>
      <c r="P106" s="119" t="s">
        <v>456</v>
      </c>
      <c r="Q106" s="112">
        <v>4</v>
      </c>
      <c r="R106" s="112">
        <v>3</v>
      </c>
      <c r="S106" s="147">
        <f t="shared" si="15"/>
        <v>12</v>
      </c>
      <c r="T106" s="150" t="str">
        <f>_xlfn.IFNA(VLOOKUP(S106,Parameter!$D$53:$E$77,2),"")</f>
        <v>SEDANG</v>
      </c>
      <c r="U106" s="130" t="s">
        <v>457</v>
      </c>
      <c r="V106" s="124" t="s">
        <v>421</v>
      </c>
      <c r="W106" s="124" t="s">
        <v>458</v>
      </c>
      <c r="X106" s="124" t="s">
        <v>459</v>
      </c>
      <c r="Y106" s="124" t="s">
        <v>290</v>
      </c>
      <c r="Z106" s="124"/>
      <c r="AA106" s="126" t="s">
        <v>460</v>
      </c>
      <c r="AB106" s="111" t="s">
        <v>294</v>
      </c>
      <c r="AC106" s="156">
        <v>46387</v>
      </c>
      <c r="AD106" s="163">
        <v>46102</v>
      </c>
      <c r="AE106" s="115" t="s">
        <v>461</v>
      </c>
      <c r="AF106" s="163"/>
      <c r="AG106" s="115"/>
      <c r="AH106" s="163"/>
      <c r="AI106" s="115"/>
      <c r="AJ106" s="163"/>
      <c r="AK106" s="115"/>
      <c r="AL106" s="169">
        <f>Q106</f>
        <v>4</v>
      </c>
      <c r="AM106" s="112">
        <f>R106</f>
        <v>3</v>
      </c>
      <c r="AN106" s="171">
        <f t="shared" si="16"/>
        <v>12</v>
      </c>
      <c r="AO106" s="150" t="str">
        <f>_xlfn.IFNA(VLOOKUP(AN106,Parameter!$D$53:$E$77,2),"")</f>
        <v>SEDANG</v>
      </c>
      <c r="AP106" s="167" t="s">
        <v>379</v>
      </c>
      <c r="AQ106" s="116"/>
    </row>
    <row r="107" spans="1:43" ht="360" x14ac:dyDescent="0.3">
      <c r="A107" s="114" t="s">
        <v>48</v>
      </c>
      <c r="B107" s="112">
        <f t="shared" si="21"/>
        <v>93</v>
      </c>
      <c r="C107" s="124" t="s">
        <v>1130</v>
      </c>
      <c r="D107" s="169" t="s">
        <v>291</v>
      </c>
      <c r="E107" s="176" t="s">
        <v>256</v>
      </c>
      <c r="F107" s="118" t="s">
        <v>368</v>
      </c>
      <c r="G107" s="117" t="s">
        <v>377</v>
      </c>
      <c r="H107" s="173" t="s">
        <v>50</v>
      </c>
      <c r="I107" s="127" t="s">
        <v>1131</v>
      </c>
      <c r="J107" s="113" t="s">
        <v>1132</v>
      </c>
      <c r="K107" s="113" t="s">
        <v>1133</v>
      </c>
      <c r="L107" s="113" t="s">
        <v>1134</v>
      </c>
      <c r="M107" s="113" t="s">
        <v>1135</v>
      </c>
      <c r="N107" s="117" t="s">
        <v>382</v>
      </c>
      <c r="O107" s="120" t="s">
        <v>1136</v>
      </c>
      <c r="P107" s="119" t="s">
        <v>1137</v>
      </c>
      <c r="Q107" s="112">
        <v>3</v>
      </c>
      <c r="R107" s="112">
        <v>3</v>
      </c>
      <c r="S107" s="147">
        <f t="shared" si="15"/>
        <v>9</v>
      </c>
      <c r="T107" s="150" t="str">
        <f>_xlfn.IFNA(VLOOKUP(S107,Parameter!$D$53:$E$77,2),"")</f>
        <v>SEDANG-RENDAH</v>
      </c>
      <c r="U107" s="130" t="s">
        <v>1138</v>
      </c>
      <c r="V107" s="124" t="s">
        <v>1139</v>
      </c>
      <c r="W107" s="124" t="s">
        <v>1140</v>
      </c>
      <c r="X107" s="124" t="s">
        <v>1141</v>
      </c>
      <c r="Y107" s="124" t="s">
        <v>290</v>
      </c>
      <c r="Z107" s="124"/>
      <c r="AA107" s="126" t="s">
        <v>1144</v>
      </c>
      <c r="AB107" s="111" t="s">
        <v>1143</v>
      </c>
      <c r="AC107" s="156">
        <v>46387</v>
      </c>
      <c r="AD107" s="163">
        <v>46102</v>
      </c>
      <c r="AE107" s="115" t="s">
        <v>1142</v>
      </c>
      <c r="AF107" s="163"/>
      <c r="AG107" s="115"/>
      <c r="AH107" s="163"/>
      <c r="AI107" s="115"/>
      <c r="AJ107" s="163"/>
      <c r="AK107" s="115"/>
      <c r="AL107" s="169">
        <f>Q107</f>
        <v>3</v>
      </c>
      <c r="AM107" s="112">
        <f>R107</f>
        <v>3</v>
      </c>
      <c r="AN107" s="171">
        <f t="shared" si="16"/>
        <v>9</v>
      </c>
      <c r="AO107" s="150" t="str">
        <f>_xlfn.IFNA(VLOOKUP(AN107,Parameter!$D$53:$E$77,2),"")</f>
        <v>SEDANG-RENDAH</v>
      </c>
      <c r="AP107" s="167" t="s">
        <v>379</v>
      </c>
      <c r="AQ107" s="116"/>
    </row>
    <row r="108" spans="1:43" ht="342" x14ac:dyDescent="0.3">
      <c r="A108" s="114" t="s">
        <v>48</v>
      </c>
      <c r="B108" s="112">
        <f t="shared" si="21"/>
        <v>94</v>
      </c>
      <c r="C108" s="124" t="s">
        <v>1341</v>
      </c>
      <c r="D108" s="169" t="s">
        <v>354</v>
      </c>
      <c r="E108" s="176" t="s">
        <v>52</v>
      </c>
      <c r="F108" s="118" t="s">
        <v>368</v>
      </c>
      <c r="G108" s="117" t="s">
        <v>49</v>
      </c>
      <c r="H108" s="173" t="s">
        <v>50</v>
      </c>
      <c r="I108" s="126" t="s">
        <v>1342</v>
      </c>
      <c r="J108" s="111" t="s">
        <v>1343</v>
      </c>
      <c r="K108" s="111" t="s">
        <v>1344</v>
      </c>
      <c r="L108" s="111" t="s">
        <v>1345</v>
      </c>
      <c r="M108" s="111" t="s">
        <v>1346</v>
      </c>
      <c r="N108" s="117" t="s">
        <v>385</v>
      </c>
      <c r="O108" s="120" t="s">
        <v>482</v>
      </c>
      <c r="P108" s="119" t="s">
        <v>1077</v>
      </c>
      <c r="Q108" s="112">
        <v>4</v>
      </c>
      <c r="R108" s="112">
        <v>5</v>
      </c>
      <c r="S108" s="117">
        <f t="shared" ref="S108:S124" si="22">Q108*R108</f>
        <v>20</v>
      </c>
      <c r="T108" s="150" t="str">
        <f>_xlfn.IFNA(VLOOKUP(S108,Parameter!$D$53:$E$77,2),"")</f>
        <v>TINGGI</v>
      </c>
      <c r="U108" s="130" t="s">
        <v>1347</v>
      </c>
      <c r="V108" s="124" t="s">
        <v>1348</v>
      </c>
      <c r="W108" s="124" t="s">
        <v>1349</v>
      </c>
      <c r="X108" s="124" t="s">
        <v>1350</v>
      </c>
      <c r="Y108" s="124" t="s">
        <v>722</v>
      </c>
      <c r="Z108" s="124"/>
      <c r="AA108" s="126" t="s">
        <v>1353</v>
      </c>
      <c r="AB108" s="111" t="s">
        <v>1352</v>
      </c>
      <c r="AC108" s="156">
        <v>46387</v>
      </c>
      <c r="AD108" s="163">
        <v>46102</v>
      </c>
      <c r="AE108" s="115" t="s">
        <v>1351</v>
      </c>
      <c r="AF108" s="163"/>
      <c r="AG108" s="115"/>
      <c r="AH108" s="163"/>
      <c r="AI108" s="115"/>
      <c r="AJ108" s="163"/>
      <c r="AK108" s="115"/>
      <c r="AL108" s="169">
        <f>Q108</f>
        <v>4</v>
      </c>
      <c r="AM108" s="112">
        <f>R108</f>
        <v>5</v>
      </c>
      <c r="AN108" s="147">
        <f t="shared" ref="AN108:AN124" si="23">AL108*AM108</f>
        <v>20</v>
      </c>
      <c r="AO108" s="150" t="str">
        <f>_xlfn.IFNA(VLOOKUP(AN108,Parameter!$D$53:$E$77,2),"")</f>
        <v>TINGGI</v>
      </c>
      <c r="AP108" s="167" t="s">
        <v>379</v>
      </c>
      <c r="AQ108" s="115"/>
    </row>
    <row r="109" spans="1:43" ht="306" x14ac:dyDescent="0.3">
      <c r="A109" s="114" t="s">
        <v>48</v>
      </c>
      <c r="B109" s="112">
        <f t="shared" si="21"/>
        <v>95</v>
      </c>
      <c r="C109" s="124" t="s">
        <v>1058</v>
      </c>
      <c r="D109" s="169" t="s">
        <v>354</v>
      </c>
      <c r="E109" s="176" t="s">
        <v>256</v>
      </c>
      <c r="F109" s="118" t="s">
        <v>367</v>
      </c>
      <c r="G109" s="117" t="s">
        <v>377</v>
      </c>
      <c r="H109" s="173" t="s">
        <v>190</v>
      </c>
      <c r="I109" s="127" t="s">
        <v>1072</v>
      </c>
      <c r="J109" s="113" t="s">
        <v>1073</v>
      </c>
      <c r="K109" s="113" t="s">
        <v>1074</v>
      </c>
      <c r="L109" s="113" t="s">
        <v>1075</v>
      </c>
      <c r="M109" s="113" t="s">
        <v>1076</v>
      </c>
      <c r="N109" s="117" t="s">
        <v>385</v>
      </c>
      <c r="O109" s="120" t="s">
        <v>1064</v>
      </c>
      <c r="P109" s="119" t="s">
        <v>1077</v>
      </c>
      <c r="Q109" s="112">
        <v>4</v>
      </c>
      <c r="R109" s="112">
        <v>3</v>
      </c>
      <c r="S109" s="147">
        <f t="shared" si="22"/>
        <v>12</v>
      </c>
      <c r="T109" s="150" t="str">
        <f>_xlfn.IFNA(VLOOKUP(S109,Parameter!$D$53:$E$77,2),"")</f>
        <v>SEDANG</v>
      </c>
      <c r="U109" s="130" t="s">
        <v>1078</v>
      </c>
      <c r="V109" s="124" t="s">
        <v>1079</v>
      </c>
      <c r="W109" s="124" t="s">
        <v>1080</v>
      </c>
      <c r="X109" s="124" t="s">
        <v>1081</v>
      </c>
      <c r="Y109" s="124" t="s">
        <v>722</v>
      </c>
      <c r="Z109" s="124"/>
      <c r="AA109" s="126" t="s">
        <v>1084</v>
      </c>
      <c r="AB109" s="145" t="s">
        <v>1082</v>
      </c>
      <c r="AC109" s="156">
        <v>46387</v>
      </c>
      <c r="AD109" s="163">
        <v>46102</v>
      </c>
      <c r="AE109" s="115" t="s">
        <v>1083</v>
      </c>
      <c r="AF109" s="163"/>
      <c r="AG109" s="115"/>
      <c r="AH109" s="163"/>
      <c r="AI109" s="115"/>
      <c r="AJ109" s="163"/>
      <c r="AK109" s="115"/>
      <c r="AL109" s="169">
        <f>Q109</f>
        <v>4</v>
      </c>
      <c r="AM109" s="112">
        <f>R109</f>
        <v>3</v>
      </c>
      <c r="AN109" s="171">
        <f t="shared" si="23"/>
        <v>12</v>
      </c>
      <c r="AO109" s="150" t="str">
        <f>_xlfn.IFNA(VLOOKUP(AN109,Parameter!$D$53:$E$77,2),"")</f>
        <v>SEDANG</v>
      </c>
      <c r="AP109" s="167" t="s">
        <v>379</v>
      </c>
      <c r="AQ109" s="116"/>
    </row>
    <row r="110" spans="1:43" ht="306" x14ac:dyDescent="0.3">
      <c r="A110" s="114" t="s">
        <v>48</v>
      </c>
      <c r="B110" s="112">
        <f t="shared" si="21"/>
        <v>96</v>
      </c>
      <c r="C110" s="124" t="s">
        <v>1327</v>
      </c>
      <c r="D110" s="169" t="s">
        <v>338</v>
      </c>
      <c r="E110" s="176" t="s">
        <v>256</v>
      </c>
      <c r="F110" s="118" t="s">
        <v>368</v>
      </c>
      <c r="G110" s="117" t="s">
        <v>49</v>
      </c>
      <c r="H110" s="173" t="s">
        <v>50</v>
      </c>
      <c r="I110" s="127" t="s">
        <v>1328</v>
      </c>
      <c r="J110" s="113" t="s">
        <v>1329</v>
      </c>
      <c r="K110" s="113" t="s">
        <v>1330</v>
      </c>
      <c r="L110" s="113" t="s">
        <v>1331</v>
      </c>
      <c r="M110" s="113" t="s">
        <v>1332</v>
      </c>
      <c r="N110" s="117" t="s">
        <v>384</v>
      </c>
      <c r="O110" s="120" t="s">
        <v>1333</v>
      </c>
      <c r="P110" s="119" t="s">
        <v>892</v>
      </c>
      <c r="Q110" s="112">
        <v>4</v>
      </c>
      <c r="R110" s="112">
        <v>5</v>
      </c>
      <c r="S110" s="147">
        <f t="shared" si="22"/>
        <v>20</v>
      </c>
      <c r="T110" s="150" t="str">
        <f>_xlfn.IFNA(VLOOKUP(S110,Parameter!$D$53:$E$77,2),"")</f>
        <v>TINGGI</v>
      </c>
      <c r="U110" s="130" t="s">
        <v>1334</v>
      </c>
      <c r="V110" s="124" t="s">
        <v>1335</v>
      </c>
      <c r="W110" s="124" t="s">
        <v>1336</v>
      </c>
      <c r="X110" s="124" t="s">
        <v>1337</v>
      </c>
      <c r="Y110" s="124" t="s">
        <v>297</v>
      </c>
      <c r="Z110" s="124"/>
      <c r="AA110" s="126" t="s">
        <v>1339</v>
      </c>
      <c r="AB110" s="145" t="s">
        <v>1340</v>
      </c>
      <c r="AC110" s="156">
        <v>46387</v>
      </c>
      <c r="AD110" s="163">
        <v>46102</v>
      </c>
      <c r="AE110" s="115" t="s">
        <v>1338</v>
      </c>
      <c r="AF110" s="163"/>
      <c r="AG110" s="115"/>
      <c r="AH110" s="163"/>
      <c r="AI110" s="115"/>
      <c r="AJ110" s="163"/>
      <c r="AK110" s="115"/>
      <c r="AL110" s="169">
        <v>4</v>
      </c>
      <c r="AM110" s="112">
        <v>4</v>
      </c>
      <c r="AN110" s="171">
        <f t="shared" si="23"/>
        <v>16</v>
      </c>
      <c r="AO110" s="150" t="str">
        <f>_xlfn.IFNA(VLOOKUP(AN110,Parameter!$D$53:$E$77,2),"")</f>
        <v>SEDANG-TINGGI</v>
      </c>
      <c r="AP110" s="167" t="s">
        <v>379</v>
      </c>
      <c r="AQ110" s="116"/>
    </row>
    <row r="111" spans="1:43" ht="378" x14ac:dyDescent="0.3">
      <c r="A111" s="114" t="s">
        <v>48</v>
      </c>
      <c r="B111" s="112">
        <f t="shared" si="21"/>
        <v>97</v>
      </c>
      <c r="C111" s="124" t="s">
        <v>1312</v>
      </c>
      <c r="D111" s="169" t="s">
        <v>338</v>
      </c>
      <c r="E111" s="176" t="s">
        <v>256</v>
      </c>
      <c r="F111" s="118" t="s">
        <v>373</v>
      </c>
      <c r="G111" s="117" t="s">
        <v>49</v>
      </c>
      <c r="H111" s="173" t="s">
        <v>50</v>
      </c>
      <c r="I111" s="127" t="s">
        <v>1300</v>
      </c>
      <c r="J111" s="113" t="s">
        <v>1301</v>
      </c>
      <c r="K111" s="113" t="s">
        <v>1302</v>
      </c>
      <c r="L111" s="113" t="s">
        <v>1303</v>
      </c>
      <c r="M111" s="113" t="s">
        <v>1304</v>
      </c>
      <c r="N111" s="117" t="s">
        <v>382</v>
      </c>
      <c r="O111" s="120" t="s">
        <v>713</v>
      </c>
      <c r="P111" s="119" t="s">
        <v>1305</v>
      </c>
      <c r="Q111" s="112">
        <v>4</v>
      </c>
      <c r="R111" s="112">
        <v>5</v>
      </c>
      <c r="S111" s="147">
        <f t="shared" si="22"/>
        <v>20</v>
      </c>
      <c r="T111" s="150" t="str">
        <f>_xlfn.IFNA(VLOOKUP(S111,Parameter!$D$53:$E$77,2),"")</f>
        <v>TINGGI</v>
      </c>
      <c r="U111" s="130" t="s">
        <v>1306</v>
      </c>
      <c r="V111" s="124" t="s">
        <v>1307</v>
      </c>
      <c r="W111" s="124" t="s">
        <v>1308</v>
      </c>
      <c r="X111" s="124" t="s">
        <v>1309</v>
      </c>
      <c r="Y111" s="124" t="s">
        <v>337</v>
      </c>
      <c r="Z111" s="124"/>
      <c r="AA111" s="126" t="s">
        <v>1311</v>
      </c>
      <c r="AB111" s="111" t="s">
        <v>664</v>
      </c>
      <c r="AC111" s="156">
        <v>46387</v>
      </c>
      <c r="AD111" s="163">
        <v>46102</v>
      </c>
      <c r="AE111" s="115" t="s">
        <v>1310</v>
      </c>
      <c r="AF111" s="163"/>
      <c r="AG111" s="115"/>
      <c r="AH111" s="163"/>
      <c r="AI111" s="115"/>
      <c r="AJ111" s="163"/>
      <c r="AK111" s="115"/>
      <c r="AL111" s="169">
        <f t="shared" ref="AL111:AM114" si="24">Q111</f>
        <v>4</v>
      </c>
      <c r="AM111" s="112">
        <f t="shared" si="24"/>
        <v>5</v>
      </c>
      <c r="AN111" s="171">
        <f t="shared" si="23"/>
        <v>20</v>
      </c>
      <c r="AO111" s="150" t="str">
        <f>_xlfn.IFNA(VLOOKUP(AN111,Parameter!$D$53:$E$77,2),"")</f>
        <v>TINGGI</v>
      </c>
      <c r="AP111" s="167" t="s">
        <v>379</v>
      </c>
      <c r="AQ111" s="116"/>
    </row>
    <row r="112" spans="1:43" ht="360" x14ac:dyDescent="0.3">
      <c r="A112" s="114" t="s">
        <v>48</v>
      </c>
      <c r="B112" s="112">
        <f t="shared" si="21"/>
        <v>98</v>
      </c>
      <c r="C112" s="124" t="s">
        <v>1242</v>
      </c>
      <c r="D112" s="169" t="s">
        <v>338</v>
      </c>
      <c r="E112" s="176" t="s">
        <v>256</v>
      </c>
      <c r="F112" s="118" t="s">
        <v>373</v>
      </c>
      <c r="G112" s="117" t="s">
        <v>49</v>
      </c>
      <c r="H112" s="173" t="s">
        <v>50</v>
      </c>
      <c r="I112" s="127" t="s">
        <v>1243</v>
      </c>
      <c r="J112" s="113" t="s">
        <v>1244</v>
      </c>
      <c r="K112" s="113" t="s">
        <v>1245</v>
      </c>
      <c r="L112" s="113" t="s">
        <v>1246</v>
      </c>
      <c r="M112" s="113" t="s">
        <v>1247</v>
      </c>
      <c r="N112" s="117" t="s">
        <v>385</v>
      </c>
      <c r="O112" s="120" t="s">
        <v>1248</v>
      </c>
      <c r="P112" s="119" t="s">
        <v>1249</v>
      </c>
      <c r="Q112" s="112">
        <v>4</v>
      </c>
      <c r="R112" s="112">
        <v>5</v>
      </c>
      <c r="S112" s="147">
        <f t="shared" si="22"/>
        <v>20</v>
      </c>
      <c r="T112" s="150" t="str">
        <f>_xlfn.IFNA(VLOOKUP(S112,Parameter!$D$53:$E$77,2),"")</f>
        <v>TINGGI</v>
      </c>
      <c r="U112" s="130" t="s">
        <v>1250</v>
      </c>
      <c r="V112" s="124" t="s">
        <v>1251</v>
      </c>
      <c r="W112" s="124" t="s">
        <v>1252</v>
      </c>
      <c r="X112" s="124" t="s">
        <v>1253</v>
      </c>
      <c r="Y112" s="124" t="s">
        <v>337</v>
      </c>
      <c r="Z112" s="124" t="s">
        <v>722</v>
      </c>
      <c r="AA112" s="126" t="s">
        <v>1256</v>
      </c>
      <c r="AB112" s="111" t="s">
        <v>1255</v>
      </c>
      <c r="AC112" s="156">
        <v>46387</v>
      </c>
      <c r="AD112" s="163">
        <v>46102</v>
      </c>
      <c r="AE112" s="115" t="s">
        <v>1254</v>
      </c>
      <c r="AF112" s="163"/>
      <c r="AG112" s="115"/>
      <c r="AH112" s="163"/>
      <c r="AI112" s="115"/>
      <c r="AJ112" s="163"/>
      <c r="AK112" s="115"/>
      <c r="AL112" s="169">
        <f t="shared" si="24"/>
        <v>4</v>
      </c>
      <c r="AM112" s="112">
        <f t="shared" si="24"/>
        <v>5</v>
      </c>
      <c r="AN112" s="171">
        <f t="shared" si="23"/>
        <v>20</v>
      </c>
      <c r="AO112" s="150" t="str">
        <f>_xlfn.IFNA(VLOOKUP(AN112,Parameter!$D$53:$E$77,2),"")</f>
        <v>TINGGI</v>
      </c>
      <c r="AP112" s="167" t="s">
        <v>379</v>
      </c>
      <c r="AQ112" s="116"/>
    </row>
    <row r="113" spans="1:43" ht="409.6" x14ac:dyDescent="0.3">
      <c r="A113" s="114" t="s">
        <v>48</v>
      </c>
      <c r="B113" s="112">
        <f t="shared" si="21"/>
        <v>99</v>
      </c>
      <c r="C113" s="124" t="s">
        <v>1313</v>
      </c>
      <c r="D113" s="169" t="s">
        <v>338</v>
      </c>
      <c r="E113" s="176" t="s">
        <v>256</v>
      </c>
      <c r="F113" s="118" t="s">
        <v>373</v>
      </c>
      <c r="G113" s="117" t="s">
        <v>377</v>
      </c>
      <c r="H113" s="173" t="s">
        <v>50</v>
      </c>
      <c r="I113" s="127" t="s">
        <v>1314</v>
      </c>
      <c r="J113" s="113" t="s">
        <v>1315</v>
      </c>
      <c r="K113" s="113" t="s">
        <v>1316</v>
      </c>
      <c r="L113" s="113" t="s">
        <v>1317</v>
      </c>
      <c r="M113" s="113" t="s">
        <v>1318</v>
      </c>
      <c r="N113" s="117" t="s">
        <v>382</v>
      </c>
      <c r="O113" s="120" t="s">
        <v>713</v>
      </c>
      <c r="P113" s="119" t="s">
        <v>1319</v>
      </c>
      <c r="Q113" s="112">
        <v>4</v>
      </c>
      <c r="R113" s="112">
        <v>3</v>
      </c>
      <c r="S113" s="147">
        <f t="shared" si="22"/>
        <v>12</v>
      </c>
      <c r="T113" s="150" t="str">
        <f>_xlfn.IFNA(VLOOKUP(S113,Parameter!$D$53:$E$77,2),"")</f>
        <v>SEDANG</v>
      </c>
      <c r="U113" s="130" t="s">
        <v>1320</v>
      </c>
      <c r="V113" s="124" t="s">
        <v>1321</v>
      </c>
      <c r="W113" s="124" t="s">
        <v>1322</v>
      </c>
      <c r="X113" s="124" t="s">
        <v>1323</v>
      </c>
      <c r="Y113" s="124" t="s">
        <v>337</v>
      </c>
      <c r="Z113" s="124"/>
      <c r="AA113" s="126" t="s">
        <v>1326</v>
      </c>
      <c r="AB113" s="111" t="s">
        <v>1325</v>
      </c>
      <c r="AC113" s="156">
        <v>46387</v>
      </c>
      <c r="AD113" s="163">
        <v>46102</v>
      </c>
      <c r="AE113" s="115" t="s">
        <v>1324</v>
      </c>
      <c r="AF113" s="163"/>
      <c r="AG113" s="115"/>
      <c r="AH113" s="163"/>
      <c r="AI113" s="115"/>
      <c r="AJ113" s="163"/>
      <c r="AK113" s="115"/>
      <c r="AL113" s="169">
        <f t="shared" si="24"/>
        <v>4</v>
      </c>
      <c r="AM113" s="112">
        <f t="shared" si="24"/>
        <v>3</v>
      </c>
      <c r="AN113" s="171">
        <f t="shared" si="23"/>
        <v>12</v>
      </c>
      <c r="AO113" s="150" t="str">
        <f>_xlfn.IFNA(VLOOKUP(AN113,Parameter!$D$53:$E$77,2),"")</f>
        <v>SEDANG</v>
      </c>
      <c r="AP113" s="167" t="s">
        <v>379</v>
      </c>
      <c r="AQ113" s="116"/>
    </row>
    <row r="114" spans="1:43" ht="342" x14ac:dyDescent="0.3">
      <c r="A114" s="114" t="s">
        <v>48</v>
      </c>
      <c r="B114" s="112">
        <f t="shared" si="21"/>
        <v>100</v>
      </c>
      <c r="C114" s="124" t="s">
        <v>1286</v>
      </c>
      <c r="D114" s="169" t="s">
        <v>338</v>
      </c>
      <c r="E114" s="176" t="s">
        <v>256</v>
      </c>
      <c r="F114" s="118" t="s">
        <v>368</v>
      </c>
      <c r="G114" s="117" t="s">
        <v>49</v>
      </c>
      <c r="H114" s="173" t="s">
        <v>50</v>
      </c>
      <c r="I114" s="127" t="s">
        <v>1287</v>
      </c>
      <c r="J114" s="113" t="s">
        <v>1288</v>
      </c>
      <c r="K114" s="113" t="s">
        <v>1289</v>
      </c>
      <c r="L114" s="113" t="s">
        <v>1290</v>
      </c>
      <c r="M114" s="113" t="s">
        <v>1291</v>
      </c>
      <c r="N114" s="117" t="s">
        <v>382</v>
      </c>
      <c r="O114" s="120" t="s">
        <v>713</v>
      </c>
      <c r="P114" s="119" t="s">
        <v>1292</v>
      </c>
      <c r="Q114" s="112">
        <v>3</v>
      </c>
      <c r="R114" s="112">
        <v>3</v>
      </c>
      <c r="S114" s="147">
        <f t="shared" si="22"/>
        <v>9</v>
      </c>
      <c r="T114" s="150" t="str">
        <f>_xlfn.IFNA(VLOOKUP(S114,Parameter!$D$53:$E$77,2),"")</f>
        <v>SEDANG-RENDAH</v>
      </c>
      <c r="U114" s="130" t="s">
        <v>1293</v>
      </c>
      <c r="V114" s="124" t="s">
        <v>1294</v>
      </c>
      <c r="W114" s="124" t="s">
        <v>1295</v>
      </c>
      <c r="X114" s="124" t="s">
        <v>1296</v>
      </c>
      <c r="Y114" s="124" t="s">
        <v>337</v>
      </c>
      <c r="Z114" s="124"/>
      <c r="AA114" s="126" t="s">
        <v>1299</v>
      </c>
      <c r="AB114" s="111" t="s">
        <v>1297</v>
      </c>
      <c r="AC114" s="156">
        <v>46387</v>
      </c>
      <c r="AD114" s="163">
        <v>46102</v>
      </c>
      <c r="AE114" s="115" t="s">
        <v>1298</v>
      </c>
      <c r="AF114" s="163"/>
      <c r="AG114" s="115"/>
      <c r="AH114" s="163"/>
      <c r="AI114" s="115"/>
      <c r="AJ114" s="163"/>
      <c r="AK114" s="115"/>
      <c r="AL114" s="169">
        <f t="shared" si="24"/>
        <v>3</v>
      </c>
      <c r="AM114" s="112">
        <f t="shared" si="24"/>
        <v>3</v>
      </c>
      <c r="AN114" s="171">
        <f t="shared" si="23"/>
        <v>9</v>
      </c>
      <c r="AO114" s="150" t="str">
        <f>_xlfn.IFNA(VLOOKUP(AN114,Parameter!$D$53:$E$77,2),"")</f>
        <v>SEDANG-RENDAH</v>
      </c>
      <c r="AP114" s="167" t="s">
        <v>379</v>
      </c>
      <c r="AQ114" s="116"/>
    </row>
    <row r="115" spans="1:43" ht="216" x14ac:dyDescent="0.3">
      <c r="A115" s="114" t="s">
        <v>48</v>
      </c>
      <c r="B115" s="112">
        <f t="shared" si="21"/>
        <v>101</v>
      </c>
      <c r="C115" s="124" t="s">
        <v>680</v>
      </c>
      <c r="D115" s="169" t="s">
        <v>255</v>
      </c>
      <c r="E115" s="176" t="s">
        <v>52</v>
      </c>
      <c r="F115" s="118" t="s">
        <v>368</v>
      </c>
      <c r="G115" s="117" t="s">
        <v>377</v>
      </c>
      <c r="H115" s="173" t="s">
        <v>50</v>
      </c>
      <c r="I115" s="126" t="s">
        <v>666</v>
      </c>
      <c r="J115" s="111" t="s">
        <v>666</v>
      </c>
      <c r="K115" s="111" t="s">
        <v>667</v>
      </c>
      <c r="L115" s="111" t="s">
        <v>668</v>
      </c>
      <c r="M115" s="111" t="s">
        <v>669</v>
      </c>
      <c r="N115" s="117" t="s">
        <v>384</v>
      </c>
      <c r="O115" s="120" t="s">
        <v>670</v>
      </c>
      <c r="P115" s="119" t="s">
        <v>671</v>
      </c>
      <c r="Q115" s="112">
        <v>4</v>
      </c>
      <c r="R115" s="112">
        <v>2</v>
      </c>
      <c r="S115" s="117">
        <f t="shared" si="22"/>
        <v>8</v>
      </c>
      <c r="T115" s="150" t="str">
        <f>_xlfn.IFNA(VLOOKUP(S115,Parameter!$D$53:$E$77,2),"")</f>
        <v>SEDANG-RENDAH</v>
      </c>
      <c r="U115" s="130" t="s">
        <v>672</v>
      </c>
      <c r="V115" s="124" t="s">
        <v>673</v>
      </c>
      <c r="W115" s="124" t="s">
        <v>674</v>
      </c>
      <c r="X115" s="124" t="s">
        <v>675</v>
      </c>
      <c r="Y115" s="124" t="s">
        <v>290</v>
      </c>
      <c r="Z115" s="124"/>
      <c r="AA115" s="126" t="s">
        <v>676</v>
      </c>
      <c r="AB115" s="111" t="s">
        <v>677</v>
      </c>
      <c r="AC115" s="156">
        <v>46387</v>
      </c>
      <c r="AD115" s="163">
        <v>46102</v>
      </c>
      <c r="AE115" s="115" t="s">
        <v>678</v>
      </c>
      <c r="AF115" s="163"/>
      <c r="AG115" s="115"/>
      <c r="AH115" s="163"/>
      <c r="AI115" s="115"/>
      <c r="AJ115" s="163"/>
      <c r="AK115" s="115"/>
      <c r="AL115" s="169">
        <v>4</v>
      </c>
      <c r="AM115" s="112">
        <v>2</v>
      </c>
      <c r="AN115" s="147">
        <f t="shared" si="23"/>
        <v>8</v>
      </c>
      <c r="AO115" s="150" t="str">
        <f>_xlfn.IFNA(VLOOKUP(AN115,Parameter!$D$53:$E$77,2),"")</f>
        <v>SEDANG-RENDAH</v>
      </c>
      <c r="AP115" s="167" t="s">
        <v>379</v>
      </c>
      <c r="AQ115" s="115"/>
    </row>
    <row r="116" spans="1:43" ht="342" x14ac:dyDescent="0.3">
      <c r="A116" s="114" t="s">
        <v>48</v>
      </c>
      <c r="B116" s="112">
        <f t="shared" si="21"/>
        <v>102</v>
      </c>
      <c r="C116" s="124" t="s">
        <v>1030</v>
      </c>
      <c r="D116" s="169" t="s">
        <v>268</v>
      </c>
      <c r="E116" s="176" t="s">
        <v>256</v>
      </c>
      <c r="F116" s="118" t="s">
        <v>368</v>
      </c>
      <c r="G116" s="117" t="s">
        <v>49</v>
      </c>
      <c r="H116" s="173" t="s">
        <v>50</v>
      </c>
      <c r="I116" s="127" t="s">
        <v>1031</v>
      </c>
      <c r="J116" s="113" t="s">
        <v>1032</v>
      </c>
      <c r="K116" s="113" t="s">
        <v>1033</v>
      </c>
      <c r="L116" s="113" t="s">
        <v>1034</v>
      </c>
      <c r="M116" s="113" t="s">
        <v>1035</v>
      </c>
      <c r="N116" s="117" t="s">
        <v>382</v>
      </c>
      <c r="O116" s="120" t="s">
        <v>1036</v>
      </c>
      <c r="P116" s="119" t="s">
        <v>1037</v>
      </c>
      <c r="Q116" s="112">
        <v>3</v>
      </c>
      <c r="R116" s="112">
        <v>4</v>
      </c>
      <c r="S116" s="147">
        <f t="shared" si="22"/>
        <v>12</v>
      </c>
      <c r="T116" s="150" t="str">
        <f>_xlfn.IFNA(VLOOKUP(S116,Parameter!$D$53:$E$77,2),"")</f>
        <v>SEDANG</v>
      </c>
      <c r="U116" s="130" t="s">
        <v>1038</v>
      </c>
      <c r="V116" s="124" t="s">
        <v>1039</v>
      </c>
      <c r="W116" s="124" t="s">
        <v>1040</v>
      </c>
      <c r="X116" s="124" t="s">
        <v>1041</v>
      </c>
      <c r="Y116" s="124" t="s">
        <v>267</v>
      </c>
      <c r="Z116" s="124"/>
      <c r="AA116" s="126" t="s">
        <v>1044</v>
      </c>
      <c r="AB116" s="111" t="s">
        <v>1043</v>
      </c>
      <c r="AC116" s="156">
        <v>46387</v>
      </c>
      <c r="AD116" s="163">
        <v>46102</v>
      </c>
      <c r="AE116" s="115" t="s">
        <v>1042</v>
      </c>
      <c r="AF116" s="163"/>
      <c r="AG116" s="115"/>
      <c r="AH116" s="163"/>
      <c r="AI116" s="115"/>
      <c r="AJ116" s="163"/>
      <c r="AK116" s="115"/>
      <c r="AL116" s="169">
        <f t="shared" ref="AL116:AM122" si="25">Q116</f>
        <v>3</v>
      </c>
      <c r="AM116" s="112">
        <f t="shared" si="25"/>
        <v>4</v>
      </c>
      <c r="AN116" s="171">
        <f t="shared" si="23"/>
        <v>12</v>
      </c>
      <c r="AO116" s="150" t="str">
        <f>_xlfn.IFNA(VLOOKUP(AN116,Parameter!$D$53:$E$77,2),"")</f>
        <v>SEDANG</v>
      </c>
      <c r="AP116" s="167" t="s">
        <v>379</v>
      </c>
      <c r="AQ116" s="116"/>
    </row>
    <row r="117" spans="1:43" ht="288" x14ac:dyDescent="0.3">
      <c r="A117" s="114" t="s">
        <v>48</v>
      </c>
      <c r="B117" s="112">
        <f t="shared" si="21"/>
        <v>103</v>
      </c>
      <c r="C117" s="124" t="s">
        <v>1015</v>
      </c>
      <c r="D117" s="169" t="s">
        <v>268</v>
      </c>
      <c r="E117" s="176" t="s">
        <v>256</v>
      </c>
      <c r="F117" s="118" t="s">
        <v>368</v>
      </c>
      <c r="G117" s="117" t="s">
        <v>49</v>
      </c>
      <c r="H117" s="173" t="s">
        <v>50</v>
      </c>
      <c r="I117" s="127" t="s">
        <v>1016</v>
      </c>
      <c r="J117" s="113" t="s">
        <v>1017</v>
      </c>
      <c r="K117" s="113" t="s">
        <v>1018</v>
      </c>
      <c r="L117" s="113" t="s">
        <v>1019</v>
      </c>
      <c r="M117" s="113" t="s">
        <v>1020</v>
      </c>
      <c r="N117" s="117" t="s">
        <v>382</v>
      </c>
      <c r="O117" s="120" t="s">
        <v>638</v>
      </c>
      <c r="P117" s="119" t="s">
        <v>1021</v>
      </c>
      <c r="Q117" s="112">
        <v>3</v>
      </c>
      <c r="R117" s="112">
        <v>4</v>
      </c>
      <c r="S117" s="147">
        <f t="shared" si="22"/>
        <v>12</v>
      </c>
      <c r="T117" s="150" t="str">
        <f>_xlfn.IFNA(VLOOKUP(S117,Parameter!$D$53:$E$77,2),"")</f>
        <v>SEDANG</v>
      </c>
      <c r="U117" s="130" t="s">
        <v>1022</v>
      </c>
      <c r="V117" s="124" t="s">
        <v>1024</v>
      </c>
      <c r="W117" s="124" t="s">
        <v>1025</v>
      </c>
      <c r="X117" s="124" t="s">
        <v>1026</v>
      </c>
      <c r="Y117" s="124" t="s">
        <v>267</v>
      </c>
      <c r="Z117" s="124"/>
      <c r="AA117" s="126" t="s">
        <v>1028</v>
      </c>
      <c r="AB117" s="111" t="s">
        <v>1029</v>
      </c>
      <c r="AC117" s="156">
        <v>46387</v>
      </c>
      <c r="AD117" s="163">
        <v>46102</v>
      </c>
      <c r="AE117" s="115" t="s">
        <v>1027</v>
      </c>
      <c r="AF117" s="163"/>
      <c r="AG117" s="115"/>
      <c r="AH117" s="163"/>
      <c r="AI117" s="115"/>
      <c r="AJ117" s="163"/>
      <c r="AK117" s="115"/>
      <c r="AL117" s="169">
        <f t="shared" si="25"/>
        <v>3</v>
      </c>
      <c r="AM117" s="112">
        <f t="shared" si="25"/>
        <v>4</v>
      </c>
      <c r="AN117" s="171">
        <f t="shared" si="23"/>
        <v>12</v>
      </c>
      <c r="AO117" s="150" t="str">
        <f>_xlfn.IFNA(VLOOKUP(AN117,Parameter!$D$53:$E$77,2),"")</f>
        <v>SEDANG</v>
      </c>
      <c r="AP117" s="167" t="s">
        <v>379</v>
      </c>
      <c r="AQ117" s="116"/>
    </row>
    <row r="118" spans="1:43" ht="306" x14ac:dyDescent="0.3">
      <c r="A118" s="114" t="s">
        <v>48</v>
      </c>
      <c r="B118" s="112">
        <f t="shared" si="21"/>
        <v>104</v>
      </c>
      <c r="C118" s="124" t="s">
        <v>1003</v>
      </c>
      <c r="D118" s="169" t="s">
        <v>268</v>
      </c>
      <c r="E118" s="176" t="s">
        <v>256</v>
      </c>
      <c r="F118" s="118" t="s">
        <v>368</v>
      </c>
      <c r="G118" s="117" t="s">
        <v>49</v>
      </c>
      <c r="H118" s="173" t="s">
        <v>50</v>
      </c>
      <c r="I118" s="127" t="s">
        <v>1004</v>
      </c>
      <c r="J118" s="113" t="s">
        <v>1005</v>
      </c>
      <c r="K118" s="113" t="s">
        <v>1006</v>
      </c>
      <c r="L118" s="113" t="s">
        <v>1007</v>
      </c>
      <c r="M118" s="113" t="s">
        <v>1008</v>
      </c>
      <c r="N118" s="117" t="s">
        <v>382</v>
      </c>
      <c r="O118" s="120" t="s">
        <v>802</v>
      </c>
      <c r="P118" s="119" t="s">
        <v>995</v>
      </c>
      <c r="Q118" s="112">
        <v>4</v>
      </c>
      <c r="R118" s="112">
        <v>3</v>
      </c>
      <c r="S118" s="147">
        <f t="shared" si="22"/>
        <v>12</v>
      </c>
      <c r="T118" s="150" t="str">
        <f>_xlfn.IFNA(VLOOKUP(S118,Parameter!$D$53:$E$77,2),"")</f>
        <v>SEDANG</v>
      </c>
      <c r="U118" s="130" t="s">
        <v>1009</v>
      </c>
      <c r="V118" s="124" t="s">
        <v>1023</v>
      </c>
      <c r="W118" s="124" t="s">
        <v>1010</v>
      </c>
      <c r="X118" s="124" t="s">
        <v>1011</v>
      </c>
      <c r="Y118" s="124" t="s">
        <v>267</v>
      </c>
      <c r="Z118" s="124"/>
      <c r="AA118" s="126" t="s">
        <v>1013</v>
      </c>
      <c r="AB118" s="111" t="s">
        <v>1014</v>
      </c>
      <c r="AC118" s="156">
        <v>46387</v>
      </c>
      <c r="AD118" s="163">
        <v>46102</v>
      </c>
      <c r="AE118" s="115" t="s">
        <v>1012</v>
      </c>
      <c r="AF118" s="163"/>
      <c r="AG118" s="115"/>
      <c r="AH118" s="163"/>
      <c r="AI118" s="115"/>
      <c r="AJ118" s="163"/>
      <c r="AK118" s="115"/>
      <c r="AL118" s="169">
        <f t="shared" si="25"/>
        <v>4</v>
      </c>
      <c r="AM118" s="112">
        <f t="shared" si="25"/>
        <v>3</v>
      </c>
      <c r="AN118" s="171">
        <f t="shared" si="23"/>
        <v>12</v>
      </c>
      <c r="AO118" s="150" t="str">
        <f>_xlfn.IFNA(VLOOKUP(AN118,Parameter!$D$53:$E$77,2),"")</f>
        <v>SEDANG</v>
      </c>
      <c r="AP118" s="167" t="s">
        <v>379</v>
      </c>
      <c r="AQ118" s="116"/>
    </row>
    <row r="119" spans="1:43" ht="288" x14ac:dyDescent="0.3">
      <c r="A119" s="114" t="s">
        <v>48</v>
      </c>
      <c r="B119" s="112">
        <f t="shared" si="21"/>
        <v>105</v>
      </c>
      <c r="C119" s="124" t="s">
        <v>989</v>
      </c>
      <c r="D119" s="169" t="s">
        <v>268</v>
      </c>
      <c r="E119" s="176" t="s">
        <v>256</v>
      </c>
      <c r="F119" s="118" t="s">
        <v>368</v>
      </c>
      <c r="G119" s="117" t="s">
        <v>49</v>
      </c>
      <c r="H119" s="173" t="s">
        <v>50</v>
      </c>
      <c r="I119" s="127" t="s">
        <v>990</v>
      </c>
      <c r="J119" s="113" t="s">
        <v>991</v>
      </c>
      <c r="K119" s="113" t="s">
        <v>992</v>
      </c>
      <c r="L119" s="113" t="s">
        <v>993</v>
      </c>
      <c r="M119" s="113" t="s">
        <v>994</v>
      </c>
      <c r="N119" s="117" t="s">
        <v>382</v>
      </c>
      <c r="O119" s="120" t="s">
        <v>802</v>
      </c>
      <c r="P119" s="119" t="s">
        <v>995</v>
      </c>
      <c r="Q119" s="112">
        <v>3</v>
      </c>
      <c r="R119" s="112">
        <v>4</v>
      </c>
      <c r="S119" s="147">
        <f t="shared" si="22"/>
        <v>12</v>
      </c>
      <c r="T119" s="150" t="str">
        <f>_xlfn.IFNA(VLOOKUP(S119,Parameter!$D$53:$E$77,2),"")</f>
        <v>SEDANG</v>
      </c>
      <c r="U119" s="130" t="s">
        <v>996</v>
      </c>
      <c r="V119" s="124" t="s">
        <v>997</v>
      </c>
      <c r="W119" s="124" t="s">
        <v>998</v>
      </c>
      <c r="X119" s="124" t="s">
        <v>999</v>
      </c>
      <c r="Y119" s="124" t="s">
        <v>262</v>
      </c>
      <c r="Z119" s="124" t="s">
        <v>267</v>
      </c>
      <c r="AA119" s="126" t="s">
        <v>1002</v>
      </c>
      <c r="AB119" s="111" t="s">
        <v>1001</v>
      </c>
      <c r="AC119" s="156">
        <v>46387</v>
      </c>
      <c r="AD119" s="163">
        <v>46102</v>
      </c>
      <c r="AE119" s="115" t="s">
        <v>1000</v>
      </c>
      <c r="AF119" s="163"/>
      <c r="AG119" s="115"/>
      <c r="AH119" s="163"/>
      <c r="AI119" s="115"/>
      <c r="AJ119" s="163"/>
      <c r="AK119" s="115"/>
      <c r="AL119" s="169">
        <f t="shared" si="25"/>
        <v>3</v>
      </c>
      <c r="AM119" s="112">
        <f t="shared" si="25"/>
        <v>4</v>
      </c>
      <c r="AN119" s="171">
        <f t="shared" si="23"/>
        <v>12</v>
      </c>
      <c r="AO119" s="150" t="str">
        <f>_xlfn.IFNA(VLOOKUP(AN119,Parameter!$D$53:$E$77,2),"")</f>
        <v>SEDANG</v>
      </c>
      <c r="AP119" s="167" t="s">
        <v>379</v>
      </c>
      <c r="AQ119" s="116"/>
    </row>
    <row r="120" spans="1:43" ht="342" x14ac:dyDescent="0.3">
      <c r="A120" s="114" t="s">
        <v>48</v>
      </c>
      <c r="B120" s="112">
        <f t="shared" si="21"/>
        <v>106</v>
      </c>
      <c r="C120" s="124" t="s">
        <v>1201</v>
      </c>
      <c r="D120" s="169" t="s">
        <v>268</v>
      </c>
      <c r="E120" s="176" t="s">
        <v>256</v>
      </c>
      <c r="F120" s="118" t="s">
        <v>368</v>
      </c>
      <c r="G120" s="117" t="s">
        <v>49</v>
      </c>
      <c r="H120" s="173" t="s">
        <v>50</v>
      </c>
      <c r="I120" s="127" t="s">
        <v>1202</v>
      </c>
      <c r="J120" s="113" t="s">
        <v>1203</v>
      </c>
      <c r="K120" s="113" t="s">
        <v>1204</v>
      </c>
      <c r="L120" s="113" t="s">
        <v>1205</v>
      </c>
      <c r="M120" s="113" t="s">
        <v>1206</v>
      </c>
      <c r="N120" s="117" t="s">
        <v>382</v>
      </c>
      <c r="O120" s="120" t="s">
        <v>747</v>
      </c>
      <c r="P120" s="119" t="s">
        <v>1207</v>
      </c>
      <c r="Q120" s="112">
        <v>3</v>
      </c>
      <c r="R120" s="112">
        <v>4</v>
      </c>
      <c r="S120" s="147">
        <f t="shared" si="22"/>
        <v>12</v>
      </c>
      <c r="T120" s="150" t="str">
        <f>_xlfn.IFNA(VLOOKUP(S120,Parameter!$D$53:$E$77,2),"")</f>
        <v>SEDANG</v>
      </c>
      <c r="U120" s="130" t="s">
        <v>1208</v>
      </c>
      <c r="V120" s="124" t="s">
        <v>1209</v>
      </c>
      <c r="W120" s="124" t="s">
        <v>1210</v>
      </c>
      <c r="X120" s="124" t="s">
        <v>1211</v>
      </c>
      <c r="Y120" s="124" t="s">
        <v>254</v>
      </c>
      <c r="Z120" s="124" t="s">
        <v>267</v>
      </c>
      <c r="AA120" s="126" t="s">
        <v>1214</v>
      </c>
      <c r="AB120" s="111" t="s">
        <v>1212</v>
      </c>
      <c r="AC120" s="156">
        <v>46387</v>
      </c>
      <c r="AD120" s="163">
        <v>46102</v>
      </c>
      <c r="AE120" s="115" t="s">
        <v>1213</v>
      </c>
      <c r="AF120" s="163"/>
      <c r="AG120" s="115"/>
      <c r="AH120" s="163"/>
      <c r="AI120" s="115"/>
      <c r="AJ120" s="163"/>
      <c r="AK120" s="115"/>
      <c r="AL120" s="169">
        <f t="shared" si="25"/>
        <v>3</v>
      </c>
      <c r="AM120" s="112">
        <f t="shared" si="25"/>
        <v>4</v>
      </c>
      <c r="AN120" s="171">
        <f t="shared" si="23"/>
        <v>12</v>
      </c>
      <c r="AO120" s="150" t="str">
        <f>_xlfn.IFNA(VLOOKUP(AN120,Parameter!$D$53:$E$77,2),"")</f>
        <v>SEDANG</v>
      </c>
      <c r="AP120" s="167" t="s">
        <v>379</v>
      </c>
      <c r="AQ120" s="116"/>
    </row>
    <row r="121" spans="1:43" ht="360" x14ac:dyDescent="0.3">
      <c r="A121" s="114" t="s">
        <v>48</v>
      </c>
      <c r="B121" s="112">
        <f t="shared" si="21"/>
        <v>107</v>
      </c>
      <c r="C121" s="124" t="s">
        <v>1187</v>
      </c>
      <c r="D121" s="169" t="s">
        <v>268</v>
      </c>
      <c r="E121" s="176" t="s">
        <v>256</v>
      </c>
      <c r="F121" s="118" t="s">
        <v>368</v>
      </c>
      <c r="G121" s="117" t="s">
        <v>49</v>
      </c>
      <c r="H121" s="173" t="s">
        <v>50</v>
      </c>
      <c r="I121" s="127" t="s">
        <v>1188</v>
      </c>
      <c r="J121" s="113" t="s">
        <v>1189</v>
      </c>
      <c r="K121" s="113" t="s">
        <v>1190</v>
      </c>
      <c r="L121" s="113" t="s">
        <v>1191</v>
      </c>
      <c r="M121" s="113" t="s">
        <v>1192</v>
      </c>
      <c r="N121" s="117" t="s">
        <v>385</v>
      </c>
      <c r="O121" s="120" t="s">
        <v>747</v>
      </c>
      <c r="P121" s="119" t="s">
        <v>1193</v>
      </c>
      <c r="Q121" s="112">
        <v>3</v>
      </c>
      <c r="R121" s="112">
        <v>3</v>
      </c>
      <c r="S121" s="147">
        <f t="shared" si="22"/>
        <v>9</v>
      </c>
      <c r="T121" s="150" t="str">
        <f>_xlfn.IFNA(VLOOKUP(S121,Parameter!$D$53:$E$77,2),"")</f>
        <v>SEDANG-RENDAH</v>
      </c>
      <c r="U121" s="130" t="s">
        <v>1194</v>
      </c>
      <c r="V121" s="124" t="s">
        <v>1195</v>
      </c>
      <c r="W121" s="124" t="s">
        <v>1196</v>
      </c>
      <c r="X121" s="124" t="s">
        <v>1197</v>
      </c>
      <c r="Y121" s="124" t="s">
        <v>267</v>
      </c>
      <c r="Z121" s="124"/>
      <c r="AA121" s="126" t="s">
        <v>1200</v>
      </c>
      <c r="AB121" s="111" t="s">
        <v>1199</v>
      </c>
      <c r="AC121" s="156">
        <v>46387</v>
      </c>
      <c r="AD121" s="163">
        <v>46102</v>
      </c>
      <c r="AE121" s="115" t="s">
        <v>1198</v>
      </c>
      <c r="AF121" s="163"/>
      <c r="AG121" s="115"/>
      <c r="AH121" s="163"/>
      <c r="AI121" s="115"/>
      <c r="AJ121" s="163"/>
      <c r="AK121" s="115"/>
      <c r="AL121" s="169">
        <f t="shared" si="25"/>
        <v>3</v>
      </c>
      <c r="AM121" s="112">
        <f t="shared" si="25"/>
        <v>3</v>
      </c>
      <c r="AN121" s="171">
        <f t="shared" si="23"/>
        <v>9</v>
      </c>
      <c r="AO121" s="150" t="str">
        <f>_xlfn.IFNA(VLOOKUP(AN121,Parameter!$D$53:$E$77,2),"")</f>
        <v>SEDANG-RENDAH</v>
      </c>
      <c r="AP121" s="167" t="s">
        <v>379</v>
      </c>
      <c r="AQ121" s="116"/>
    </row>
    <row r="122" spans="1:43" ht="360" x14ac:dyDescent="0.3">
      <c r="A122" s="114" t="s">
        <v>48</v>
      </c>
      <c r="B122" s="112">
        <f t="shared" si="21"/>
        <v>108</v>
      </c>
      <c r="C122" s="124" t="s">
        <v>976</v>
      </c>
      <c r="D122" s="169" t="s">
        <v>272</v>
      </c>
      <c r="E122" s="176" t="s">
        <v>52</v>
      </c>
      <c r="F122" s="118" t="s">
        <v>368</v>
      </c>
      <c r="G122" s="117" t="s">
        <v>49</v>
      </c>
      <c r="H122" s="173" t="s">
        <v>50</v>
      </c>
      <c r="I122" s="127" t="s">
        <v>977</v>
      </c>
      <c r="J122" s="113" t="s">
        <v>978</v>
      </c>
      <c r="K122" s="113" t="s">
        <v>979</v>
      </c>
      <c r="L122" s="113" t="s">
        <v>980</v>
      </c>
      <c r="M122" s="113" t="s">
        <v>981</v>
      </c>
      <c r="N122" s="117" t="s">
        <v>385</v>
      </c>
      <c r="O122" s="120" t="s">
        <v>747</v>
      </c>
      <c r="P122" s="119" t="s">
        <v>982</v>
      </c>
      <c r="Q122" s="112">
        <v>4</v>
      </c>
      <c r="R122" s="112">
        <v>4</v>
      </c>
      <c r="S122" s="147">
        <f t="shared" si="22"/>
        <v>16</v>
      </c>
      <c r="T122" s="150" t="str">
        <f>_xlfn.IFNA(VLOOKUP(S122,Parameter!$D$53:$E$77,2),"")</f>
        <v>SEDANG-TINGGI</v>
      </c>
      <c r="U122" s="130" t="s">
        <v>983</v>
      </c>
      <c r="V122" s="124" t="s">
        <v>984</v>
      </c>
      <c r="W122" s="124" t="s">
        <v>985</v>
      </c>
      <c r="X122" s="124" t="s">
        <v>986</v>
      </c>
      <c r="Y122" s="124" t="s">
        <v>267</v>
      </c>
      <c r="Z122" s="124"/>
      <c r="AA122" s="126" t="s">
        <v>988</v>
      </c>
      <c r="AB122" s="111" t="s">
        <v>271</v>
      </c>
      <c r="AC122" s="156">
        <v>46387</v>
      </c>
      <c r="AD122" s="163">
        <v>46102</v>
      </c>
      <c r="AE122" s="115" t="s">
        <v>987</v>
      </c>
      <c r="AF122" s="163"/>
      <c r="AG122" s="115"/>
      <c r="AH122" s="163"/>
      <c r="AI122" s="115"/>
      <c r="AJ122" s="163"/>
      <c r="AK122" s="115"/>
      <c r="AL122" s="169">
        <f t="shared" si="25"/>
        <v>4</v>
      </c>
      <c r="AM122" s="112">
        <f t="shared" si="25"/>
        <v>4</v>
      </c>
      <c r="AN122" s="171">
        <f t="shared" si="23"/>
        <v>16</v>
      </c>
      <c r="AO122" s="150" t="str">
        <f>_xlfn.IFNA(VLOOKUP(AN122,Parameter!$D$53:$E$77,2),"")</f>
        <v>SEDANG-TINGGI</v>
      </c>
      <c r="AP122" s="167" t="s">
        <v>379</v>
      </c>
      <c r="AQ122" s="116"/>
    </row>
    <row r="123" spans="1:43" ht="342" x14ac:dyDescent="0.3">
      <c r="A123" s="114" t="s">
        <v>48</v>
      </c>
      <c r="B123" s="178">
        <f t="shared" si="21"/>
        <v>109</v>
      </c>
      <c r="C123" s="124" t="s">
        <v>2005</v>
      </c>
      <c r="D123" s="169" t="s">
        <v>312</v>
      </c>
      <c r="E123" s="176" t="s">
        <v>256</v>
      </c>
      <c r="F123" s="118" t="s">
        <v>368</v>
      </c>
      <c r="G123" s="117" t="s">
        <v>49</v>
      </c>
      <c r="H123" s="173" t="s">
        <v>50</v>
      </c>
      <c r="I123" s="127" t="s">
        <v>575</v>
      </c>
      <c r="J123" s="113" t="s">
        <v>576</v>
      </c>
      <c r="K123" s="113" t="s">
        <v>577</v>
      </c>
      <c r="L123" s="113" t="s">
        <v>578</v>
      </c>
      <c r="M123" s="113" t="s">
        <v>579</v>
      </c>
      <c r="N123" s="117" t="s">
        <v>384</v>
      </c>
      <c r="O123" s="120" t="s">
        <v>482</v>
      </c>
      <c r="P123" s="119" t="s">
        <v>580</v>
      </c>
      <c r="Q123" s="112">
        <v>4</v>
      </c>
      <c r="R123" s="112">
        <v>4</v>
      </c>
      <c r="S123" s="147">
        <f t="shared" si="22"/>
        <v>16</v>
      </c>
      <c r="T123" s="150" t="str">
        <f>_xlfn.IFNA(VLOOKUP(S123,Parameter!$D$53:$E$77,2),"")</f>
        <v>SEDANG-TINGGI</v>
      </c>
      <c r="U123" s="130" t="s">
        <v>581</v>
      </c>
      <c r="V123" s="124" t="s">
        <v>582</v>
      </c>
      <c r="W123" s="124" t="s">
        <v>583</v>
      </c>
      <c r="X123" s="124" t="s">
        <v>584</v>
      </c>
      <c r="Y123" s="124" t="s">
        <v>310</v>
      </c>
      <c r="Z123" s="124"/>
      <c r="AA123" s="126" t="s">
        <v>586</v>
      </c>
      <c r="AB123" s="145" t="s">
        <v>489</v>
      </c>
      <c r="AC123" s="156">
        <v>46387</v>
      </c>
      <c r="AD123" s="163">
        <v>46102</v>
      </c>
      <c r="AE123" s="115" t="s">
        <v>585</v>
      </c>
      <c r="AF123" s="163"/>
      <c r="AG123" s="115"/>
      <c r="AH123" s="163"/>
      <c r="AI123" s="115"/>
      <c r="AJ123" s="163"/>
      <c r="AK123" s="115"/>
      <c r="AL123" s="169">
        <f>Q123</f>
        <v>4</v>
      </c>
      <c r="AM123" s="112">
        <v>4</v>
      </c>
      <c r="AN123" s="171">
        <f t="shared" si="23"/>
        <v>16</v>
      </c>
      <c r="AO123" s="150" t="str">
        <f>_xlfn.IFNA(VLOOKUP(AN123,Parameter!$D$53:$E$77,2),"")</f>
        <v>SEDANG-TINGGI</v>
      </c>
      <c r="AP123" s="167" t="s">
        <v>379</v>
      </c>
      <c r="AQ123" s="116"/>
    </row>
    <row r="124" spans="1:43" ht="90" x14ac:dyDescent="0.3">
      <c r="A124" s="114" t="s">
        <v>48</v>
      </c>
      <c r="B124" s="112">
        <f t="shared" si="21"/>
        <v>110</v>
      </c>
      <c r="C124" s="124" t="s">
        <v>1990</v>
      </c>
      <c r="D124" s="169" t="s">
        <v>292</v>
      </c>
      <c r="E124" s="176" t="s">
        <v>52</v>
      </c>
      <c r="F124" s="118" t="s">
        <v>368</v>
      </c>
      <c r="G124" s="117" t="s">
        <v>377</v>
      </c>
      <c r="H124" s="173" t="s">
        <v>50</v>
      </c>
      <c r="I124" s="127" t="s">
        <v>400</v>
      </c>
      <c r="J124" s="113" t="s">
        <v>401</v>
      </c>
      <c r="K124" s="113" t="s">
        <v>402</v>
      </c>
      <c r="L124" s="113" t="s">
        <v>403</v>
      </c>
      <c r="M124" s="113" t="s">
        <v>404</v>
      </c>
      <c r="N124" s="117" t="s">
        <v>385</v>
      </c>
      <c r="O124" s="120" t="s">
        <v>405</v>
      </c>
      <c r="P124" s="119" t="s">
        <v>406</v>
      </c>
      <c r="Q124" s="112">
        <v>4</v>
      </c>
      <c r="R124" s="112">
        <v>4</v>
      </c>
      <c r="S124" s="147">
        <f t="shared" si="22"/>
        <v>16</v>
      </c>
      <c r="T124" s="150" t="str">
        <f>_xlfn.IFNA(VLOOKUP(S124,Parameter!$D$53:$E$77,2),"")</f>
        <v>SEDANG-TINGGI</v>
      </c>
      <c r="U124" s="130" t="s">
        <v>407</v>
      </c>
      <c r="V124" s="124" t="s">
        <v>408</v>
      </c>
      <c r="W124" s="124" t="s">
        <v>409</v>
      </c>
      <c r="X124" s="124" t="s">
        <v>410</v>
      </c>
      <c r="Y124" s="124" t="s">
        <v>290</v>
      </c>
      <c r="Z124" s="124"/>
      <c r="AA124" s="126" t="s">
        <v>411</v>
      </c>
      <c r="AB124" s="111" t="s">
        <v>294</v>
      </c>
      <c r="AC124" s="156">
        <v>46387</v>
      </c>
      <c r="AD124" s="163">
        <v>46102</v>
      </c>
      <c r="AE124" s="115" t="s">
        <v>412</v>
      </c>
      <c r="AF124" s="163"/>
      <c r="AG124" s="115"/>
      <c r="AH124" s="163"/>
      <c r="AI124" s="115"/>
      <c r="AJ124" s="163"/>
      <c r="AK124" s="115"/>
      <c r="AL124" s="169">
        <f>Q124</f>
        <v>4</v>
      </c>
      <c r="AM124" s="112">
        <v>3</v>
      </c>
      <c r="AN124" s="171">
        <f t="shared" si="23"/>
        <v>12</v>
      </c>
      <c r="AO124" s="150" t="str">
        <f>_xlfn.IFNA(VLOOKUP(AN124,Parameter!$D$53:$E$77,2),"")</f>
        <v>SEDANG</v>
      </c>
      <c r="AP124" s="167" t="s">
        <v>379</v>
      </c>
      <c r="AQ124" s="116"/>
    </row>
    <row r="125" spans="1:43" ht="342" x14ac:dyDescent="0.3">
      <c r="A125" s="114" t="s">
        <v>48</v>
      </c>
      <c r="B125" s="112">
        <f t="shared" si="21"/>
        <v>111</v>
      </c>
      <c r="C125" s="124" t="s">
        <v>2004</v>
      </c>
      <c r="D125" s="169" t="s">
        <v>972</v>
      </c>
      <c r="E125" s="176" t="s">
        <v>256</v>
      </c>
      <c r="F125" s="118" t="s">
        <v>368</v>
      </c>
      <c r="G125" s="117" t="s">
        <v>49</v>
      </c>
      <c r="H125" s="173" t="s">
        <v>50</v>
      </c>
      <c r="I125" s="127" t="s">
        <v>1994</v>
      </c>
      <c r="J125" s="113" t="s">
        <v>1991</v>
      </c>
      <c r="K125" s="113" t="s">
        <v>1991</v>
      </c>
      <c r="L125" s="113" t="s">
        <v>1992</v>
      </c>
      <c r="M125" s="113" t="s">
        <v>1993</v>
      </c>
      <c r="N125" s="117" t="s">
        <v>363</v>
      </c>
      <c r="O125" s="120" t="s">
        <v>1995</v>
      </c>
      <c r="P125" s="119" t="s">
        <v>1996</v>
      </c>
      <c r="Q125" s="112">
        <v>3</v>
      </c>
      <c r="R125" s="112">
        <v>3</v>
      </c>
      <c r="S125" s="147">
        <f t="shared" ref="S125" si="26">Q125*R125</f>
        <v>9</v>
      </c>
      <c r="T125" s="150" t="str">
        <f>_xlfn.IFNA(VLOOKUP(S125,Parameter!$D$53:$E$77,2),"")</f>
        <v>SEDANG-RENDAH</v>
      </c>
      <c r="U125" s="130" t="s">
        <v>2002</v>
      </c>
      <c r="V125" s="124" t="s">
        <v>2003</v>
      </c>
      <c r="W125" s="124" t="s">
        <v>1997</v>
      </c>
      <c r="X125" s="124" t="s">
        <v>1998</v>
      </c>
      <c r="Y125" s="124" t="s">
        <v>317</v>
      </c>
      <c r="Z125" s="124" t="s">
        <v>325</v>
      </c>
      <c r="AA125" s="126" t="s">
        <v>2001</v>
      </c>
      <c r="AB125" s="145" t="s">
        <v>1999</v>
      </c>
      <c r="AC125" s="156">
        <v>46387</v>
      </c>
      <c r="AD125" s="163">
        <v>46102</v>
      </c>
      <c r="AE125" s="115" t="s">
        <v>2000</v>
      </c>
      <c r="AF125" s="165"/>
      <c r="AG125" s="115"/>
      <c r="AH125" s="165"/>
      <c r="AI125" s="115"/>
      <c r="AJ125" s="165"/>
      <c r="AK125" s="115"/>
      <c r="AL125" s="169">
        <f t="shared" ref="AL125" si="27">Q125</f>
        <v>3</v>
      </c>
      <c r="AM125" s="112">
        <f t="shared" ref="AM125" si="28">R125</f>
        <v>3</v>
      </c>
      <c r="AN125" s="171">
        <f t="shared" ref="AN125" si="29">AL125*AM125</f>
        <v>9</v>
      </c>
      <c r="AO125" s="150" t="str">
        <f>_xlfn.IFNA(VLOOKUP(AN125,Parameter!$D$53:$E$77,2),"")</f>
        <v>SEDANG-RENDAH</v>
      </c>
      <c r="AP125" s="167" t="s">
        <v>379</v>
      </c>
      <c r="AQ125" s="116"/>
    </row>
    <row r="126" spans="1:43" ht="19.2" x14ac:dyDescent="0.3">
      <c r="A126" s="114" t="s">
        <v>48</v>
      </c>
      <c r="B126" s="112">
        <f t="shared" si="21"/>
        <v>112</v>
      </c>
      <c r="C126" s="124"/>
      <c r="D126" s="169"/>
      <c r="E126" s="176" t="s">
        <v>256</v>
      </c>
      <c r="F126" s="118" t="s">
        <v>368</v>
      </c>
      <c r="G126" s="117" t="s">
        <v>49</v>
      </c>
      <c r="H126" s="173" t="s">
        <v>50</v>
      </c>
      <c r="I126" s="127"/>
      <c r="J126" s="113"/>
      <c r="K126" s="113"/>
      <c r="L126" s="113"/>
      <c r="M126" s="113"/>
      <c r="N126" s="117"/>
      <c r="O126" s="120"/>
      <c r="P126" s="119"/>
      <c r="Q126" s="112">
        <v>1</v>
      </c>
      <c r="R126" s="112">
        <v>1</v>
      </c>
      <c r="S126" s="147">
        <f t="shared" ref="S126" si="30">Q126*R126</f>
        <v>1</v>
      </c>
      <c r="T126" s="150" t="str">
        <f>_xlfn.IFNA(VLOOKUP(S126,Parameter!$D$53:$E$77,2),"")</f>
        <v>RENDAH</v>
      </c>
      <c r="U126" s="130"/>
      <c r="V126" s="124"/>
      <c r="W126" s="124"/>
      <c r="X126" s="124"/>
      <c r="Y126" s="124"/>
      <c r="Z126" s="124"/>
      <c r="AA126" s="126"/>
      <c r="AB126" s="145"/>
      <c r="AC126" s="156">
        <v>46387</v>
      </c>
      <c r="AD126" s="163">
        <v>46102</v>
      </c>
      <c r="AE126" s="115"/>
      <c r="AF126" s="165"/>
      <c r="AG126" s="115"/>
      <c r="AH126" s="165"/>
      <c r="AI126" s="115"/>
      <c r="AJ126" s="165"/>
      <c r="AK126" s="115"/>
      <c r="AL126" s="169">
        <f t="shared" ref="AL126" si="31">Q126</f>
        <v>1</v>
      </c>
      <c r="AM126" s="112">
        <f t="shared" ref="AM126" si="32">R126</f>
        <v>1</v>
      </c>
      <c r="AN126" s="171">
        <f t="shared" ref="AN126" si="33">AL126*AM126</f>
        <v>1</v>
      </c>
      <c r="AO126" s="150" t="str">
        <f>_xlfn.IFNA(VLOOKUP(AN126,Parameter!$D$53:$E$77,2),"")</f>
        <v>RENDAH</v>
      </c>
      <c r="AP126" s="167" t="s">
        <v>379</v>
      </c>
      <c r="AQ126" s="116"/>
    </row>
    <row r="127" spans="1:43" ht="19.2" x14ac:dyDescent="0.3">
      <c r="A127" s="114" t="s">
        <v>48</v>
      </c>
      <c r="B127" s="112">
        <f t="shared" si="21"/>
        <v>113</v>
      </c>
      <c r="C127" s="124"/>
      <c r="D127" s="169"/>
      <c r="E127" s="176" t="s">
        <v>256</v>
      </c>
      <c r="F127" s="118" t="s">
        <v>368</v>
      </c>
      <c r="G127" s="117" t="s">
        <v>49</v>
      </c>
      <c r="H127" s="173" t="s">
        <v>50</v>
      </c>
      <c r="I127" s="127"/>
      <c r="J127" s="113"/>
      <c r="K127" s="113"/>
      <c r="L127" s="113"/>
      <c r="M127" s="113"/>
      <c r="N127" s="117"/>
      <c r="O127" s="120"/>
      <c r="P127" s="119"/>
      <c r="Q127" s="112">
        <v>1</v>
      </c>
      <c r="R127" s="112">
        <v>1</v>
      </c>
      <c r="S127" s="147">
        <f t="shared" ref="S127" si="34">Q127*R127</f>
        <v>1</v>
      </c>
      <c r="T127" s="150" t="str">
        <f>_xlfn.IFNA(VLOOKUP(S127,Parameter!$D$53:$E$77,2),"")</f>
        <v>RENDAH</v>
      </c>
      <c r="U127" s="130"/>
      <c r="V127" s="124"/>
      <c r="W127" s="124"/>
      <c r="X127" s="124"/>
      <c r="Y127" s="124"/>
      <c r="Z127" s="124"/>
      <c r="AA127" s="126"/>
      <c r="AB127" s="145"/>
      <c r="AC127" s="156">
        <v>46387</v>
      </c>
      <c r="AD127" s="163">
        <v>46102</v>
      </c>
      <c r="AE127" s="115"/>
      <c r="AF127" s="165"/>
      <c r="AG127" s="115"/>
      <c r="AH127" s="165"/>
      <c r="AI127" s="115"/>
      <c r="AJ127" s="165"/>
      <c r="AK127" s="115"/>
      <c r="AL127" s="169">
        <f t="shared" ref="AL127" si="35">Q127</f>
        <v>1</v>
      </c>
      <c r="AM127" s="112">
        <f t="shared" ref="AM127" si="36">R127</f>
        <v>1</v>
      </c>
      <c r="AN127" s="171">
        <f t="shared" ref="AN127" si="37">AL127*AM127</f>
        <v>1</v>
      </c>
      <c r="AO127" s="150" t="str">
        <f>_xlfn.IFNA(VLOOKUP(AN127,Parameter!$D$53:$E$77,2),"")</f>
        <v>RENDAH</v>
      </c>
      <c r="AP127" s="167" t="s">
        <v>379</v>
      </c>
      <c r="AQ127" s="116"/>
    </row>
    <row r="128" spans="1:43" ht="19.8" thickBot="1" x14ac:dyDescent="0.35">
      <c r="A128" s="92"/>
      <c r="B128" s="96"/>
      <c r="C128" s="94"/>
      <c r="D128" s="177"/>
      <c r="E128" s="166"/>
      <c r="F128" s="131"/>
      <c r="G128" s="94"/>
      <c r="H128" s="174"/>
      <c r="I128" s="128"/>
      <c r="J128" s="95"/>
      <c r="K128" s="95"/>
      <c r="L128" s="95"/>
      <c r="M128" s="95"/>
      <c r="N128" s="94"/>
      <c r="O128" s="121"/>
      <c r="P128" s="122"/>
      <c r="Q128" s="96"/>
      <c r="R128" s="96"/>
      <c r="S128" s="148"/>
      <c r="T128" s="151"/>
      <c r="U128" s="131"/>
      <c r="V128" s="125"/>
      <c r="W128" s="125"/>
      <c r="X128" s="125"/>
      <c r="Y128" s="125"/>
      <c r="Z128" s="125"/>
      <c r="AA128" s="128"/>
      <c r="AB128" s="93"/>
      <c r="AC128" s="157"/>
      <c r="AD128" s="92"/>
      <c r="AE128" s="166"/>
      <c r="AF128" s="92"/>
      <c r="AG128" s="166"/>
      <c r="AH128" s="92"/>
      <c r="AI128" s="166"/>
      <c r="AJ128" s="92"/>
      <c r="AK128" s="166"/>
      <c r="AL128" s="170"/>
      <c r="AM128" s="96"/>
      <c r="AN128" s="148"/>
      <c r="AO128" s="151"/>
      <c r="AP128" s="168"/>
      <c r="AQ128" s="97"/>
    </row>
    <row r="129" spans="1:43" ht="18" x14ac:dyDescent="0.3">
      <c r="A129" s="1"/>
      <c r="B129" s="6">
        <f>SUBTOTAL(3, B24:B127)</f>
        <v>104</v>
      </c>
      <c r="C129" s="1"/>
      <c r="D129" s="2"/>
      <c r="E129" s="2"/>
      <c r="F129" s="2"/>
      <c r="G129" s="2"/>
      <c r="H129" s="2"/>
      <c r="I129" s="1"/>
      <c r="J129" s="1"/>
      <c r="K129" s="1"/>
      <c r="L129" s="1"/>
      <c r="M129" s="1"/>
      <c r="N129" s="1"/>
      <c r="O129" s="2"/>
      <c r="P129" s="2"/>
      <c r="Q129" s="2"/>
      <c r="R129" s="2"/>
      <c r="S129" s="2"/>
      <c r="T129" s="1"/>
      <c r="U129" s="1"/>
      <c r="V129" s="1"/>
      <c r="W129" s="1"/>
      <c r="X129" s="1"/>
      <c r="Y129" s="1"/>
      <c r="Z129" s="1"/>
      <c r="AA129" s="1"/>
      <c r="AB129" s="1"/>
      <c r="AC129" s="2"/>
      <c r="AD129" s="2"/>
      <c r="AE129" s="1"/>
      <c r="AF129" s="2"/>
      <c r="AG129" s="1"/>
      <c r="AH129" s="2"/>
      <c r="AI129" s="1"/>
      <c r="AJ129" s="2"/>
      <c r="AK129" s="1"/>
      <c r="AL129" s="2"/>
      <c r="AM129" s="2"/>
      <c r="AN129" s="2"/>
      <c r="AO129" s="1"/>
      <c r="AP129" s="1"/>
      <c r="AQ129" s="1"/>
    </row>
    <row r="130" spans="1:43" ht="18" x14ac:dyDescent="0.3">
      <c r="A130" s="1"/>
      <c r="B130" s="2"/>
      <c r="C130" s="186"/>
      <c r="D130" s="186"/>
      <c r="E130" s="186"/>
      <c r="F130" s="186"/>
      <c r="G130" s="180"/>
      <c r="H130" s="180"/>
      <c r="I130" s="186"/>
      <c r="J130" s="1"/>
      <c r="K130" s="1"/>
      <c r="L130" s="1"/>
      <c r="M130" s="1"/>
      <c r="N130" s="1"/>
      <c r="O130" s="2"/>
      <c r="P130" s="2"/>
      <c r="Q130" s="2"/>
      <c r="R130" s="2"/>
      <c r="S130" s="2"/>
      <c r="T130" s="1"/>
      <c r="U130" s="1"/>
      <c r="V130" s="1"/>
      <c r="W130" s="1"/>
      <c r="X130" s="1"/>
      <c r="Y130" s="1"/>
      <c r="Z130" s="1"/>
      <c r="AA130" s="1"/>
      <c r="AB130" s="1"/>
      <c r="AC130" s="2"/>
      <c r="AD130" s="2"/>
      <c r="AE130" s="1"/>
      <c r="AF130" s="2"/>
      <c r="AG130" s="1"/>
      <c r="AH130" s="2"/>
      <c r="AI130" s="1"/>
      <c r="AJ130" s="2"/>
      <c r="AK130" s="1"/>
      <c r="AL130" s="2"/>
      <c r="AM130" s="2"/>
      <c r="AN130" s="2"/>
      <c r="AO130" s="1"/>
      <c r="AP130" s="1"/>
      <c r="AQ130" s="1"/>
    </row>
    <row r="131" spans="1:43" ht="18" x14ac:dyDescent="0.3">
      <c r="A131" s="1"/>
      <c r="B131" s="2"/>
      <c r="C131" s="186"/>
      <c r="D131" s="186"/>
      <c r="E131" s="186"/>
      <c r="F131" s="186"/>
      <c r="G131" s="180"/>
      <c r="H131" s="180"/>
      <c r="I131" s="186"/>
      <c r="J131" s="1"/>
      <c r="K131" s="1"/>
      <c r="L131" s="1"/>
      <c r="M131" s="1"/>
      <c r="N131" s="1"/>
      <c r="O131" s="2"/>
      <c r="P131" s="2"/>
      <c r="Q131" s="2"/>
      <c r="R131" s="2"/>
      <c r="S131" s="2"/>
      <c r="T131" s="1"/>
      <c r="U131" s="1"/>
      <c r="V131" s="1"/>
      <c r="W131" s="1"/>
      <c r="X131" s="1"/>
      <c r="Y131" s="1"/>
      <c r="Z131" s="1"/>
      <c r="AA131" s="1"/>
      <c r="AB131" s="1"/>
      <c r="AC131" s="2"/>
      <c r="AD131" s="2"/>
      <c r="AE131" s="1"/>
      <c r="AF131" s="2"/>
      <c r="AG131" s="1"/>
      <c r="AH131" s="2"/>
      <c r="AI131" s="1"/>
      <c r="AJ131" s="2"/>
      <c r="AK131" s="1"/>
      <c r="AL131" s="2"/>
      <c r="AM131" s="2"/>
      <c r="AN131" s="2"/>
      <c r="AO131" s="1"/>
      <c r="AP131" s="1"/>
      <c r="AQ131" s="1"/>
    </row>
    <row r="132" spans="1:43" ht="18" x14ac:dyDescent="0.3">
      <c r="A132" s="1"/>
      <c r="B132" s="2"/>
      <c r="C132" s="186"/>
      <c r="D132" s="186"/>
      <c r="E132" s="186"/>
      <c r="F132" s="186"/>
      <c r="G132" s="180"/>
      <c r="H132" s="180"/>
      <c r="I132" s="186"/>
      <c r="J132" s="1"/>
      <c r="K132" s="1"/>
      <c r="L132" s="1"/>
      <c r="M132" s="1"/>
      <c r="N132" s="1"/>
      <c r="O132" s="2"/>
      <c r="P132" s="2"/>
      <c r="Q132" s="2"/>
      <c r="R132" s="2"/>
      <c r="S132" s="2"/>
      <c r="T132" s="1"/>
      <c r="U132" s="1"/>
      <c r="V132" s="1"/>
      <c r="W132" s="1"/>
      <c r="X132" s="1"/>
      <c r="Y132" s="1"/>
      <c r="Z132" s="1"/>
      <c r="AA132" s="1"/>
      <c r="AB132" s="1"/>
      <c r="AC132" s="2"/>
      <c r="AD132" s="2"/>
      <c r="AE132" s="1"/>
      <c r="AF132" s="2"/>
      <c r="AG132" s="1"/>
      <c r="AH132" s="2"/>
      <c r="AI132" s="1"/>
      <c r="AJ132" s="2"/>
      <c r="AK132" s="1"/>
      <c r="AL132" s="2"/>
      <c r="AM132" s="2"/>
      <c r="AN132" s="2"/>
      <c r="AO132" s="1"/>
      <c r="AP132" s="1"/>
      <c r="AQ132" s="1"/>
    </row>
    <row r="133" spans="1:43" ht="18" x14ac:dyDescent="0.3">
      <c r="A133" s="1"/>
      <c r="B133" s="2"/>
      <c r="C133" s="186"/>
      <c r="D133" s="186"/>
      <c r="E133" s="186"/>
      <c r="F133" s="186"/>
      <c r="G133" s="180"/>
      <c r="H133" s="180"/>
      <c r="I133" s="186"/>
      <c r="J133" s="1"/>
      <c r="K133" s="1"/>
      <c r="L133" s="1"/>
      <c r="M133" s="1"/>
      <c r="N133" s="1"/>
      <c r="O133" s="2"/>
      <c r="P133" s="2"/>
      <c r="Q133" s="2"/>
      <c r="R133" s="2"/>
      <c r="S133" s="2"/>
      <c r="T133" s="1"/>
      <c r="U133" s="1"/>
      <c r="V133" s="1"/>
      <c r="W133" s="1"/>
      <c r="X133" s="1"/>
      <c r="Y133" s="1"/>
      <c r="Z133" s="1"/>
      <c r="AA133" s="1"/>
      <c r="AB133" s="1"/>
      <c r="AC133" s="2"/>
      <c r="AD133" s="2"/>
      <c r="AE133" s="1"/>
      <c r="AF133" s="2"/>
      <c r="AG133" s="1"/>
      <c r="AH133" s="2"/>
      <c r="AI133" s="1"/>
      <c r="AJ133" s="2"/>
      <c r="AK133" s="1"/>
      <c r="AL133" s="2"/>
      <c r="AM133" s="2"/>
      <c r="AN133" s="2"/>
      <c r="AO133" s="1"/>
      <c r="AP133" s="1"/>
      <c r="AQ133" s="1"/>
    </row>
    <row r="134" spans="1:43" ht="18" x14ac:dyDescent="0.3">
      <c r="A134" s="1"/>
      <c r="B134" s="2"/>
      <c r="C134" s="152" t="s">
        <v>880</v>
      </c>
      <c r="D134" s="152" t="s">
        <v>889</v>
      </c>
      <c r="E134" s="193" t="s">
        <v>881</v>
      </c>
      <c r="F134" s="193"/>
      <c r="G134" s="193" t="s">
        <v>879</v>
      </c>
      <c r="H134" s="193"/>
      <c r="J134" s="1"/>
      <c r="K134" s="1"/>
      <c r="L134" s="1"/>
      <c r="M134" s="1"/>
      <c r="N134" s="1"/>
      <c r="O134" s="2"/>
      <c r="P134" s="2"/>
      <c r="Q134" s="2"/>
      <c r="R134" s="2"/>
      <c r="S134" s="2"/>
      <c r="T134" s="1"/>
      <c r="U134" s="1"/>
      <c r="V134" s="1"/>
      <c r="W134" s="1"/>
      <c r="X134" s="1"/>
      <c r="Y134" s="1"/>
      <c r="Z134" s="1"/>
      <c r="AA134" s="1"/>
      <c r="AB134" s="1"/>
      <c r="AC134" s="2"/>
      <c r="AD134" s="2"/>
      <c r="AE134" s="1"/>
      <c r="AF134" s="2"/>
      <c r="AG134" s="1"/>
      <c r="AH134" s="2"/>
      <c r="AI134" s="1"/>
      <c r="AJ134" s="2"/>
      <c r="AK134" s="1"/>
      <c r="AL134" s="2"/>
      <c r="AM134" s="2"/>
      <c r="AN134" s="2"/>
      <c r="AO134" s="1"/>
      <c r="AP134" s="1"/>
      <c r="AQ134" s="1"/>
    </row>
    <row r="135" spans="1:43" ht="18" x14ac:dyDescent="0.3">
      <c r="A135" s="1"/>
      <c r="B135" s="2"/>
      <c r="C135" s="152" t="s">
        <v>884</v>
      </c>
      <c r="D135" s="152" t="s">
        <v>273</v>
      </c>
      <c r="E135" s="193" t="s">
        <v>885</v>
      </c>
      <c r="F135" s="193"/>
      <c r="G135" s="193" t="s">
        <v>398</v>
      </c>
      <c r="H135" s="193"/>
      <c r="J135" s="1"/>
      <c r="K135" s="1"/>
      <c r="L135" s="1"/>
      <c r="M135" s="1"/>
      <c r="N135" s="1"/>
      <c r="O135" s="2"/>
      <c r="P135" s="2"/>
      <c r="Q135" s="2"/>
      <c r="R135" s="2"/>
      <c r="S135" s="2"/>
      <c r="T135" s="1"/>
      <c r="U135" s="1"/>
      <c r="V135" s="1"/>
      <c r="W135" s="1"/>
      <c r="X135" s="1"/>
      <c r="Y135" s="1"/>
      <c r="Z135" s="1"/>
      <c r="AA135" s="1"/>
      <c r="AB135" s="1"/>
      <c r="AC135" s="2"/>
      <c r="AD135" s="2"/>
      <c r="AE135" s="1"/>
      <c r="AF135" s="2"/>
      <c r="AG135" s="1"/>
      <c r="AH135" s="2"/>
      <c r="AI135" s="1"/>
      <c r="AJ135" s="2"/>
      <c r="AK135" s="1"/>
      <c r="AL135" s="2"/>
      <c r="AM135" s="2"/>
      <c r="AN135" s="2"/>
      <c r="AO135" s="1"/>
      <c r="AP135" s="1"/>
      <c r="AQ135" s="1"/>
    </row>
    <row r="136" spans="1:43" x14ac:dyDescent="0.3">
      <c r="E136" s="180"/>
      <c r="F136" s="180"/>
      <c r="H136" s="100"/>
    </row>
    <row r="137" spans="1:43" x14ac:dyDescent="0.3">
      <c r="E137" s="180"/>
      <c r="F137" s="180"/>
      <c r="H137" s="100"/>
    </row>
    <row r="138" spans="1:43" ht="18" x14ac:dyDescent="0.3">
      <c r="C138" s="186"/>
      <c r="D138" s="186"/>
      <c r="E138" s="180"/>
      <c r="F138" s="180"/>
      <c r="H138" s="2"/>
    </row>
    <row r="139" spans="1:43" ht="18" x14ac:dyDescent="0.3">
      <c r="C139" s="186"/>
      <c r="D139" s="186"/>
      <c r="E139" s="180"/>
      <c r="F139" s="180"/>
      <c r="H139" s="2"/>
    </row>
    <row r="140" spans="1:43" ht="18" x14ac:dyDescent="0.3">
      <c r="C140" s="186"/>
      <c r="D140" s="186"/>
      <c r="E140" s="180"/>
      <c r="F140" s="180"/>
      <c r="H140" s="2"/>
    </row>
    <row r="141" spans="1:43" ht="18" x14ac:dyDescent="0.3">
      <c r="C141" s="186"/>
      <c r="D141" s="186"/>
      <c r="E141" s="180"/>
      <c r="F141" s="180"/>
      <c r="H141" s="2"/>
    </row>
    <row r="142" spans="1:43" ht="18" x14ac:dyDescent="0.3">
      <c r="C142" s="152" t="s">
        <v>882</v>
      </c>
      <c r="D142" s="152" t="s">
        <v>890</v>
      </c>
      <c r="E142" s="193" t="s">
        <v>883</v>
      </c>
      <c r="F142" s="193"/>
      <c r="H142" s="152"/>
    </row>
    <row r="143" spans="1:43" ht="18" x14ac:dyDescent="0.3">
      <c r="C143" s="152" t="s">
        <v>886</v>
      </c>
      <c r="D143" s="152" t="s">
        <v>321</v>
      </c>
      <c r="E143" s="193" t="s">
        <v>891</v>
      </c>
      <c r="F143" s="193"/>
      <c r="H143" s="152"/>
    </row>
    <row r="144" spans="1:43" ht="18" x14ac:dyDescent="0.3">
      <c r="C144" s="1"/>
      <c r="D144" s="2"/>
      <c r="F144" s="186"/>
      <c r="G144" s="186"/>
      <c r="H144" s="2"/>
    </row>
    <row r="145" spans="3:8" ht="18" x14ac:dyDescent="0.3">
      <c r="C145" s="1"/>
      <c r="D145" s="2"/>
      <c r="F145" s="186"/>
      <c r="G145" s="186"/>
      <c r="H145" s="2"/>
    </row>
    <row r="146" spans="3:8" ht="18" x14ac:dyDescent="0.3">
      <c r="C146" s="186"/>
      <c r="D146" s="186"/>
      <c r="F146" s="186"/>
      <c r="G146" s="186"/>
      <c r="H146" s="2"/>
    </row>
    <row r="147" spans="3:8" ht="18" x14ac:dyDescent="0.3">
      <c r="C147" s="186"/>
      <c r="D147" s="186"/>
      <c r="F147" s="186"/>
      <c r="G147" s="186"/>
      <c r="H147" s="2"/>
    </row>
    <row r="148" spans="3:8" ht="18" x14ac:dyDescent="0.3">
      <c r="C148" s="186"/>
      <c r="D148" s="186"/>
      <c r="F148" s="186"/>
      <c r="G148" s="186"/>
      <c r="H148" s="2"/>
    </row>
    <row r="149" spans="3:8" ht="18" x14ac:dyDescent="0.3">
      <c r="C149" s="186"/>
      <c r="D149" s="186"/>
      <c r="F149" s="186"/>
      <c r="G149" s="186"/>
      <c r="H149" s="2"/>
    </row>
    <row r="150" spans="3:8" ht="18" x14ac:dyDescent="0.3">
      <c r="C150" s="152" t="s">
        <v>887</v>
      </c>
      <c r="D150" s="152"/>
      <c r="E150" s="193" t="s">
        <v>888</v>
      </c>
      <c r="F150" s="193"/>
      <c r="H150" s="152"/>
    </row>
    <row r="151" spans="3:8" ht="18" x14ac:dyDescent="0.3">
      <c r="C151" s="152" t="s">
        <v>333</v>
      </c>
      <c r="D151" s="152"/>
      <c r="E151" s="193" t="s">
        <v>279</v>
      </c>
      <c r="F151" s="193"/>
      <c r="H151" s="152"/>
    </row>
    <row r="152" spans="3:8" x14ac:dyDescent="0.3">
      <c r="F152" s="180"/>
      <c r="G152" s="180"/>
      <c r="H152" s="100"/>
    </row>
    <row r="153" spans="3:8" x14ac:dyDescent="0.3">
      <c r="F153" s="180"/>
      <c r="G153" s="180"/>
      <c r="H153" s="100"/>
    </row>
  </sheetData>
  <autoFilter ref="A14:AQ128" xr:uid="{00000000-0009-0000-0000-000000000000}"/>
  <sortState xmlns:xlrd2="http://schemas.microsoft.com/office/spreadsheetml/2017/richdata2" ref="C14:AQ124">
    <sortCondition ref="D14:D124"/>
    <sortCondition descending="1" ref="S14:S124"/>
  </sortState>
  <mergeCells count="56">
    <mergeCell ref="G135:H135"/>
    <mergeCell ref="C146:C149"/>
    <mergeCell ref="F146:G149"/>
    <mergeCell ref="F144:G145"/>
    <mergeCell ref="D146:D149"/>
    <mergeCell ref="E134:F134"/>
    <mergeCell ref="E135:F135"/>
    <mergeCell ref="E136:F141"/>
    <mergeCell ref="E150:F150"/>
    <mergeCell ref="E151:F151"/>
    <mergeCell ref="D11:D12"/>
    <mergeCell ref="C130:C133"/>
    <mergeCell ref="C138:C141"/>
    <mergeCell ref="D130:D133"/>
    <mergeCell ref="D138:D141"/>
    <mergeCell ref="AO11:AO12"/>
    <mergeCell ref="AP11:AP12"/>
    <mergeCell ref="AQ11:AQ12"/>
    <mergeCell ref="A10:H10"/>
    <mergeCell ref="I10:T10"/>
    <mergeCell ref="AA10:AQ10"/>
    <mergeCell ref="A11:B12"/>
    <mergeCell ref="C11:C12"/>
    <mergeCell ref="F11:F12"/>
    <mergeCell ref="G11:G12"/>
    <mergeCell ref="I11:J11"/>
    <mergeCell ref="K11:K12"/>
    <mergeCell ref="L11:L12"/>
    <mergeCell ref="M11:M12"/>
    <mergeCell ref="U11:U12"/>
    <mergeCell ref="Q11:Q12"/>
    <mergeCell ref="X11:X12"/>
    <mergeCell ref="Z11:Z12"/>
    <mergeCell ref="Y11:Y12"/>
    <mergeCell ref="AL11:AN11"/>
    <mergeCell ref="AA11:AC11"/>
    <mergeCell ref="AD11:AE11"/>
    <mergeCell ref="AF11:AG11"/>
    <mergeCell ref="AH11:AI11"/>
    <mergeCell ref="AJ11:AK11"/>
    <mergeCell ref="F152:G153"/>
    <mergeCell ref="W11:W12"/>
    <mergeCell ref="V11:V12"/>
    <mergeCell ref="N11:N12"/>
    <mergeCell ref="O11:P11"/>
    <mergeCell ref="I130:I133"/>
    <mergeCell ref="H11:H12"/>
    <mergeCell ref="R11:R12"/>
    <mergeCell ref="S11:S12"/>
    <mergeCell ref="T11:T12"/>
    <mergeCell ref="E142:F142"/>
    <mergeCell ref="E143:F143"/>
    <mergeCell ref="G130:H133"/>
    <mergeCell ref="G134:H134"/>
    <mergeCell ref="E11:E12"/>
    <mergeCell ref="E130:F133"/>
  </mergeCells>
  <conditionalFormatting sqref="T15:T128 AO15:AO128">
    <cfRule type="containsText" dxfId="129" priority="767" stopIfTrue="1" operator="containsText" text="SEDANG-RENDAH">
      <formula>NOT(ISERROR(SEARCH("SEDANG-RENDAH",T15)))</formula>
    </cfRule>
    <cfRule type="containsText" dxfId="128" priority="768" stopIfTrue="1" operator="containsText" text="SEDANG-TINGGI">
      <formula>NOT(ISERROR(SEARCH("SEDANG-TINGGI",T15)))</formula>
    </cfRule>
    <cfRule type="containsText" dxfId="127" priority="769" stopIfTrue="1" operator="containsText" text="SEDANG">
      <formula>NOT(ISERROR(SEARCH("SEDANG",T15)))</formula>
    </cfRule>
    <cfRule type="containsText" dxfId="126" priority="770" stopIfTrue="1" operator="containsText" text="TINGGI">
      <formula>NOT(ISERROR(SEARCH("TINGGI",T15)))</formula>
    </cfRule>
    <cfRule type="containsText" dxfId="125" priority="771" stopIfTrue="1" operator="containsText" text="RENDAH">
      <formula>NOT(ISERROR(SEARCH("RENDAH",T15)))</formula>
    </cfRule>
  </conditionalFormatting>
  <conditionalFormatting sqref="Y40:Y127">
    <cfRule type="containsText" dxfId="124" priority="16" stopIfTrue="1" operator="containsText" text="SEDANG-RENDAH">
      <formula>NOT(ISERROR(SEARCH(("SEDANG-RENDAH"),(Y40))))</formula>
    </cfRule>
    <cfRule type="containsText" dxfId="123" priority="17" stopIfTrue="1" operator="containsText" text="SEDANG-TINGGI">
      <formula>NOT(ISERROR(SEARCH(("SEDANG-TINGGI"),(Y40))))</formula>
    </cfRule>
    <cfRule type="containsText" dxfId="122" priority="18" stopIfTrue="1" operator="containsText" text="SEDANG">
      <formula>NOT(ISERROR(SEARCH(("SEDANG"),(Y40))))</formula>
    </cfRule>
    <cfRule type="containsText" dxfId="121" priority="19" stopIfTrue="1" operator="containsText" text="TINGGI">
      <formula>NOT(ISERROR(SEARCH(("TINGGI"),(Y40))))</formula>
    </cfRule>
    <cfRule type="containsText" dxfId="120" priority="20" stopIfTrue="1" operator="containsText" text="RENDAH">
      <formula>NOT(ISERROR(SEARCH(("RENDAH"),(Y40))))</formula>
    </cfRule>
    <cfRule type="containsText" dxfId="119" priority="376" stopIfTrue="1" operator="containsText" text="SEDANG-RENDAH">
      <formula>NOT(ISERROR(SEARCH(("SEDANG-RENDAH"),(Y40))))</formula>
    </cfRule>
    <cfRule type="containsText" dxfId="118" priority="377" stopIfTrue="1" operator="containsText" text="SEDANG-TINGGI">
      <formula>NOT(ISERROR(SEARCH(("SEDANG-TINGGI"),(Y40))))</formula>
    </cfRule>
    <cfRule type="containsText" dxfId="117" priority="378" stopIfTrue="1" operator="containsText" text="SEDANG">
      <formula>NOT(ISERROR(SEARCH(("SEDANG"),(Y40))))</formula>
    </cfRule>
    <cfRule type="containsText" dxfId="116" priority="379" stopIfTrue="1" operator="containsText" text="TINGGI">
      <formula>NOT(ISERROR(SEARCH(("TINGGI"),(Y40))))</formula>
    </cfRule>
    <cfRule type="containsText" dxfId="115" priority="380" stopIfTrue="1" operator="containsText" text="RENDAH">
      <formula>NOT(ISERROR(SEARCH(("RENDAH"),(Y40))))</formula>
    </cfRule>
  </conditionalFormatting>
  <conditionalFormatting sqref="Y65:Y66">
    <cfRule type="containsText" dxfId="114" priority="1" stopIfTrue="1" operator="containsText" text="SEDANG-RENDAH">
      <formula>NOT(ISERROR(SEARCH(("SEDANG-RENDAH"),(Y65))))</formula>
    </cfRule>
    <cfRule type="containsText" dxfId="113" priority="2" stopIfTrue="1" operator="containsText" text="SEDANG-TINGGI">
      <formula>NOT(ISERROR(SEARCH(("SEDANG-TINGGI"),(Y65))))</formula>
    </cfRule>
    <cfRule type="containsText" dxfId="112" priority="3" stopIfTrue="1" operator="containsText" text="SEDANG">
      <formula>NOT(ISERROR(SEARCH(("SEDANG"),(Y65))))</formula>
    </cfRule>
    <cfRule type="containsText" dxfId="111" priority="4" stopIfTrue="1" operator="containsText" text="TINGGI">
      <formula>NOT(ISERROR(SEARCH(("TINGGI"),(Y65))))</formula>
    </cfRule>
    <cfRule type="containsText" dxfId="110" priority="5" stopIfTrue="1" operator="containsText" text="RENDAH">
      <formula>NOT(ISERROR(SEARCH(("RENDAH"),(Y65))))</formula>
    </cfRule>
    <cfRule type="containsText" dxfId="109" priority="6" stopIfTrue="1" operator="containsText" text="SEDANG-RENDAH">
      <formula>NOT(ISERROR(SEARCH(("SEDANG-RENDAH"),(Y65))))</formula>
    </cfRule>
    <cfRule type="containsText" dxfId="108" priority="7" stopIfTrue="1" operator="containsText" text="SEDANG-TINGGI">
      <formula>NOT(ISERROR(SEARCH(("SEDANG-TINGGI"),(Y65))))</formula>
    </cfRule>
    <cfRule type="containsText" dxfId="107" priority="8" stopIfTrue="1" operator="containsText" text="SEDANG">
      <formula>NOT(ISERROR(SEARCH(("SEDANG"),(Y65))))</formula>
    </cfRule>
    <cfRule type="containsText" dxfId="106" priority="9" stopIfTrue="1" operator="containsText" text="TINGGI">
      <formula>NOT(ISERROR(SEARCH(("TINGGI"),(Y65))))</formula>
    </cfRule>
    <cfRule type="containsText" dxfId="105" priority="10" stopIfTrue="1" operator="containsText" text="RENDAH">
      <formula>NOT(ISERROR(SEARCH(("RENDAH"),(Y65))))</formula>
    </cfRule>
    <cfRule type="containsText" dxfId="104" priority="11" stopIfTrue="1" operator="containsText" text="SEDANG-RENDAH">
      <formula>NOT(ISERROR(SEARCH(("SEDANG-RENDAH"),(Y65))))</formula>
    </cfRule>
    <cfRule type="containsText" dxfId="103" priority="12" stopIfTrue="1" operator="containsText" text="SEDANG-TINGGI">
      <formula>NOT(ISERROR(SEARCH(("SEDANG-TINGGI"),(Y65))))</formula>
    </cfRule>
    <cfRule type="containsText" dxfId="102" priority="13" stopIfTrue="1" operator="containsText" text="SEDANG">
      <formula>NOT(ISERROR(SEARCH(("SEDANG"),(Y65))))</formula>
    </cfRule>
    <cfRule type="containsText" dxfId="101" priority="14" stopIfTrue="1" operator="containsText" text="TINGGI">
      <formula>NOT(ISERROR(SEARCH(("TINGGI"),(Y65))))</formula>
    </cfRule>
    <cfRule type="containsText" dxfId="100" priority="15" stopIfTrue="1" operator="containsText" text="RENDAH">
      <formula>NOT(ISERROR(SEARCH(("RENDAH"),(Y65))))</formula>
    </cfRule>
  </conditionalFormatting>
  <conditionalFormatting sqref="Y67:Y127 Y15:Z24 X16:X20 X22:X24">
    <cfRule type="containsText" dxfId="99" priority="332" stopIfTrue="1" operator="containsText" text="SEDANG-TINGGI">
      <formula>NOT(ISERROR(SEARCH(("SEDANG-TINGGI"),(X15))))</formula>
    </cfRule>
  </conditionalFormatting>
  <conditionalFormatting sqref="Y15:Z24 X16:X20 X22:X24 Y67:Y127">
    <cfRule type="containsText" dxfId="98" priority="333" stopIfTrue="1" operator="containsText" text="SEDANG">
      <formula>NOT(ISERROR(SEARCH(("SEDANG"),(X15))))</formula>
    </cfRule>
    <cfRule type="containsText" dxfId="97" priority="334" stopIfTrue="1" operator="containsText" text="TINGGI">
      <formula>NOT(ISERROR(SEARCH(("TINGGI"),(X15))))</formula>
    </cfRule>
    <cfRule type="containsText" dxfId="96" priority="335" stopIfTrue="1" operator="containsText" text="RENDAH">
      <formula>NOT(ISERROR(SEARCH(("RENDAH"),(X15))))</formula>
    </cfRule>
  </conditionalFormatting>
  <conditionalFormatting sqref="Y15:Z39 Y67:Y127 Y79:Z80 X16:X20 X22:X24 X108:X127 Y25:Y64">
    <cfRule type="containsText" dxfId="95" priority="782" stopIfTrue="1" operator="containsText" text="SEDANG-RENDAH">
      <formula>NOT(ISERROR(SEARCH(("SEDANG-RENDAH"),(X15))))</formula>
    </cfRule>
  </conditionalFormatting>
  <conditionalFormatting sqref="Y25:Z39 Y79:Z80 X108:X127 Y25:Y64">
    <cfRule type="containsText" dxfId="94" priority="783" stopIfTrue="1" operator="containsText" text="SEDANG-TINGGI">
      <formula>NOT(ISERROR(SEARCH(("SEDANG-TINGGI"),(X25))))</formula>
    </cfRule>
    <cfRule type="containsText" dxfId="93" priority="784" stopIfTrue="1" operator="containsText" text="SEDANG">
      <formula>NOT(ISERROR(SEARCH(("SEDANG"),(X25))))</formula>
    </cfRule>
    <cfRule type="containsText" dxfId="92" priority="785" stopIfTrue="1" operator="containsText" text="TINGGI">
      <formula>NOT(ISERROR(SEARCH(("TINGGI"),(X25))))</formula>
    </cfRule>
    <cfRule type="containsText" dxfId="91" priority="786" stopIfTrue="1" operator="containsText" text="RENDAH">
      <formula>NOT(ISERROR(SEARCH(("RENDAH"),(X25))))</formula>
    </cfRule>
  </conditionalFormatting>
  <conditionalFormatting sqref="Y80:Z80 Z39:Z43">
    <cfRule type="containsText" dxfId="90" priority="441" stopIfTrue="1" operator="containsText" text="SEDANG-RENDAH">
      <formula>NOT(ISERROR(SEARCH(("SEDANG-RENDAH"),(Y39))))</formula>
    </cfRule>
  </conditionalFormatting>
  <conditionalFormatting sqref="Z39 Z44">
    <cfRule type="containsText" dxfId="89" priority="291" stopIfTrue="1" operator="containsText" text="SEDANG-RENDAH">
      <formula>NOT(ISERROR(SEARCH(("SEDANG-RENDAH"),(Z39))))</formula>
    </cfRule>
    <cfRule type="containsText" dxfId="88" priority="292" stopIfTrue="1" operator="containsText" text="SEDANG-TINGGI">
      <formula>NOT(ISERROR(SEARCH(("SEDANG-TINGGI"),(Z39))))</formula>
    </cfRule>
    <cfRule type="containsText" dxfId="87" priority="293" stopIfTrue="1" operator="containsText" text="SEDANG">
      <formula>NOT(ISERROR(SEARCH(("SEDANG"),(Z39))))</formula>
    </cfRule>
    <cfRule type="containsText" dxfId="86" priority="294" stopIfTrue="1" operator="containsText" text="TINGGI">
      <formula>NOT(ISERROR(SEARCH(("TINGGI"),(Z39))))</formula>
    </cfRule>
    <cfRule type="containsText" dxfId="85" priority="295" stopIfTrue="1" operator="containsText" text="RENDAH">
      <formula>NOT(ISERROR(SEARCH(("RENDAH"),(Z39))))</formula>
    </cfRule>
  </conditionalFormatting>
  <conditionalFormatting sqref="Z39:Z43 Y80:Z80">
    <cfRule type="containsText" dxfId="84" priority="442" stopIfTrue="1" operator="containsText" text="SEDANG-TINGGI">
      <formula>NOT(ISERROR(SEARCH(("SEDANG-TINGGI"),(Y39))))</formula>
    </cfRule>
    <cfRule type="containsText" dxfId="83" priority="443" stopIfTrue="1" operator="containsText" text="SEDANG">
      <formula>NOT(ISERROR(SEARCH(("SEDANG"),(Y39))))</formula>
    </cfRule>
    <cfRule type="containsText" dxfId="82" priority="444" stopIfTrue="1" operator="containsText" text="TINGGI">
      <formula>NOT(ISERROR(SEARCH(("TINGGI"),(Y39))))</formula>
    </cfRule>
    <cfRule type="containsText" dxfId="81" priority="445" stopIfTrue="1" operator="containsText" text="RENDAH">
      <formula>NOT(ISERROR(SEARCH(("RENDAH"),(Y39))))</formula>
    </cfRule>
  </conditionalFormatting>
  <conditionalFormatting sqref="Z44">
    <cfRule type="containsText" dxfId="80" priority="81" stopIfTrue="1" operator="containsText" text="SEDANG-RENDAH">
      <formula>NOT(ISERROR(SEARCH(("SEDANG-RENDAH"),(Z44))))</formula>
    </cfRule>
    <cfRule type="containsText" dxfId="79" priority="82" stopIfTrue="1" operator="containsText" text="SEDANG-TINGGI">
      <formula>NOT(ISERROR(SEARCH(("SEDANG-TINGGI"),(Z44))))</formula>
    </cfRule>
    <cfRule type="containsText" dxfId="78" priority="83" stopIfTrue="1" operator="containsText" text="SEDANG">
      <formula>NOT(ISERROR(SEARCH(("SEDANG"),(Z44))))</formula>
    </cfRule>
    <cfRule type="containsText" dxfId="77" priority="84" stopIfTrue="1" operator="containsText" text="TINGGI">
      <formula>NOT(ISERROR(SEARCH(("TINGGI"),(Z44))))</formula>
    </cfRule>
    <cfRule type="containsText" dxfId="76" priority="85" stopIfTrue="1" operator="containsText" text="RENDAH">
      <formula>NOT(ISERROR(SEARCH(("RENDAH"),(Z44))))</formula>
    </cfRule>
    <cfRule type="containsText" dxfId="75" priority="86" stopIfTrue="1" operator="containsText" text="SEDANG-RENDAH">
      <formula>NOT(ISERROR(SEARCH(("SEDANG-RENDAH"),(Z44))))</formula>
    </cfRule>
    <cfRule type="containsText" dxfId="74" priority="87" stopIfTrue="1" operator="containsText" text="SEDANG-TINGGI">
      <formula>NOT(ISERROR(SEARCH(("SEDANG-TINGGI"),(Z44))))</formula>
    </cfRule>
    <cfRule type="containsText" dxfId="73" priority="88" stopIfTrue="1" operator="containsText" text="SEDANG">
      <formula>NOT(ISERROR(SEARCH(("SEDANG"),(Z44))))</formula>
    </cfRule>
    <cfRule type="containsText" dxfId="72" priority="89" stopIfTrue="1" operator="containsText" text="TINGGI">
      <formula>NOT(ISERROR(SEARCH(("TINGGI"),(Z44))))</formula>
    </cfRule>
    <cfRule type="containsText" dxfId="71" priority="90" stopIfTrue="1" operator="containsText" text="RENDAH">
      <formula>NOT(ISERROR(SEARCH(("RENDAH"),(Z44))))</formula>
    </cfRule>
    <cfRule type="containsText" dxfId="70" priority="91" stopIfTrue="1" operator="containsText" text="SEDANG-RENDAH">
      <formula>NOT(ISERROR(SEARCH(("SEDANG-RENDAH"),(Z44))))</formula>
    </cfRule>
    <cfRule type="containsText" dxfId="69" priority="92" stopIfTrue="1" operator="containsText" text="SEDANG-TINGGI">
      <formula>NOT(ISERROR(SEARCH(("SEDANG-TINGGI"),(Z44))))</formula>
    </cfRule>
    <cfRule type="containsText" dxfId="68" priority="93" stopIfTrue="1" operator="containsText" text="SEDANG">
      <formula>NOT(ISERROR(SEARCH(("SEDANG"),(Z44))))</formula>
    </cfRule>
    <cfRule type="containsText" dxfId="67" priority="94" stopIfTrue="1" operator="containsText" text="TINGGI">
      <formula>NOT(ISERROR(SEARCH(("TINGGI"),(Z44))))</formula>
    </cfRule>
    <cfRule type="containsText" dxfId="66" priority="95" stopIfTrue="1" operator="containsText" text="RENDAH">
      <formula>NOT(ISERROR(SEARCH(("RENDAH"),(Z44))))</formula>
    </cfRule>
  </conditionalFormatting>
  <conditionalFormatting sqref="Z44:Z48">
    <cfRule type="containsText" dxfId="65" priority="71" stopIfTrue="1" operator="containsText" text="SEDANG-RENDAH">
      <formula>NOT(ISERROR(SEARCH(("SEDANG-RENDAH"),(Z44))))</formula>
    </cfRule>
    <cfRule type="containsText" dxfId="64" priority="72" stopIfTrue="1" operator="containsText" text="SEDANG-TINGGI">
      <formula>NOT(ISERROR(SEARCH(("SEDANG-TINGGI"),(Z44))))</formula>
    </cfRule>
    <cfRule type="containsText" dxfId="63" priority="73" stopIfTrue="1" operator="containsText" text="SEDANG">
      <formula>NOT(ISERROR(SEARCH(("SEDANG"),(Z44))))</formula>
    </cfRule>
    <cfRule type="containsText" dxfId="62" priority="74" stopIfTrue="1" operator="containsText" text="TINGGI">
      <formula>NOT(ISERROR(SEARCH(("TINGGI"),(Z44))))</formula>
    </cfRule>
    <cfRule type="containsText" dxfId="61" priority="75" stopIfTrue="1" operator="containsText" text="RENDAH">
      <formula>NOT(ISERROR(SEARCH(("RENDAH"),(Z44))))</formula>
    </cfRule>
  </conditionalFormatting>
  <conditionalFormatting sqref="Z45:Z46">
    <cfRule type="containsText" dxfId="60" priority="51" stopIfTrue="1" operator="containsText" text="SEDANG-RENDAH">
      <formula>NOT(ISERROR(SEARCH(("SEDANG-RENDAH"),(Z45))))</formula>
    </cfRule>
    <cfRule type="containsText" dxfId="59" priority="52" stopIfTrue="1" operator="containsText" text="SEDANG-TINGGI">
      <formula>NOT(ISERROR(SEARCH(("SEDANG-TINGGI"),(Z45))))</formula>
    </cfRule>
    <cfRule type="containsText" dxfId="58" priority="53" stopIfTrue="1" operator="containsText" text="SEDANG">
      <formula>NOT(ISERROR(SEARCH(("SEDANG"),(Z45))))</formula>
    </cfRule>
    <cfRule type="containsText" dxfId="57" priority="54" stopIfTrue="1" operator="containsText" text="TINGGI">
      <formula>NOT(ISERROR(SEARCH(("TINGGI"),(Z45))))</formula>
    </cfRule>
    <cfRule type="containsText" dxfId="56" priority="55" stopIfTrue="1" operator="containsText" text="RENDAH">
      <formula>NOT(ISERROR(SEARCH(("RENDAH"),(Z45))))</formula>
    </cfRule>
    <cfRule type="containsText" dxfId="55" priority="56" stopIfTrue="1" operator="containsText" text="SEDANG-RENDAH">
      <formula>NOT(ISERROR(SEARCH(("SEDANG-RENDAH"),(Z45))))</formula>
    </cfRule>
    <cfRule type="containsText" dxfId="54" priority="57" stopIfTrue="1" operator="containsText" text="SEDANG-TINGGI">
      <formula>NOT(ISERROR(SEARCH(("SEDANG-TINGGI"),(Z45))))</formula>
    </cfRule>
    <cfRule type="containsText" dxfId="53" priority="58" stopIfTrue="1" operator="containsText" text="SEDANG">
      <formula>NOT(ISERROR(SEARCH(("SEDANG"),(Z45))))</formula>
    </cfRule>
    <cfRule type="containsText" dxfId="52" priority="59" stopIfTrue="1" operator="containsText" text="TINGGI">
      <formula>NOT(ISERROR(SEARCH(("TINGGI"),(Z45))))</formula>
    </cfRule>
    <cfRule type="containsText" dxfId="51" priority="60" stopIfTrue="1" operator="containsText" text="RENDAH">
      <formula>NOT(ISERROR(SEARCH(("RENDAH"),(Z45))))</formula>
    </cfRule>
    <cfRule type="containsText" dxfId="50" priority="61" stopIfTrue="1" operator="containsText" text="SEDANG-RENDAH">
      <formula>NOT(ISERROR(SEARCH(("SEDANG-RENDAH"),(Z45))))</formula>
    </cfRule>
    <cfRule type="containsText" dxfId="49" priority="62" stopIfTrue="1" operator="containsText" text="SEDANG-TINGGI">
      <formula>NOT(ISERROR(SEARCH(("SEDANG-TINGGI"),(Z45))))</formula>
    </cfRule>
    <cfRule type="containsText" dxfId="48" priority="63" stopIfTrue="1" operator="containsText" text="SEDANG">
      <formula>NOT(ISERROR(SEARCH(("SEDANG"),(Z45))))</formula>
    </cfRule>
    <cfRule type="containsText" dxfId="47" priority="64" stopIfTrue="1" operator="containsText" text="TINGGI">
      <formula>NOT(ISERROR(SEARCH(("TINGGI"),(Z45))))</formula>
    </cfRule>
    <cfRule type="containsText" dxfId="46" priority="65" stopIfTrue="1" operator="containsText" text="RENDAH">
      <formula>NOT(ISERROR(SEARCH(("RENDAH"),(Z45))))</formula>
    </cfRule>
    <cfRule type="containsText" dxfId="45" priority="66" stopIfTrue="1" operator="containsText" text="SEDANG-RENDAH">
      <formula>NOT(ISERROR(SEARCH(("SEDANG-RENDAH"),(Z45))))</formula>
    </cfRule>
    <cfRule type="containsText" dxfId="44" priority="67" stopIfTrue="1" operator="containsText" text="SEDANG-TINGGI">
      <formula>NOT(ISERROR(SEARCH(("SEDANG-TINGGI"),(Z45))))</formula>
    </cfRule>
    <cfRule type="containsText" dxfId="43" priority="68" stopIfTrue="1" operator="containsText" text="SEDANG">
      <formula>NOT(ISERROR(SEARCH(("SEDANG"),(Z45))))</formula>
    </cfRule>
    <cfRule type="containsText" dxfId="42" priority="69" stopIfTrue="1" operator="containsText" text="TINGGI">
      <formula>NOT(ISERROR(SEARCH(("TINGGI"),(Z45))))</formula>
    </cfRule>
    <cfRule type="containsText" dxfId="41" priority="70" stopIfTrue="1" operator="containsText" text="RENDAH">
      <formula>NOT(ISERROR(SEARCH(("RENDAH"),(Z45))))</formula>
    </cfRule>
  </conditionalFormatting>
  <conditionalFormatting sqref="Z49:Z127">
    <cfRule type="containsText" dxfId="40" priority="26" stopIfTrue="1" operator="containsText" text="SEDANG-RENDAH">
      <formula>NOT(ISERROR(SEARCH(("SEDANG-RENDAH"),(Z49))))</formula>
    </cfRule>
    <cfRule type="containsText" dxfId="39" priority="27" stopIfTrue="1" operator="containsText" text="SEDANG-TINGGI">
      <formula>NOT(ISERROR(SEARCH(("SEDANG-TINGGI"),(Z49))))</formula>
    </cfRule>
    <cfRule type="containsText" dxfId="38" priority="28" stopIfTrue="1" operator="containsText" text="SEDANG">
      <formula>NOT(ISERROR(SEARCH(("SEDANG"),(Z49))))</formula>
    </cfRule>
    <cfRule type="containsText" dxfId="37" priority="29" stopIfTrue="1" operator="containsText" text="TINGGI">
      <formula>NOT(ISERROR(SEARCH(("TINGGI"),(Z49))))</formula>
    </cfRule>
    <cfRule type="containsText" dxfId="36" priority="30" stopIfTrue="1" operator="containsText" text="RENDAH">
      <formula>NOT(ISERROR(SEARCH(("RENDAH"),(Z49))))</formula>
    </cfRule>
    <cfRule type="containsText" dxfId="35" priority="31" stopIfTrue="1" operator="containsText" text="SEDANG-RENDAH">
      <formula>NOT(ISERROR(SEARCH(("SEDANG-RENDAH"),(Z49))))</formula>
    </cfRule>
    <cfRule type="containsText" dxfId="34" priority="32" stopIfTrue="1" operator="containsText" text="SEDANG-TINGGI">
      <formula>NOT(ISERROR(SEARCH(("SEDANG-TINGGI"),(Z49))))</formula>
    </cfRule>
    <cfRule type="containsText" dxfId="33" priority="33" stopIfTrue="1" operator="containsText" text="SEDANG">
      <formula>NOT(ISERROR(SEARCH(("SEDANG"),(Z49))))</formula>
    </cfRule>
    <cfRule type="containsText" dxfId="32" priority="34" stopIfTrue="1" operator="containsText" text="TINGGI">
      <formula>NOT(ISERROR(SEARCH(("TINGGI"),(Z49))))</formula>
    </cfRule>
    <cfRule type="containsText" dxfId="31" priority="35" stopIfTrue="1" operator="containsText" text="RENDAH">
      <formula>NOT(ISERROR(SEARCH(("RENDAH"),(Z49))))</formula>
    </cfRule>
    <cfRule type="containsText" dxfId="30" priority="36" stopIfTrue="1" operator="containsText" text="SEDANG-RENDAH">
      <formula>NOT(ISERROR(SEARCH(("SEDANG-RENDAH"),(Z49))))</formula>
    </cfRule>
    <cfRule type="containsText" dxfId="29" priority="37" stopIfTrue="1" operator="containsText" text="SEDANG-TINGGI">
      <formula>NOT(ISERROR(SEARCH(("SEDANG-TINGGI"),(Z49))))</formula>
    </cfRule>
    <cfRule type="containsText" dxfId="28" priority="38" stopIfTrue="1" operator="containsText" text="SEDANG">
      <formula>NOT(ISERROR(SEARCH(("SEDANG"),(Z49))))</formula>
    </cfRule>
    <cfRule type="containsText" dxfId="27" priority="39" stopIfTrue="1" operator="containsText" text="TINGGI">
      <formula>NOT(ISERROR(SEARCH(("TINGGI"),(Z49))))</formula>
    </cfRule>
    <cfRule type="containsText" dxfId="26" priority="40" stopIfTrue="1" operator="containsText" text="RENDAH">
      <formula>NOT(ISERROR(SEARCH(("RENDAH"),(Z49))))</formula>
    </cfRule>
    <cfRule type="containsText" dxfId="25" priority="41" stopIfTrue="1" operator="containsText" text="SEDANG-RENDAH">
      <formula>NOT(ISERROR(SEARCH(("SEDANG-RENDAH"),(Z49))))</formula>
    </cfRule>
    <cfRule type="containsText" dxfId="24" priority="42" stopIfTrue="1" operator="containsText" text="SEDANG-TINGGI">
      <formula>NOT(ISERROR(SEARCH(("SEDANG-TINGGI"),(Z49))))</formula>
    </cfRule>
    <cfRule type="containsText" dxfId="23" priority="43" stopIfTrue="1" operator="containsText" text="SEDANG">
      <formula>NOT(ISERROR(SEARCH(("SEDANG"),(Z49))))</formula>
    </cfRule>
    <cfRule type="containsText" dxfId="22" priority="44" stopIfTrue="1" operator="containsText" text="TINGGI">
      <formula>NOT(ISERROR(SEARCH(("TINGGI"),(Z49))))</formula>
    </cfRule>
    <cfRule type="containsText" dxfId="21" priority="45" stopIfTrue="1" operator="containsText" text="RENDAH">
      <formula>NOT(ISERROR(SEARCH(("RENDAH"),(Z49))))</formula>
    </cfRule>
    <cfRule type="containsText" dxfId="20" priority="46" stopIfTrue="1" operator="containsText" text="SEDANG-RENDAH">
      <formula>NOT(ISERROR(SEARCH(("SEDANG-RENDAH"),(Z49))))</formula>
    </cfRule>
    <cfRule type="containsText" dxfId="19" priority="47" stopIfTrue="1" operator="containsText" text="SEDANG-TINGGI">
      <formula>NOT(ISERROR(SEARCH(("SEDANG-TINGGI"),(Z49))))</formula>
    </cfRule>
    <cfRule type="containsText" dxfId="18" priority="48" stopIfTrue="1" operator="containsText" text="SEDANG">
      <formula>NOT(ISERROR(SEARCH(("SEDANG"),(Z49))))</formula>
    </cfRule>
    <cfRule type="containsText" dxfId="17" priority="49" stopIfTrue="1" operator="containsText" text="TINGGI">
      <formula>NOT(ISERROR(SEARCH(("TINGGI"),(Z49))))</formula>
    </cfRule>
    <cfRule type="containsText" dxfId="16" priority="50" stopIfTrue="1" operator="containsText" text="RENDAH">
      <formula>NOT(ISERROR(SEARCH(("RENDAH"),(Z49))))</formula>
    </cfRule>
  </conditionalFormatting>
  <conditionalFormatting sqref="AP15:AP127">
    <cfRule type="cellIs" dxfId="15" priority="761" operator="equal">
      <formula>"Closed"</formula>
    </cfRule>
  </conditionalFormatting>
  <conditionalFormatting sqref="AP128">
    <cfRule type="containsText" dxfId="14" priority="762" stopIfTrue="1" operator="containsText" text="SEDANG-RENDAH">
      <formula>NOT(ISERROR(SEARCH("SEDANG-RENDAH",AP128)))</formula>
    </cfRule>
    <cfRule type="containsText" dxfId="13" priority="763" stopIfTrue="1" operator="containsText" text="SEDANG-TINGGI">
      <formula>NOT(ISERROR(SEARCH("SEDANG-TINGGI",AP128)))</formula>
    </cfRule>
    <cfRule type="containsText" dxfId="12" priority="764" stopIfTrue="1" operator="containsText" text="SEDANG">
      <formula>NOT(ISERROR(SEARCH("SEDANG",AP128)))</formula>
    </cfRule>
    <cfRule type="containsText" dxfId="11" priority="765" stopIfTrue="1" operator="containsText" text="TINGGI">
      <formula>NOT(ISERROR(SEARCH("TINGGI",AP128)))</formula>
    </cfRule>
    <cfRule type="containsText" dxfId="10" priority="766" stopIfTrue="1" operator="containsText" text="RENDAH">
      <formula>NOT(ISERROR(SEARCH("RENDAH",AP128)))</formula>
    </cfRule>
  </conditionalFormatting>
  <pageMargins left="0.7" right="0.7" top="0.75" bottom="0.75" header="0" footer="0"/>
  <pageSetup paperSize="8" orientation="landscape" r:id="rId1"/>
  <extLst>
    <ext xmlns:x14="http://schemas.microsoft.com/office/spreadsheetml/2009/9/main" uri="{CCE6A557-97BC-4b89-ADB6-D9C93CAAB3DF}">
      <x14:dataValidations xmlns:xm="http://schemas.microsoft.com/office/excel/2006/main" count="9">
        <x14:dataValidation type="list" allowBlank="1" showErrorMessage="1" xr:uid="{00000000-0002-0000-0000-000002000000}">
          <x14:formula1>
            <xm:f>Parameter!$A$89:$A$90</xm:f>
          </x14:formula1>
          <xm:sqref>H128</xm:sqref>
        </x14:dataValidation>
        <x14:dataValidation type="list" allowBlank="1" showInputMessage="1" showErrorMessage="1" xr:uid="{D4AFA6C7-004F-457D-8AE7-443BB80394E2}">
          <x14:formula1>
            <xm:f>REF!$O$2:$O$18</xm:f>
          </x14:formula1>
          <xm:sqref>Z39 Y15:Z24 Y25:Y48 Z44:Z46 Y49:Z127</xm:sqref>
        </x14:dataValidation>
        <x14:dataValidation type="list" allowBlank="1" showInputMessage="1" showErrorMessage="1" xr:uid="{61089F03-3E2B-4339-AB86-3BAC6BB8B011}">
          <x14:formula1>
            <xm:f>REF!$G$2:$G$11</xm:f>
          </x14:formula1>
          <xm:sqref>F15:F127</xm:sqref>
        </x14:dataValidation>
        <x14:dataValidation type="list" allowBlank="1" showErrorMessage="1" xr:uid="{50D9309F-5527-4C92-8084-61371336F397}">
          <x14:formula1>
            <xm:f>REF!$K$2:$K$3</xm:f>
          </x14:formula1>
          <xm:sqref>G15:G127</xm:sqref>
        </x14:dataValidation>
        <x14:dataValidation type="list" allowBlank="1" showErrorMessage="1" xr:uid="{6044AD9C-A94D-45F9-9318-FCB40E5ACD76}">
          <x14:formula1>
            <xm:f>REF!$E$2:$E$6</xm:f>
          </x14:formula1>
          <xm:sqref>E15:E127</xm:sqref>
        </x14:dataValidation>
        <x14:dataValidation type="list" allowBlank="1" showErrorMessage="1" xr:uid="{B3AA3C08-93A7-47AC-912E-446138F08CB0}">
          <x14:formula1>
            <xm:f>REF!$C$2:$C$8</xm:f>
          </x14:formula1>
          <xm:sqref>N15:N127</xm:sqref>
        </x14:dataValidation>
        <x14:dataValidation type="list" allowBlank="1" showErrorMessage="1" xr:uid="{682D2285-9450-47D2-A221-C6AEBD1B0983}">
          <x14:formula1>
            <xm:f>REF!$I$2:$I$3</xm:f>
          </x14:formula1>
          <xm:sqref>H15:H127</xm:sqref>
        </x14:dataValidation>
        <x14:dataValidation type="list" allowBlank="1" showInputMessage="1" showErrorMessage="1" xr:uid="{69C19577-5CAE-476E-A0E7-FC5F04034A83}">
          <x14:formula1>
            <xm:f>REF!$M$2:$M$4</xm:f>
          </x14:formula1>
          <xm:sqref>AP15:AP127</xm:sqref>
        </x14:dataValidation>
        <x14:dataValidation type="list" allowBlank="1" showInputMessage="1" showErrorMessage="1" xr:uid="{84BA5E52-2379-4376-A683-B071518C070B}">
          <x14:formula1>
            <xm:f>REF!$A$2:$A$100</xm:f>
          </x14:formula1>
          <xm:sqref>D15:D127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4396-D409-4106-8C68-3F1030953D8F}">
  <dimension ref="A1:O100"/>
  <sheetViews>
    <sheetView topLeftCell="A84" zoomScale="85" zoomScaleNormal="85" workbookViewId="0">
      <selection activeCell="A2" sqref="A2:A100"/>
    </sheetView>
  </sheetViews>
  <sheetFormatPr defaultRowHeight="14.4" x14ac:dyDescent="0.3"/>
  <cols>
    <col min="1" max="1" width="62.44140625" customWidth="1"/>
    <col min="2" max="2" width="2.77734375" customWidth="1"/>
    <col min="3" max="3" width="36.21875" customWidth="1"/>
    <col min="4" max="4" width="2.77734375" customWidth="1"/>
    <col min="5" max="5" width="28" customWidth="1"/>
    <col min="6" max="6" width="2.77734375" customWidth="1"/>
    <col min="7" max="7" width="31.77734375" customWidth="1"/>
    <col min="8" max="8" width="2.77734375" customWidth="1"/>
    <col min="9" max="9" width="21.21875" customWidth="1"/>
    <col min="10" max="10" width="2.77734375" customWidth="1"/>
    <col min="11" max="11" width="21.77734375" customWidth="1"/>
    <col min="12" max="12" width="2.77734375" customWidth="1"/>
    <col min="13" max="13" width="21.77734375" customWidth="1"/>
    <col min="14" max="14" width="2.77734375" customWidth="1"/>
    <col min="15" max="15" width="51.5546875" customWidth="1"/>
  </cols>
  <sheetData>
    <row r="1" spans="1:15" ht="18" x14ac:dyDescent="0.3">
      <c r="A1" s="103" t="s">
        <v>359</v>
      </c>
      <c r="C1" s="103" t="s">
        <v>360</v>
      </c>
      <c r="E1" s="103" t="s">
        <v>194</v>
      </c>
      <c r="G1" s="103" t="s">
        <v>366</v>
      </c>
      <c r="I1" s="103" t="s">
        <v>376</v>
      </c>
      <c r="K1" s="103" t="s">
        <v>378</v>
      </c>
      <c r="M1" s="103" t="s">
        <v>33</v>
      </c>
      <c r="O1" s="103" t="s">
        <v>721</v>
      </c>
    </row>
    <row r="2" spans="1:15" ht="18" x14ac:dyDescent="0.3">
      <c r="A2" s="105" t="s">
        <v>824</v>
      </c>
      <c r="C2" s="105" t="s">
        <v>361</v>
      </c>
      <c r="E2" s="105" t="s">
        <v>256</v>
      </c>
      <c r="G2" s="105" t="s">
        <v>367</v>
      </c>
      <c r="I2" s="105" t="s">
        <v>50</v>
      </c>
      <c r="K2" s="105" t="s">
        <v>49</v>
      </c>
      <c r="M2" s="105" t="s">
        <v>379</v>
      </c>
      <c r="O2" s="105" t="s">
        <v>262</v>
      </c>
    </row>
    <row r="3" spans="1:15" ht="18" x14ac:dyDescent="0.3">
      <c r="A3" s="105" t="s">
        <v>261</v>
      </c>
      <c r="C3" s="105" t="s">
        <v>362</v>
      </c>
      <c r="E3" s="105" t="s">
        <v>52</v>
      </c>
      <c r="G3" s="105" t="s">
        <v>368</v>
      </c>
      <c r="I3" s="105" t="s">
        <v>190</v>
      </c>
      <c r="K3" s="105" t="s">
        <v>377</v>
      </c>
      <c r="M3" s="105" t="s">
        <v>380</v>
      </c>
      <c r="O3" s="105" t="s">
        <v>327</v>
      </c>
    </row>
    <row r="4" spans="1:15" ht="18" x14ac:dyDescent="0.3">
      <c r="A4" s="105" t="s">
        <v>952</v>
      </c>
      <c r="C4" s="105" t="s">
        <v>363</v>
      </c>
      <c r="E4" s="105" t="s">
        <v>189</v>
      </c>
      <c r="G4" s="105" t="s">
        <v>369</v>
      </c>
      <c r="M4" s="105" t="s">
        <v>381</v>
      </c>
      <c r="O4" s="105" t="s">
        <v>333</v>
      </c>
    </row>
    <row r="5" spans="1:15" ht="18" x14ac:dyDescent="0.3">
      <c r="A5" s="105" t="s">
        <v>365</v>
      </c>
      <c r="C5" s="105" t="s">
        <v>382</v>
      </c>
      <c r="E5" s="105" t="s">
        <v>260</v>
      </c>
      <c r="G5" s="105" t="s">
        <v>370</v>
      </c>
      <c r="O5" s="105" t="s">
        <v>279</v>
      </c>
    </row>
    <row r="6" spans="1:15" ht="18" x14ac:dyDescent="0.3">
      <c r="A6" s="105" t="s">
        <v>950</v>
      </c>
      <c r="C6" s="105" t="s">
        <v>383</v>
      </c>
      <c r="E6" s="105" t="s">
        <v>57</v>
      </c>
      <c r="G6" s="105" t="s">
        <v>371</v>
      </c>
      <c r="O6" s="105" t="s">
        <v>290</v>
      </c>
    </row>
    <row r="7" spans="1:15" ht="18" x14ac:dyDescent="0.3">
      <c r="A7" s="105" t="s">
        <v>319</v>
      </c>
      <c r="C7" s="105" t="s">
        <v>384</v>
      </c>
      <c r="G7" s="105" t="s">
        <v>372</v>
      </c>
      <c r="O7" s="105" t="s">
        <v>254</v>
      </c>
    </row>
    <row r="8" spans="1:15" ht="18" x14ac:dyDescent="0.3">
      <c r="A8" s="105" t="s">
        <v>319</v>
      </c>
      <c r="C8" s="105" t="s">
        <v>385</v>
      </c>
      <c r="G8" s="105" t="s">
        <v>373</v>
      </c>
      <c r="O8" s="105" t="s">
        <v>273</v>
      </c>
    </row>
    <row r="9" spans="1:15" ht="18" x14ac:dyDescent="0.3">
      <c r="A9" s="105" t="s">
        <v>951</v>
      </c>
      <c r="G9" s="105" t="s">
        <v>371</v>
      </c>
      <c r="O9" s="105" t="s">
        <v>325</v>
      </c>
    </row>
    <row r="10" spans="1:15" ht="18" x14ac:dyDescent="0.3">
      <c r="A10" s="105" t="s">
        <v>949</v>
      </c>
      <c r="G10" s="105" t="s">
        <v>374</v>
      </c>
      <c r="O10" s="105" t="s">
        <v>321</v>
      </c>
    </row>
    <row r="11" spans="1:15" ht="18" x14ac:dyDescent="0.3">
      <c r="A11" s="105" t="s">
        <v>270</v>
      </c>
      <c r="G11" s="105" t="s">
        <v>375</v>
      </c>
      <c r="O11" s="105" t="s">
        <v>337</v>
      </c>
    </row>
    <row r="12" spans="1:15" ht="18" x14ac:dyDescent="0.3">
      <c r="A12" s="105" t="s">
        <v>308</v>
      </c>
      <c r="O12" s="105" t="s">
        <v>310</v>
      </c>
    </row>
    <row r="13" spans="1:15" ht="18" x14ac:dyDescent="0.3">
      <c r="A13" s="105" t="s">
        <v>948</v>
      </c>
      <c r="O13" s="105" t="s">
        <v>297</v>
      </c>
    </row>
    <row r="14" spans="1:15" ht="18" x14ac:dyDescent="0.3">
      <c r="A14" s="105" t="s">
        <v>334</v>
      </c>
      <c r="O14" s="105" t="s">
        <v>725</v>
      </c>
    </row>
    <row r="15" spans="1:15" ht="18" x14ac:dyDescent="0.3">
      <c r="A15" s="105" t="s">
        <v>306</v>
      </c>
      <c r="O15" s="105" t="s">
        <v>317</v>
      </c>
    </row>
    <row r="16" spans="1:15" ht="18" x14ac:dyDescent="0.3">
      <c r="A16" s="105" t="s">
        <v>302</v>
      </c>
      <c r="O16" s="105" t="s">
        <v>722</v>
      </c>
    </row>
    <row r="17" spans="1:15" ht="18" x14ac:dyDescent="0.3">
      <c r="A17" s="105" t="s">
        <v>269</v>
      </c>
      <c r="O17" s="105" t="s">
        <v>345</v>
      </c>
    </row>
    <row r="18" spans="1:15" ht="18" x14ac:dyDescent="0.3">
      <c r="A18" s="105" t="s">
        <v>955</v>
      </c>
      <c r="O18" s="105" t="s">
        <v>267</v>
      </c>
    </row>
    <row r="19" spans="1:15" ht="18" x14ac:dyDescent="0.3">
      <c r="A19" s="105" t="s">
        <v>293</v>
      </c>
    </row>
    <row r="20" spans="1:15" ht="18" x14ac:dyDescent="0.3">
      <c r="A20" s="105" t="s">
        <v>280</v>
      </c>
    </row>
    <row r="21" spans="1:15" ht="18" x14ac:dyDescent="0.3">
      <c r="A21" s="105" t="s">
        <v>282</v>
      </c>
    </row>
    <row r="22" spans="1:15" ht="18" x14ac:dyDescent="0.3">
      <c r="A22" s="105" t="s">
        <v>281</v>
      </c>
    </row>
    <row r="23" spans="1:15" ht="18" x14ac:dyDescent="0.3">
      <c r="A23" s="105" t="s">
        <v>257</v>
      </c>
    </row>
    <row r="24" spans="1:15" ht="18" x14ac:dyDescent="0.3">
      <c r="A24" s="105" t="s">
        <v>283</v>
      </c>
    </row>
    <row r="25" spans="1:15" ht="18" x14ac:dyDescent="0.3">
      <c r="A25" s="105" t="s">
        <v>305</v>
      </c>
    </row>
    <row r="26" spans="1:15" ht="18" x14ac:dyDescent="0.3">
      <c r="A26" s="105" t="s">
        <v>969</v>
      </c>
    </row>
    <row r="27" spans="1:15" ht="18" x14ac:dyDescent="0.3">
      <c r="A27" s="105" t="s">
        <v>263</v>
      </c>
    </row>
    <row r="28" spans="1:15" ht="18" x14ac:dyDescent="0.3">
      <c r="A28" s="105" t="s">
        <v>956</v>
      </c>
    </row>
    <row r="29" spans="1:15" ht="18" x14ac:dyDescent="0.3">
      <c r="A29" s="105" t="s">
        <v>967</v>
      </c>
    </row>
    <row r="30" spans="1:15" ht="18" x14ac:dyDescent="0.3">
      <c r="A30" s="105" t="s">
        <v>289</v>
      </c>
    </row>
    <row r="31" spans="1:15" ht="18" x14ac:dyDescent="0.3">
      <c r="A31" s="105" t="s">
        <v>973</v>
      </c>
    </row>
    <row r="32" spans="1:15" ht="18" x14ac:dyDescent="0.3">
      <c r="A32" s="105" t="s">
        <v>968</v>
      </c>
    </row>
    <row r="33" spans="1:1" ht="18" x14ac:dyDescent="0.3">
      <c r="A33" s="105" t="s">
        <v>353</v>
      </c>
    </row>
    <row r="34" spans="1:1" ht="18" x14ac:dyDescent="0.3">
      <c r="A34" s="105" t="s">
        <v>328</v>
      </c>
    </row>
    <row r="35" spans="1:1" ht="18" x14ac:dyDescent="0.3">
      <c r="A35" s="105" t="s">
        <v>974</v>
      </c>
    </row>
    <row r="36" spans="1:1" ht="18" x14ac:dyDescent="0.3">
      <c r="A36" s="105" t="s">
        <v>972</v>
      </c>
    </row>
    <row r="37" spans="1:1" ht="18" x14ac:dyDescent="0.3">
      <c r="A37" s="105" t="s">
        <v>329</v>
      </c>
    </row>
    <row r="38" spans="1:1" ht="18" x14ac:dyDescent="0.3">
      <c r="A38" s="105" t="s">
        <v>963</v>
      </c>
    </row>
    <row r="39" spans="1:1" ht="18" x14ac:dyDescent="0.3">
      <c r="A39" s="105" t="s">
        <v>964</v>
      </c>
    </row>
    <row r="40" spans="1:1" ht="18" x14ac:dyDescent="0.3">
      <c r="A40" s="105" t="s">
        <v>346</v>
      </c>
    </row>
    <row r="41" spans="1:1" ht="18" x14ac:dyDescent="0.3">
      <c r="A41" s="105" t="s">
        <v>959</v>
      </c>
    </row>
    <row r="42" spans="1:1" ht="18" x14ac:dyDescent="0.3">
      <c r="A42" s="105" t="s">
        <v>960</v>
      </c>
    </row>
    <row r="43" spans="1:1" ht="18" x14ac:dyDescent="0.3">
      <c r="A43" s="105" t="s">
        <v>970</v>
      </c>
    </row>
    <row r="44" spans="1:1" ht="18" x14ac:dyDescent="0.3">
      <c r="A44" s="105" t="s">
        <v>331</v>
      </c>
    </row>
    <row r="45" spans="1:1" ht="18" x14ac:dyDescent="0.3">
      <c r="A45" s="105" t="s">
        <v>971</v>
      </c>
    </row>
    <row r="46" spans="1:1" ht="18" x14ac:dyDescent="0.3">
      <c r="A46" s="105" t="s">
        <v>340</v>
      </c>
    </row>
    <row r="47" spans="1:1" ht="18" x14ac:dyDescent="0.3">
      <c r="A47" s="105" t="s">
        <v>961</v>
      </c>
    </row>
    <row r="48" spans="1:1" ht="18" x14ac:dyDescent="0.3">
      <c r="A48" s="105" t="s">
        <v>288</v>
      </c>
    </row>
    <row r="49" spans="1:1" ht="18" x14ac:dyDescent="0.3">
      <c r="A49" s="105" t="s">
        <v>323</v>
      </c>
    </row>
    <row r="50" spans="1:1" ht="18" x14ac:dyDescent="0.3">
      <c r="A50" s="105" t="s">
        <v>965</v>
      </c>
    </row>
    <row r="51" spans="1:1" ht="18" x14ac:dyDescent="0.3">
      <c r="A51" s="105" t="s">
        <v>966</v>
      </c>
    </row>
    <row r="52" spans="1:1" ht="18" x14ac:dyDescent="0.3">
      <c r="A52" s="105" t="s">
        <v>957</v>
      </c>
    </row>
    <row r="53" spans="1:1" ht="18" x14ac:dyDescent="0.3">
      <c r="A53" s="105" t="s">
        <v>318</v>
      </c>
    </row>
    <row r="54" spans="1:1" ht="18" x14ac:dyDescent="0.3">
      <c r="A54" s="105" t="s">
        <v>277</v>
      </c>
    </row>
    <row r="55" spans="1:1" ht="18" x14ac:dyDescent="0.3">
      <c r="A55" s="105" t="s">
        <v>258</v>
      </c>
    </row>
    <row r="56" spans="1:1" ht="18" x14ac:dyDescent="0.3">
      <c r="A56" s="105" t="s">
        <v>278</v>
      </c>
    </row>
    <row r="57" spans="1:1" ht="18" x14ac:dyDescent="0.3">
      <c r="A57" s="105" t="s">
        <v>335</v>
      </c>
    </row>
    <row r="58" spans="1:1" ht="18" x14ac:dyDescent="0.3">
      <c r="A58" s="105" t="s">
        <v>348</v>
      </c>
    </row>
    <row r="59" spans="1:1" ht="18" x14ac:dyDescent="0.3">
      <c r="A59" s="105" t="s">
        <v>314</v>
      </c>
    </row>
    <row r="60" spans="1:1" ht="18" x14ac:dyDescent="0.3">
      <c r="A60" s="105" t="s">
        <v>304</v>
      </c>
    </row>
    <row r="61" spans="1:1" ht="18" x14ac:dyDescent="0.3">
      <c r="A61" s="105" t="s">
        <v>958</v>
      </c>
    </row>
    <row r="62" spans="1:1" ht="18" x14ac:dyDescent="0.3">
      <c r="A62" s="105" t="s">
        <v>399</v>
      </c>
    </row>
    <row r="63" spans="1:1" ht="18" x14ac:dyDescent="0.3">
      <c r="A63" s="105" t="s">
        <v>307</v>
      </c>
    </row>
    <row r="64" spans="1:1" ht="18" x14ac:dyDescent="0.3">
      <c r="A64" s="105" t="s">
        <v>286</v>
      </c>
    </row>
    <row r="65" spans="1:1" ht="18" x14ac:dyDescent="0.3">
      <c r="A65" s="105" t="s">
        <v>315</v>
      </c>
    </row>
    <row r="66" spans="1:1" ht="18" x14ac:dyDescent="0.3">
      <c r="A66" s="105" t="s">
        <v>356</v>
      </c>
    </row>
    <row r="67" spans="1:1" ht="18" x14ac:dyDescent="0.3">
      <c r="A67" s="105" t="s">
        <v>266</v>
      </c>
    </row>
    <row r="68" spans="1:1" ht="18" x14ac:dyDescent="0.3">
      <c r="A68" s="105" t="s">
        <v>296</v>
      </c>
    </row>
    <row r="69" spans="1:1" ht="18" x14ac:dyDescent="0.3">
      <c r="A69" s="105" t="s">
        <v>311</v>
      </c>
    </row>
    <row r="70" spans="1:1" ht="18" x14ac:dyDescent="0.3">
      <c r="A70" s="105" t="s">
        <v>298</v>
      </c>
    </row>
    <row r="71" spans="1:1" ht="18" x14ac:dyDescent="0.3">
      <c r="A71" s="105" t="s">
        <v>265</v>
      </c>
    </row>
    <row r="72" spans="1:1" ht="18" x14ac:dyDescent="0.3">
      <c r="A72" s="105" t="s">
        <v>332</v>
      </c>
    </row>
    <row r="73" spans="1:1" ht="18" x14ac:dyDescent="0.3">
      <c r="A73" s="105" t="s">
        <v>336</v>
      </c>
    </row>
    <row r="74" spans="1:1" ht="18" x14ac:dyDescent="0.3">
      <c r="A74" s="105" t="s">
        <v>284</v>
      </c>
    </row>
    <row r="75" spans="1:1" ht="18" x14ac:dyDescent="0.3">
      <c r="A75" s="105" t="s">
        <v>285</v>
      </c>
    </row>
    <row r="76" spans="1:1" ht="18" x14ac:dyDescent="0.3">
      <c r="A76" s="105" t="s">
        <v>294</v>
      </c>
    </row>
    <row r="77" spans="1:1" ht="18" x14ac:dyDescent="0.3">
      <c r="A77" s="105" t="s">
        <v>954</v>
      </c>
    </row>
    <row r="78" spans="1:1" ht="18" x14ac:dyDescent="0.3">
      <c r="A78" s="105" t="s">
        <v>953</v>
      </c>
    </row>
    <row r="79" spans="1:1" ht="18" x14ac:dyDescent="0.3">
      <c r="A79" s="105" t="s">
        <v>324</v>
      </c>
    </row>
    <row r="80" spans="1:1" ht="18" x14ac:dyDescent="0.3">
      <c r="A80" s="105" t="s">
        <v>341</v>
      </c>
    </row>
    <row r="81" spans="1:1" ht="18" x14ac:dyDescent="0.3">
      <c r="A81" s="105" t="s">
        <v>313</v>
      </c>
    </row>
    <row r="82" spans="1:1" ht="18" x14ac:dyDescent="0.3">
      <c r="A82" s="105" t="s">
        <v>303</v>
      </c>
    </row>
    <row r="83" spans="1:1" ht="18" x14ac:dyDescent="0.3">
      <c r="A83" s="105" t="s">
        <v>624</v>
      </c>
    </row>
    <row r="84" spans="1:1" ht="18" x14ac:dyDescent="0.3">
      <c r="A84" s="105" t="s">
        <v>326</v>
      </c>
    </row>
    <row r="85" spans="1:1" ht="18" x14ac:dyDescent="0.3">
      <c r="A85" s="105" t="s">
        <v>349</v>
      </c>
    </row>
    <row r="86" spans="1:1" ht="18" x14ac:dyDescent="0.3">
      <c r="A86" s="105" t="s">
        <v>271</v>
      </c>
    </row>
    <row r="87" spans="1:1" ht="18" x14ac:dyDescent="0.3">
      <c r="A87" s="105" t="s">
        <v>295</v>
      </c>
    </row>
    <row r="88" spans="1:1" ht="18" x14ac:dyDescent="0.3">
      <c r="A88" s="105" t="s">
        <v>962</v>
      </c>
    </row>
    <row r="89" spans="1:1" ht="18" x14ac:dyDescent="0.3">
      <c r="A89" s="105" t="s">
        <v>947</v>
      </c>
    </row>
    <row r="90" spans="1:1" ht="18" x14ac:dyDescent="0.3">
      <c r="A90" s="105" t="s">
        <v>727</v>
      </c>
    </row>
    <row r="91" spans="1:1" ht="18" x14ac:dyDescent="0.3">
      <c r="A91" s="105" t="s">
        <v>343</v>
      </c>
    </row>
    <row r="92" spans="1:1" ht="18" x14ac:dyDescent="0.3">
      <c r="A92" s="105" t="s">
        <v>291</v>
      </c>
    </row>
    <row r="93" spans="1:1" ht="18" x14ac:dyDescent="0.3">
      <c r="A93" s="105" t="s">
        <v>299</v>
      </c>
    </row>
    <row r="94" spans="1:1" ht="18" x14ac:dyDescent="0.3">
      <c r="A94" s="105" t="s">
        <v>354</v>
      </c>
    </row>
    <row r="95" spans="1:1" ht="18" x14ac:dyDescent="0.3">
      <c r="A95" s="105" t="s">
        <v>338</v>
      </c>
    </row>
    <row r="96" spans="1:1" ht="18" x14ac:dyDescent="0.3">
      <c r="A96" s="105" t="s">
        <v>255</v>
      </c>
    </row>
    <row r="97" spans="1:1" ht="18" x14ac:dyDescent="0.3">
      <c r="A97" s="105" t="s">
        <v>322</v>
      </c>
    </row>
    <row r="98" spans="1:1" ht="18" x14ac:dyDescent="0.3">
      <c r="A98" s="105" t="s">
        <v>268</v>
      </c>
    </row>
    <row r="99" spans="1:1" ht="18" x14ac:dyDescent="0.3">
      <c r="A99" s="105" t="s">
        <v>272</v>
      </c>
    </row>
    <row r="100" spans="1:1" ht="18" x14ac:dyDescent="0.3">
      <c r="A100" s="105" t="s">
        <v>292</v>
      </c>
    </row>
  </sheetData>
  <sortState xmlns:xlrd2="http://schemas.microsoft.com/office/spreadsheetml/2017/richdata2" ref="A2:A100">
    <sortCondition ref="A2:A100"/>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4065-31C4-4867-B32A-9A52EBD202FD}">
  <dimension ref="A1:D89"/>
  <sheetViews>
    <sheetView topLeftCell="A4" workbookViewId="0">
      <selection activeCell="C27" sqref="C27"/>
    </sheetView>
  </sheetViews>
  <sheetFormatPr defaultRowHeight="18" x14ac:dyDescent="0.55000000000000004"/>
  <cols>
    <col min="1" max="1" width="3.77734375" style="104" bestFit="1" customWidth="1"/>
    <col min="2" max="2" width="37.5546875" style="104" customWidth="1"/>
    <col min="3" max="3" width="61" style="104" customWidth="1"/>
    <col min="4" max="4" width="35.109375" style="104" customWidth="1"/>
    <col min="5" max="16384" width="8.88671875" style="104"/>
  </cols>
  <sheetData>
    <row r="1" spans="1:4" x14ac:dyDescent="0.55000000000000004">
      <c r="A1" s="103" t="s">
        <v>204</v>
      </c>
      <c r="B1" s="103" t="s">
        <v>252</v>
      </c>
      <c r="C1" s="103" t="s">
        <v>253</v>
      </c>
      <c r="D1" s="103" t="s">
        <v>194</v>
      </c>
    </row>
    <row r="2" spans="1:4" x14ac:dyDescent="0.55000000000000004">
      <c r="A2" s="105">
        <v>1</v>
      </c>
      <c r="B2" s="105" t="s">
        <v>254</v>
      </c>
      <c r="C2" s="105" t="s">
        <v>255</v>
      </c>
      <c r="D2" s="105" t="s">
        <v>256</v>
      </c>
    </row>
    <row r="3" spans="1:4" x14ac:dyDescent="0.55000000000000004">
      <c r="A3" s="105">
        <v>2</v>
      </c>
      <c r="B3" s="105" t="s">
        <v>254</v>
      </c>
      <c r="C3" s="105" t="s">
        <v>257</v>
      </c>
      <c r="D3" s="105" t="s">
        <v>52</v>
      </c>
    </row>
    <row r="4" spans="1:4" x14ac:dyDescent="0.55000000000000004">
      <c r="A4" s="105">
        <v>3</v>
      </c>
      <c r="B4" s="105" t="s">
        <v>254</v>
      </c>
      <c r="C4" s="105" t="s">
        <v>258</v>
      </c>
      <c r="D4" s="105" t="s">
        <v>189</v>
      </c>
    </row>
    <row r="5" spans="1:4" x14ac:dyDescent="0.55000000000000004">
      <c r="A5" s="105">
        <v>4</v>
      </c>
      <c r="B5" s="105" t="s">
        <v>254</v>
      </c>
      <c r="C5" s="105" t="s">
        <v>259</v>
      </c>
      <c r="D5" s="105" t="s">
        <v>260</v>
      </c>
    </row>
    <row r="6" spans="1:4" x14ac:dyDescent="0.55000000000000004">
      <c r="A6" s="105">
        <v>5</v>
      </c>
      <c r="B6" s="105" t="s">
        <v>254</v>
      </c>
      <c r="C6" s="105" t="s">
        <v>261</v>
      </c>
      <c r="D6" s="105" t="s">
        <v>256</v>
      </c>
    </row>
    <row r="7" spans="1:4" x14ac:dyDescent="0.55000000000000004">
      <c r="A7" s="105">
        <v>6</v>
      </c>
      <c r="B7" s="105" t="s">
        <v>262</v>
      </c>
      <c r="C7" s="105" t="s">
        <v>263</v>
      </c>
      <c r="D7" s="105" t="s">
        <v>256</v>
      </c>
    </row>
    <row r="8" spans="1:4" x14ac:dyDescent="0.55000000000000004">
      <c r="A8" s="105">
        <v>7</v>
      </c>
      <c r="B8" s="105" t="s">
        <v>262</v>
      </c>
      <c r="C8" s="105" t="s">
        <v>264</v>
      </c>
      <c r="D8" s="105" t="s">
        <v>256</v>
      </c>
    </row>
    <row r="9" spans="1:4" x14ac:dyDescent="0.55000000000000004">
      <c r="A9" s="105">
        <v>8</v>
      </c>
      <c r="B9" s="105" t="s">
        <v>262</v>
      </c>
      <c r="C9" s="105" t="s">
        <v>265</v>
      </c>
      <c r="D9" s="105" t="s">
        <v>260</v>
      </c>
    </row>
    <row r="10" spans="1:4" x14ac:dyDescent="0.55000000000000004">
      <c r="A10" s="105">
        <v>9</v>
      </c>
      <c r="B10" s="105" t="s">
        <v>262</v>
      </c>
      <c r="C10" s="105" t="s">
        <v>266</v>
      </c>
      <c r="D10" s="105" t="s">
        <v>256</v>
      </c>
    </row>
    <row r="11" spans="1:4" x14ac:dyDescent="0.55000000000000004">
      <c r="A11" s="105">
        <v>10</v>
      </c>
      <c r="B11" s="105" t="s">
        <v>267</v>
      </c>
      <c r="C11" s="105" t="s">
        <v>268</v>
      </c>
      <c r="D11" s="105" t="s">
        <v>256</v>
      </c>
    </row>
    <row r="12" spans="1:4" x14ac:dyDescent="0.55000000000000004">
      <c r="A12" s="105">
        <v>11</v>
      </c>
      <c r="B12" s="105" t="s">
        <v>267</v>
      </c>
      <c r="C12" s="105" t="s">
        <v>269</v>
      </c>
      <c r="D12" s="105" t="s">
        <v>256</v>
      </c>
    </row>
    <row r="13" spans="1:4" x14ac:dyDescent="0.55000000000000004">
      <c r="A13" s="105">
        <v>12</v>
      </c>
      <c r="B13" s="105" t="s">
        <v>267</v>
      </c>
      <c r="C13" s="105" t="s">
        <v>270</v>
      </c>
      <c r="D13" s="105" t="s">
        <v>52</v>
      </c>
    </row>
    <row r="14" spans="1:4" x14ac:dyDescent="0.55000000000000004">
      <c r="A14" s="105">
        <v>13</v>
      </c>
      <c r="B14" s="105" t="s">
        <v>267</v>
      </c>
      <c r="C14" s="105" t="s">
        <v>271</v>
      </c>
      <c r="D14" s="105" t="s">
        <v>260</v>
      </c>
    </row>
    <row r="15" spans="1:4" x14ac:dyDescent="0.55000000000000004">
      <c r="A15" s="105">
        <v>14</v>
      </c>
      <c r="B15" s="105" t="s">
        <v>267</v>
      </c>
      <c r="C15" s="105" t="s">
        <v>272</v>
      </c>
      <c r="D15" s="105" t="s">
        <v>57</v>
      </c>
    </row>
    <row r="16" spans="1:4" x14ac:dyDescent="0.55000000000000004">
      <c r="A16" s="105">
        <v>15</v>
      </c>
      <c r="B16" s="105" t="s">
        <v>273</v>
      </c>
      <c r="C16" s="105" t="s">
        <v>274</v>
      </c>
      <c r="D16" s="105" t="s">
        <v>256</v>
      </c>
    </row>
    <row r="17" spans="1:4" x14ac:dyDescent="0.55000000000000004">
      <c r="A17" s="105">
        <v>16</v>
      </c>
      <c r="B17" s="105" t="s">
        <v>273</v>
      </c>
      <c r="C17" s="105" t="s">
        <v>275</v>
      </c>
      <c r="D17" s="105" t="s">
        <v>256</v>
      </c>
    </row>
    <row r="18" spans="1:4" x14ac:dyDescent="0.55000000000000004">
      <c r="A18" s="105">
        <v>17</v>
      </c>
      <c r="B18" s="105" t="s">
        <v>273</v>
      </c>
      <c r="C18" s="105" t="s">
        <v>276</v>
      </c>
      <c r="D18" s="105" t="s">
        <v>260</v>
      </c>
    </row>
    <row r="19" spans="1:4" x14ac:dyDescent="0.55000000000000004">
      <c r="A19" s="105">
        <v>18</v>
      </c>
      <c r="B19" s="105" t="s">
        <v>273</v>
      </c>
      <c r="C19" s="105" t="s">
        <v>277</v>
      </c>
      <c r="D19" s="105" t="s">
        <v>256</v>
      </c>
    </row>
    <row r="20" spans="1:4" x14ac:dyDescent="0.55000000000000004">
      <c r="A20" s="105">
        <v>19</v>
      </c>
      <c r="B20" s="105" t="s">
        <v>273</v>
      </c>
      <c r="C20" s="105" t="s">
        <v>278</v>
      </c>
      <c r="D20" s="105" t="s">
        <v>256</v>
      </c>
    </row>
    <row r="21" spans="1:4" x14ac:dyDescent="0.55000000000000004">
      <c r="A21" s="105">
        <v>20</v>
      </c>
      <c r="B21" s="105" t="s">
        <v>279</v>
      </c>
      <c r="C21" s="105" t="s">
        <v>280</v>
      </c>
      <c r="D21" s="105" t="s">
        <v>256</v>
      </c>
    </row>
    <row r="22" spans="1:4" x14ac:dyDescent="0.55000000000000004">
      <c r="A22" s="105">
        <v>21</v>
      </c>
      <c r="B22" s="105" t="s">
        <v>279</v>
      </c>
      <c r="C22" s="105" t="s">
        <v>281</v>
      </c>
      <c r="D22" s="105" t="s">
        <v>256</v>
      </c>
    </row>
    <row r="23" spans="1:4" x14ac:dyDescent="0.55000000000000004">
      <c r="A23" s="105">
        <v>22</v>
      </c>
      <c r="B23" s="105" t="s">
        <v>279</v>
      </c>
      <c r="C23" s="105" t="s">
        <v>282</v>
      </c>
      <c r="D23" s="105" t="s">
        <v>52</v>
      </c>
    </row>
    <row r="24" spans="1:4" x14ac:dyDescent="0.55000000000000004">
      <c r="A24" s="105">
        <v>23</v>
      </c>
      <c r="B24" s="105" t="s">
        <v>279</v>
      </c>
      <c r="C24" s="105" t="s">
        <v>283</v>
      </c>
      <c r="D24" s="105" t="s">
        <v>256</v>
      </c>
    </row>
    <row r="25" spans="1:4" x14ac:dyDescent="0.55000000000000004">
      <c r="A25" s="105">
        <v>24</v>
      </c>
      <c r="B25" s="105" t="s">
        <v>279</v>
      </c>
      <c r="C25" s="105" t="s">
        <v>284</v>
      </c>
      <c r="D25" s="105" t="s">
        <v>260</v>
      </c>
    </row>
    <row r="26" spans="1:4" x14ac:dyDescent="0.55000000000000004">
      <c r="A26" s="105">
        <v>25</v>
      </c>
      <c r="B26" s="105" t="s">
        <v>279</v>
      </c>
      <c r="C26" s="105" t="s">
        <v>285</v>
      </c>
      <c r="D26" s="105" t="s">
        <v>260</v>
      </c>
    </row>
    <row r="27" spans="1:4" x14ac:dyDescent="0.55000000000000004">
      <c r="A27" s="105">
        <v>26</v>
      </c>
      <c r="B27" s="105" t="s">
        <v>279</v>
      </c>
      <c r="C27" s="105" t="s">
        <v>286</v>
      </c>
      <c r="D27" s="105" t="s">
        <v>256</v>
      </c>
    </row>
    <row r="28" spans="1:4" x14ac:dyDescent="0.55000000000000004">
      <c r="A28" s="105">
        <v>27</v>
      </c>
      <c r="B28" s="105" t="s">
        <v>279</v>
      </c>
      <c r="C28" s="105" t="s">
        <v>287</v>
      </c>
      <c r="D28" s="105" t="s">
        <v>256</v>
      </c>
    </row>
    <row r="29" spans="1:4" x14ac:dyDescent="0.55000000000000004">
      <c r="A29" s="105">
        <v>28</v>
      </c>
      <c r="B29" s="105" t="s">
        <v>279</v>
      </c>
      <c r="C29" s="105" t="s">
        <v>288</v>
      </c>
      <c r="D29" s="105" t="s">
        <v>256</v>
      </c>
    </row>
    <row r="30" spans="1:4" x14ac:dyDescent="0.55000000000000004">
      <c r="A30" s="105">
        <v>29</v>
      </c>
      <c r="B30" s="105" t="s">
        <v>279</v>
      </c>
      <c r="C30" s="105" t="s">
        <v>289</v>
      </c>
      <c r="D30" s="105" t="s">
        <v>256</v>
      </c>
    </row>
    <row r="31" spans="1:4" x14ac:dyDescent="0.55000000000000004">
      <c r="A31" s="105">
        <v>30</v>
      </c>
      <c r="B31" s="105" t="s">
        <v>290</v>
      </c>
      <c r="C31" s="105" t="s">
        <v>291</v>
      </c>
      <c r="D31" s="105" t="s">
        <v>256</v>
      </c>
    </row>
    <row r="32" spans="1:4" x14ac:dyDescent="0.55000000000000004">
      <c r="A32" s="105">
        <v>31</v>
      </c>
      <c r="B32" s="105" t="s">
        <v>290</v>
      </c>
      <c r="C32" s="105" t="s">
        <v>292</v>
      </c>
      <c r="D32" s="105" t="s">
        <v>52</v>
      </c>
    </row>
    <row r="33" spans="1:4" x14ac:dyDescent="0.55000000000000004">
      <c r="A33" s="105">
        <v>32</v>
      </c>
      <c r="B33" s="105" t="s">
        <v>290</v>
      </c>
      <c r="C33" s="105" t="s">
        <v>293</v>
      </c>
      <c r="D33" s="105" t="s">
        <v>256</v>
      </c>
    </row>
    <row r="34" spans="1:4" x14ac:dyDescent="0.55000000000000004">
      <c r="A34" s="105">
        <v>33</v>
      </c>
      <c r="B34" s="105" t="s">
        <v>290</v>
      </c>
      <c r="C34" s="105" t="s">
        <v>294</v>
      </c>
      <c r="D34" s="105" t="s">
        <v>260</v>
      </c>
    </row>
    <row r="35" spans="1:4" x14ac:dyDescent="0.55000000000000004">
      <c r="A35" s="105">
        <v>34</v>
      </c>
      <c r="B35" s="105" t="s">
        <v>290</v>
      </c>
      <c r="C35" s="105" t="s">
        <v>295</v>
      </c>
      <c r="D35" s="105" t="s">
        <v>260</v>
      </c>
    </row>
    <row r="36" spans="1:4" x14ac:dyDescent="0.55000000000000004">
      <c r="A36" s="105">
        <v>35</v>
      </c>
      <c r="B36" s="105" t="s">
        <v>290</v>
      </c>
      <c r="C36" s="105" t="s">
        <v>296</v>
      </c>
      <c r="D36" s="105" t="s">
        <v>52</v>
      </c>
    </row>
    <row r="37" spans="1:4" x14ac:dyDescent="0.55000000000000004">
      <c r="A37" s="105">
        <v>36</v>
      </c>
      <c r="B37" s="105" t="s">
        <v>297</v>
      </c>
      <c r="C37" s="105" t="s">
        <v>298</v>
      </c>
      <c r="D37" s="105" t="s">
        <v>57</v>
      </c>
    </row>
    <row r="38" spans="1:4" x14ac:dyDescent="0.55000000000000004">
      <c r="A38" s="105">
        <v>37</v>
      </c>
      <c r="B38" s="105" t="s">
        <v>297</v>
      </c>
      <c r="C38" s="105" t="s">
        <v>299</v>
      </c>
      <c r="D38" s="105" t="s">
        <v>52</v>
      </c>
    </row>
    <row r="39" spans="1:4" x14ac:dyDescent="0.55000000000000004">
      <c r="A39" s="105">
        <v>38</v>
      </c>
      <c r="B39" s="105" t="s">
        <v>297</v>
      </c>
      <c r="C39" s="105" t="s">
        <v>300</v>
      </c>
      <c r="D39" s="105" t="s">
        <v>256</v>
      </c>
    </row>
    <row r="40" spans="1:4" x14ac:dyDescent="0.55000000000000004">
      <c r="A40" s="105">
        <v>39</v>
      </c>
      <c r="B40" s="105" t="s">
        <v>297</v>
      </c>
      <c r="C40" s="105" t="s">
        <v>301</v>
      </c>
      <c r="D40" s="105" t="s">
        <v>189</v>
      </c>
    </row>
    <row r="41" spans="1:4" x14ac:dyDescent="0.55000000000000004">
      <c r="A41" s="105">
        <v>40</v>
      </c>
      <c r="B41" s="105" t="s">
        <v>297</v>
      </c>
      <c r="C41" s="105" t="s">
        <v>302</v>
      </c>
      <c r="D41" s="105" t="s">
        <v>57</v>
      </c>
    </row>
    <row r="42" spans="1:4" x14ac:dyDescent="0.55000000000000004">
      <c r="A42" s="105">
        <v>41</v>
      </c>
      <c r="B42" s="105" t="s">
        <v>297</v>
      </c>
      <c r="C42" s="105" t="s">
        <v>303</v>
      </c>
      <c r="D42" s="105" t="s">
        <v>260</v>
      </c>
    </row>
    <row r="43" spans="1:4" x14ac:dyDescent="0.55000000000000004">
      <c r="A43" s="105">
        <v>42</v>
      </c>
      <c r="B43" s="105" t="s">
        <v>297</v>
      </c>
      <c r="C43" s="105" t="s">
        <v>304</v>
      </c>
      <c r="D43" s="105" t="s">
        <v>189</v>
      </c>
    </row>
    <row r="44" spans="1:4" x14ac:dyDescent="0.55000000000000004">
      <c r="A44" s="105">
        <v>43</v>
      </c>
      <c r="B44" s="105" t="s">
        <v>297</v>
      </c>
      <c r="C44" s="105" t="s">
        <v>305</v>
      </c>
      <c r="D44" s="105" t="s">
        <v>256</v>
      </c>
    </row>
    <row r="45" spans="1:4" x14ac:dyDescent="0.55000000000000004">
      <c r="A45" s="105">
        <v>44</v>
      </c>
      <c r="B45" s="105" t="s">
        <v>297</v>
      </c>
      <c r="C45" s="105" t="s">
        <v>306</v>
      </c>
      <c r="D45" s="105" t="s">
        <v>256</v>
      </c>
    </row>
    <row r="46" spans="1:4" x14ac:dyDescent="0.55000000000000004">
      <c r="A46" s="105">
        <v>45</v>
      </c>
      <c r="B46" s="105" t="s">
        <v>297</v>
      </c>
      <c r="C46" s="105" t="s">
        <v>307</v>
      </c>
      <c r="D46" s="105" t="s">
        <v>57</v>
      </c>
    </row>
    <row r="47" spans="1:4" x14ac:dyDescent="0.55000000000000004">
      <c r="A47" s="105">
        <v>46</v>
      </c>
      <c r="B47" s="105" t="s">
        <v>297</v>
      </c>
      <c r="C47" s="105" t="s">
        <v>308</v>
      </c>
      <c r="D47" s="105" t="s">
        <v>52</v>
      </c>
    </row>
    <row r="48" spans="1:4" x14ac:dyDescent="0.55000000000000004">
      <c r="A48" s="105">
        <v>47</v>
      </c>
      <c r="B48" s="105" t="s">
        <v>297</v>
      </c>
      <c r="C48" s="105" t="s">
        <v>309</v>
      </c>
      <c r="D48" s="105" t="s">
        <v>189</v>
      </c>
    </row>
    <row r="49" spans="1:4" x14ac:dyDescent="0.55000000000000004">
      <c r="A49" s="105">
        <v>48</v>
      </c>
      <c r="B49" s="105" t="s">
        <v>310</v>
      </c>
      <c r="C49" s="105" t="s">
        <v>311</v>
      </c>
      <c r="D49" s="105" t="s">
        <v>57</v>
      </c>
    </row>
    <row r="50" spans="1:4" x14ac:dyDescent="0.55000000000000004">
      <c r="A50" s="105">
        <v>49</v>
      </c>
      <c r="B50" s="105" t="s">
        <v>310</v>
      </c>
      <c r="C50" s="105" t="s">
        <v>312</v>
      </c>
      <c r="D50" s="105" t="s">
        <v>256</v>
      </c>
    </row>
    <row r="51" spans="1:4" x14ac:dyDescent="0.55000000000000004">
      <c r="A51" s="105">
        <v>50</v>
      </c>
      <c r="B51" s="105" t="s">
        <v>310</v>
      </c>
      <c r="C51" s="105" t="s">
        <v>313</v>
      </c>
      <c r="D51" s="105" t="s">
        <v>260</v>
      </c>
    </row>
    <row r="52" spans="1:4" x14ac:dyDescent="0.55000000000000004">
      <c r="A52" s="105">
        <v>51</v>
      </c>
      <c r="B52" s="105" t="s">
        <v>310</v>
      </c>
      <c r="C52" s="105" t="s">
        <v>314</v>
      </c>
      <c r="D52" s="105" t="s">
        <v>189</v>
      </c>
    </row>
    <row r="53" spans="1:4" x14ac:dyDescent="0.55000000000000004">
      <c r="A53" s="105">
        <v>52</v>
      </c>
      <c r="B53" s="105" t="s">
        <v>310</v>
      </c>
      <c r="C53" s="105" t="s">
        <v>315</v>
      </c>
      <c r="D53" s="105" t="s">
        <v>256</v>
      </c>
    </row>
    <row r="54" spans="1:4" x14ac:dyDescent="0.55000000000000004">
      <c r="A54" s="105">
        <v>53</v>
      </c>
      <c r="B54" s="105" t="s">
        <v>310</v>
      </c>
      <c r="C54" s="105" t="s">
        <v>316</v>
      </c>
      <c r="D54" s="105" t="s">
        <v>256</v>
      </c>
    </row>
    <row r="55" spans="1:4" x14ac:dyDescent="0.55000000000000004">
      <c r="A55" s="105">
        <v>54</v>
      </c>
      <c r="B55" s="105" t="s">
        <v>317</v>
      </c>
      <c r="C55" s="105" t="s">
        <v>318</v>
      </c>
      <c r="D55" s="105" t="s">
        <v>57</v>
      </c>
    </row>
    <row r="56" spans="1:4" x14ac:dyDescent="0.55000000000000004">
      <c r="A56" s="105">
        <v>55</v>
      </c>
      <c r="B56" s="105" t="s">
        <v>317</v>
      </c>
      <c r="C56" s="105" t="s">
        <v>319</v>
      </c>
      <c r="D56" s="105" t="s">
        <v>52</v>
      </c>
    </row>
    <row r="57" spans="1:4" x14ac:dyDescent="0.55000000000000004">
      <c r="A57" s="105">
        <v>56</v>
      </c>
      <c r="B57" s="105" t="s">
        <v>317</v>
      </c>
      <c r="C57" s="105" t="s">
        <v>320</v>
      </c>
      <c r="D57" s="105" t="s">
        <v>256</v>
      </c>
    </row>
    <row r="58" spans="1:4" x14ac:dyDescent="0.55000000000000004">
      <c r="A58" s="105">
        <v>57</v>
      </c>
      <c r="B58" s="105" t="s">
        <v>321</v>
      </c>
      <c r="C58" s="105" t="s">
        <v>322</v>
      </c>
      <c r="D58" s="105" t="s">
        <v>256</v>
      </c>
    </row>
    <row r="59" spans="1:4" x14ac:dyDescent="0.55000000000000004">
      <c r="A59" s="105">
        <v>58</v>
      </c>
      <c r="B59" s="105" t="s">
        <v>321</v>
      </c>
      <c r="C59" s="105" t="s">
        <v>323</v>
      </c>
      <c r="D59" s="105" t="s">
        <v>256</v>
      </c>
    </row>
    <row r="60" spans="1:4" x14ac:dyDescent="0.55000000000000004">
      <c r="A60" s="105">
        <v>59</v>
      </c>
      <c r="B60" s="105" t="s">
        <v>321</v>
      </c>
      <c r="C60" s="105" t="s">
        <v>324</v>
      </c>
      <c r="D60" s="105" t="s">
        <v>260</v>
      </c>
    </row>
    <row r="61" spans="1:4" x14ac:dyDescent="0.55000000000000004">
      <c r="A61" s="105">
        <v>60</v>
      </c>
      <c r="B61" s="105" t="s">
        <v>325</v>
      </c>
      <c r="C61" s="105" t="s">
        <v>319</v>
      </c>
      <c r="D61" s="105" t="s">
        <v>52</v>
      </c>
    </row>
    <row r="62" spans="1:4" x14ac:dyDescent="0.55000000000000004">
      <c r="A62" s="105">
        <v>61</v>
      </c>
      <c r="B62" s="105" t="s">
        <v>325</v>
      </c>
      <c r="C62" s="105" t="s">
        <v>326</v>
      </c>
      <c r="D62" s="105" t="s">
        <v>260</v>
      </c>
    </row>
    <row r="63" spans="1:4" ht="36" x14ac:dyDescent="0.55000000000000004">
      <c r="A63" s="105">
        <v>62</v>
      </c>
      <c r="B63" s="105" t="s">
        <v>327</v>
      </c>
      <c r="C63" s="105" t="s">
        <v>328</v>
      </c>
      <c r="D63" s="105" t="s">
        <v>256</v>
      </c>
    </row>
    <row r="64" spans="1:4" ht="36" x14ac:dyDescent="0.55000000000000004">
      <c r="A64" s="105">
        <v>63</v>
      </c>
      <c r="B64" s="105" t="s">
        <v>327</v>
      </c>
      <c r="C64" s="105" t="s">
        <v>329</v>
      </c>
      <c r="D64" s="105" t="s">
        <v>256</v>
      </c>
    </row>
    <row r="65" spans="1:4" ht="36" x14ac:dyDescent="0.55000000000000004">
      <c r="A65" s="105">
        <v>64</v>
      </c>
      <c r="B65" s="105" t="s">
        <v>327</v>
      </c>
      <c r="C65" s="105" t="s">
        <v>330</v>
      </c>
      <c r="D65" s="105" t="s">
        <v>256</v>
      </c>
    </row>
    <row r="66" spans="1:4" ht="36" x14ac:dyDescent="0.55000000000000004">
      <c r="A66" s="105">
        <v>65</v>
      </c>
      <c r="B66" s="105" t="s">
        <v>327</v>
      </c>
      <c r="C66" s="105" t="s">
        <v>331</v>
      </c>
      <c r="D66" s="105" t="s">
        <v>256</v>
      </c>
    </row>
    <row r="67" spans="1:4" ht="36" x14ac:dyDescent="0.55000000000000004">
      <c r="A67" s="105">
        <v>66</v>
      </c>
      <c r="B67" s="105" t="s">
        <v>327</v>
      </c>
      <c r="C67" s="105" t="s">
        <v>332</v>
      </c>
      <c r="D67" s="105" t="s">
        <v>260</v>
      </c>
    </row>
    <row r="68" spans="1:4" x14ac:dyDescent="0.55000000000000004">
      <c r="A68" s="105">
        <v>67</v>
      </c>
      <c r="B68" s="105" t="s">
        <v>333</v>
      </c>
      <c r="C68" s="105" t="s">
        <v>334</v>
      </c>
      <c r="D68" s="105" t="s">
        <v>52</v>
      </c>
    </row>
    <row r="69" spans="1:4" x14ac:dyDescent="0.55000000000000004">
      <c r="A69" s="105">
        <v>68</v>
      </c>
      <c r="B69" s="105" t="s">
        <v>333</v>
      </c>
      <c r="C69" s="105" t="s">
        <v>335</v>
      </c>
      <c r="D69" s="105" t="s">
        <v>256</v>
      </c>
    </row>
    <row r="70" spans="1:4" x14ac:dyDescent="0.55000000000000004">
      <c r="A70" s="105">
        <v>69</v>
      </c>
      <c r="B70" s="105" t="s">
        <v>333</v>
      </c>
      <c r="C70" s="105" t="s">
        <v>336</v>
      </c>
      <c r="D70" s="105" t="s">
        <v>260</v>
      </c>
    </row>
    <row r="71" spans="1:4" x14ac:dyDescent="0.55000000000000004">
      <c r="A71" s="105">
        <v>70</v>
      </c>
      <c r="B71" s="105" t="s">
        <v>337</v>
      </c>
      <c r="C71" s="105" t="s">
        <v>338</v>
      </c>
      <c r="D71" s="105" t="s">
        <v>256</v>
      </c>
    </row>
    <row r="72" spans="1:4" x14ac:dyDescent="0.55000000000000004">
      <c r="A72" s="105">
        <v>71</v>
      </c>
      <c r="B72" s="105" t="s">
        <v>337</v>
      </c>
      <c r="C72" s="105" t="s">
        <v>339</v>
      </c>
      <c r="D72" s="105" t="s">
        <v>256</v>
      </c>
    </row>
    <row r="73" spans="1:4" x14ac:dyDescent="0.55000000000000004">
      <c r="A73" s="105">
        <v>72</v>
      </c>
      <c r="B73" s="105" t="s">
        <v>337</v>
      </c>
      <c r="C73" s="105" t="s">
        <v>340</v>
      </c>
      <c r="D73" s="105" t="s">
        <v>256</v>
      </c>
    </row>
    <row r="74" spans="1:4" x14ac:dyDescent="0.55000000000000004">
      <c r="A74" s="105">
        <v>73</v>
      </c>
      <c r="B74" s="105" t="s">
        <v>337</v>
      </c>
      <c r="C74" s="105" t="s">
        <v>341</v>
      </c>
      <c r="D74" s="105" t="s">
        <v>260</v>
      </c>
    </row>
    <row r="75" spans="1:4" x14ac:dyDescent="0.55000000000000004">
      <c r="A75" s="105">
        <v>74</v>
      </c>
      <c r="B75" s="105" t="s">
        <v>337</v>
      </c>
      <c r="C75" s="105" t="s">
        <v>342</v>
      </c>
      <c r="D75" s="105" t="s">
        <v>256</v>
      </c>
    </row>
    <row r="76" spans="1:4" x14ac:dyDescent="0.55000000000000004">
      <c r="A76" s="105">
        <v>75</v>
      </c>
      <c r="B76" s="105" t="s">
        <v>337</v>
      </c>
      <c r="C76" s="105" t="s">
        <v>343</v>
      </c>
      <c r="D76" s="105" t="s">
        <v>256</v>
      </c>
    </row>
    <row r="77" spans="1:4" x14ac:dyDescent="0.55000000000000004">
      <c r="A77" s="105">
        <v>76</v>
      </c>
      <c r="B77" s="105" t="s">
        <v>337</v>
      </c>
      <c r="C77" s="105" t="s">
        <v>344</v>
      </c>
      <c r="D77" s="105" t="s">
        <v>256</v>
      </c>
    </row>
    <row r="78" spans="1:4" x14ac:dyDescent="0.55000000000000004">
      <c r="A78" s="105">
        <v>77</v>
      </c>
      <c r="B78" s="105" t="s">
        <v>345</v>
      </c>
      <c r="C78" s="105" t="s">
        <v>346</v>
      </c>
      <c r="D78" s="105" t="s">
        <v>256</v>
      </c>
    </row>
    <row r="79" spans="1:4" x14ac:dyDescent="0.55000000000000004">
      <c r="A79" s="105">
        <v>78</v>
      </c>
      <c r="B79" s="105" t="s">
        <v>345</v>
      </c>
      <c r="C79" s="105" t="s">
        <v>347</v>
      </c>
      <c r="D79" s="105" t="s">
        <v>256</v>
      </c>
    </row>
    <row r="80" spans="1:4" x14ac:dyDescent="0.55000000000000004">
      <c r="A80" s="105">
        <v>79</v>
      </c>
      <c r="B80" s="105" t="s">
        <v>345</v>
      </c>
      <c r="C80" s="105" t="s">
        <v>348</v>
      </c>
      <c r="D80" s="105" t="s">
        <v>189</v>
      </c>
    </row>
    <row r="81" spans="1:4" x14ac:dyDescent="0.55000000000000004">
      <c r="A81" s="105">
        <v>80</v>
      </c>
      <c r="B81" s="105" t="s">
        <v>345</v>
      </c>
      <c r="C81" s="105" t="s">
        <v>349</v>
      </c>
      <c r="D81" s="105" t="s">
        <v>260</v>
      </c>
    </row>
    <row r="82" spans="1:4" x14ac:dyDescent="0.55000000000000004">
      <c r="A82" s="105">
        <v>81</v>
      </c>
      <c r="B82" s="105" t="s">
        <v>345</v>
      </c>
      <c r="C82" s="105" t="s">
        <v>350</v>
      </c>
      <c r="D82" s="105" t="s">
        <v>260</v>
      </c>
    </row>
    <row r="83" spans="1:4" x14ac:dyDescent="0.55000000000000004">
      <c r="A83" s="105">
        <v>82</v>
      </c>
      <c r="B83" s="105" t="s">
        <v>351</v>
      </c>
      <c r="C83" s="105" t="s">
        <v>352</v>
      </c>
      <c r="D83" s="105" t="s">
        <v>256</v>
      </c>
    </row>
    <row r="84" spans="1:4" x14ac:dyDescent="0.55000000000000004">
      <c r="A84" s="105">
        <v>83</v>
      </c>
      <c r="B84" s="105" t="s">
        <v>351</v>
      </c>
      <c r="C84" s="105" t="s">
        <v>353</v>
      </c>
      <c r="D84" s="105" t="s">
        <v>256</v>
      </c>
    </row>
    <row r="85" spans="1:4" x14ac:dyDescent="0.55000000000000004">
      <c r="A85" s="105">
        <v>84</v>
      </c>
      <c r="B85" s="105" t="s">
        <v>351</v>
      </c>
      <c r="C85" s="105" t="s">
        <v>354</v>
      </c>
      <c r="D85" s="105" t="s">
        <v>52</v>
      </c>
    </row>
    <row r="86" spans="1:4" ht="36" x14ac:dyDescent="0.55000000000000004">
      <c r="A86" s="105">
        <v>85</v>
      </c>
      <c r="B86" s="105" t="s">
        <v>351</v>
      </c>
      <c r="C86" s="105" t="s">
        <v>355</v>
      </c>
      <c r="D86" s="105" t="s">
        <v>256</v>
      </c>
    </row>
    <row r="87" spans="1:4" x14ac:dyDescent="0.55000000000000004">
      <c r="A87" s="105">
        <v>86</v>
      </c>
      <c r="B87" s="105" t="s">
        <v>351</v>
      </c>
      <c r="C87" s="105" t="s">
        <v>356</v>
      </c>
      <c r="D87" s="105" t="s">
        <v>256</v>
      </c>
    </row>
    <row r="88" spans="1:4" x14ac:dyDescent="0.55000000000000004">
      <c r="A88" s="105">
        <v>87</v>
      </c>
      <c r="B88" s="105" t="s">
        <v>351</v>
      </c>
      <c r="C88" s="105" t="s">
        <v>357</v>
      </c>
      <c r="D88" s="105" t="s">
        <v>256</v>
      </c>
    </row>
    <row r="89" spans="1:4" x14ac:dyDescent="0.55000000000000004">
      <c r="A89" s="105">
        <v>88</v>
      </c>
      <c r="B89" s="105" t="s">
        <v>351</v>
      </c>
      <c r="C89" s="105" t="s">
        <v>358</v>
      </c>
      <c r="D89" s="105" t="s">
        <v>256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77"/>
  <sheetViews>
    <sheetView showGridLines="0" topLeftCell="A17" workbookViewId="0">
      <selection activeCell="H44" sqref="H44"/>
    </sheetView>
  </sheetViews>
  <sheetFormatPr defaultColWidth="14.44140625" defaultRowHeight="15" customHeight="1" x14ac:dyDescent="0.3"/>
  <cols>
    <col min="1" max="1" width="10.77734375" customWidth="1"/>
    <col min="2" max="2" width="14.109375" customWidth="1"/>
    <col min="3" max="3" width="38.33203125" customWidth="1"/>
    <col min="4" max="4" width="16.44140625" customWidth="1"/>
    <col min="5" max="6" width="16.6640625" customWidth="1"/>
    <col min="7" max="7" width="16.44140625" customWidth="1"/>
    <col min="8" max="8" width="16.6640625" customWidth="1"/>
    <col min="9" max="9" width="6.44140625" customWidth="1"/>
    <col min="10" max="10" width="22.109375" customWidth="1"/>
    <col min="11" max="11" width="15.77734375" customWidth="1"/>
    <col min="12" max="12" width="16" customWidth="1"/>
    <col min="13" max="13" width="18.44140625" customWidth="1"/>
    <col min="14" max="14" width="17" customWidth="1"/>
    <col min="15" max="17" width="11.77734375" customWidth="1"/>
    <col min="18" max="37" width="11.44140625" customWidth="1"/>
  </cols>
  <sheetData>
    <row r="2" spans="1:14" ht="28.5" customHeight="1" x14ac:dyDescent="0.3">
      <c r="A2" s="230" t="s">
        <v>58</v>
      </c>
      <c r="B2" s="231"/>
      <c r="C2" s="232"/>
      <c r="D2" s="11"/>
      <c r="E2" s="11"/>
      <c r="F2" s="11"/>
      <c r="G2" s="10"/>
      <c r="H2" s="10"/>
      <c r="I2" s="10"/>
      <c r="J2" s="10"/>
      <c r="K2" s="10"/>
      <c r="L2" s="10"/>
      <c r="M2" s="10"/>
      <c r="N2" s="10"/>
    </row>
    <row r="3" spans="1:14" ht="22.5" customHeight="1" x14ac:dyDescent="0.3">
      <c r="A3" s="12" t="s">
        <v>59</v>
      </c>
      <c r="B3" s="12" t="s">
        <v>60</v>
      </c>
      <c r="C3" s="12" t="s">
        <v>46</v>
      </c>
      <c r="D3" s="12" t="s">
        <v>61</v>
      </c>
      <c r="E3" s="12" t="s">
        <v>62</v>
      </c>
      <c r="F3" s="12" t="s">
        <v>63</v>
      </c>
      <c r="G3" s="12" t="s">
        <v>64</v>
      </c>
      <c r="H3" s="12" t="s">
        <v>65</v>
      </c>
      <c r="I3" s="10"/>
      <c r="J3" s="10"/>
      <c r="K3" s="10"/>
      <c r="L3" s="10"/>
      <c r="M3" s="10"/>
      <c r="N3" s="10"/>
    </row>
    <row r="4" spans="1:14" ht="14.4" x14ac:dyDescent="0.3">
      <c r="A4" s="13">
        <v>1</v>
      </c>
      <c r="B4" s="14" t="s">
        <v>66</v>
      </c>
      <c r="C4" s="14" t="s">
        <v>67</v>
      </c>
      <c r="D4" s="15"/>
      <c r="E4" s="16"/>
      <c r="F4" s="15"/>
      <c r="G4" s="17"/>
      <c r="H4" s="10"/>
      <c r="I4" s="10"/>
      <c r="J4" s="10"/>
      <c r="K4" s="10"/>
      <c r="L4" s="10"/>
      <c r="M4" s="10"/>
      <c r="N4" s="10"/>
    </row>
    <row r="5" spans="1:14" ht="14.4" x14ac:dyDescent="0.3">
      <c r="A5" s="13">
        <v>2</v>
      </c>
      <c r="B5" s="14" t="s">
        <v>68</v>
      </c>
      <c r="C5" s="14" t="s">
        <v>69</v>
      </c>
      <c r="D5" s="15"/>
      <c r="E5" s="16"/>
      <c r="F5" s="15"/>
      <c r="G5" s="17"/>
      <c r="H5" s="10"/>
      <c r="I5" s="10"/>
      <c r="J5" s="10"/>
      <c r="K5" s="10"/>
      <c r="L5" s="10"/>
      <c r="M5" s="10"/>
      <c r="N5" s="10"/>
    </row>
    <row r="6" spans="1:14" ht="14.4" x14ac:dyDescent="0.3">
      <c r="A6" s="13">
        <v>3</v>
      </c>
      <c r="B6" s="14" t="s">
        <v>70</v>
      </c>
      <c r="C6" s="14" t="s">
        <v>71</v>
      </c>
      <c r="D6" s="15"/>
      <c r="E6" s="16"/>
      <c r="F6" s="15"/>
      <c r="G6" s="18"/>
      <c r="H6" s="10"/>
      <c r="I6" s="10"/>
      <c r="J6" s="10"/>
      <c r="K6" s="10"/>
      <c r="L6" s="10"/>
      <c r="M6" s="10"/>
      <c r="N6" s="10"/>
    </row>
    <row r="7" spans="1:14" ht="14.4" x14ac:dyDescent="0.3">
      <c r="A7" s="13">
        <v>4</v>
      </c>
      <c r="B7" s="14" t="s">
        <v>72</v>
      </c>
      <c r="C7" s="14" t="s">
        <v>73</v>
      </c>
      <c r="D7" s="15"/>
      <c r="E7" s="16"/>
      <c r="F7" s="15"/>
      <c r="G7" s="19"/>
      <c r="H7" s="10"/>
      <c r="I7" s="10"/>
      <c r="J7" s="10"/>
      <c r="K7" s="10"/>
      <c r="L7" s="10"/>
      <c r="M7" s="10"/>
      <c r="N7" s="10"/>
    </row>
    <row r="8" spans="1:14" ht="14.4" x14ac:dyDescent="0.3">
      <c r="A8" s="13">
        <v>5</v>
      </c>
      <c r="B8" s="14" t="s">
        <v>74</v>
      </c>
      <c r="C8" s="14" t="s">
        <v>75</v>
      </c>
      <c r="D8" s="15"/>
      <c r="E8" s="16"/>
      <c r="F8" s="15"/>
      <c r="G8" s="18"/>
      <c r="H8" s="10"/>
      <c r="I8" s="10"/>
      <c r="J8" s="10"/>
      <c r="K8" s="10"/>
      <c r="L8" s="10"/>
      <c r="M8" s="10"/>
      <c r="N8" s="10"/>
    </row>
    <row r="9" spans="1:14" ht="14.4" x14ac:dyDescent="0.3">
      <c r="A9" s="20"/>
      <c r="B9" s="15"/>
      <c r="C9" s="15"/>
      <c r="D9" s="15"/>
      <c r="E9" s="21"/>
      <c r="F9" s="21"/>
      <c r="G9" s="17"/>
      <c r="H9" s="15"/>
      <c r="I9" s="10"/>
      <c r="J9" s="10"/>
      <c r="K9" s="10"/>
      <c r="L9" s="10"/>
      <c r="M9" s="10"/>
      <c r="N9" s="10"/>
    </row>
    <row r="10" spans="1:14" ht="27" customHeight="1" x14ac:dyDescent="0.3">
      <c r="A10" s="233" t="s">
        <v>76</v>
      </c>
      <c r="B10" s="234"/>
      <c r="C10" s="234"/>
      <c r="D10" s="234"/>
      <c r="E10" s="234"/>
      <c r="F10" s="234"/>
      <c r="G10" s="234"/>
      <c r="H10" s="235"/>
      <c r="I10" s="10"/>
      <c r="J10" s="236" t="s">
        <v>77</v>
      </c>
      <c r="K10" s="231"/>
      <c r="L10" s="231"/>
      <c r="M10" s="231"/>
      <c r="N10" s="232"/>
    </row>
    <row r="11" spans="1:14" ht="21.75" customHeight="1" x14ac:dyDescent="0.3">
      <c r="A11" s="237" t="s">
        <v>59</v>
      </c>
      <c r="B11" s="238" t="s">
        <v>60</v>
      </c>
      <c r="C11" s="239" t="s">
        <v>78</v>
      </c>
      <c r="D11" s="231"/>
      <c r="E11" s="231"/>
      <c r="F11" s="231"/>
      <c r="G11" s="231"/>
      <c r="H11" s="240"/>
      <c r="I11" s="10"/>
      <c r="J11" s="225" t="s">
        <v>79</v>
      </c>
      <c r="K11" s="225" t="s">
        <v>80</v>
      </c>
      <c r="L11" s="225" t="s">
        <v>81</v>
      </c>
      <c r="M11" s="225" t="s">
        <v>82</v>
      </c>
      <c r="N11" s="225" t="s">
        <v>83</v>
      </c>
    </row>
    <row r="12" spans="1:14" ht="41.4" x14ac:dyDescent="0.3">
      <c r="A12" s="226"/>
      <c r="B12" s="226"/>
      <c r="C12" s="22" t="s">
        <v>84</v>
      </c>
      <c r="D12" s="23" t="s">
        <v>85</v>
      </c>
      <c r="E12" s="23" t="s">
        <v>86</v>
      </c>
      <c r="F12" s="23" t="s">
        <v>87</v>
      </c>
      <c r="G12" s="23" t="s">
        <v>88</v>
      </c>
      <c r="H12" s="24" t="s">
        <v>89</v>
      </c>
      <c r="I12" s="10"/>
      <c r="J12" s="226"/>
      <c r="K12" s="226"/>
      <c r="L12" s="226"/>
      <c r="M12" s="226"/>
      <c r="N12" s="226"/>
    </row>
    <row r="13" spans="1:14" ht="82.8" x14ac:dyDescent="0.3">
      <c r="A13" s="13">
        <v>1</v>
      </c>
      <c r="B13" s="14" t="s">
        <v>66</v>
      </c>
      <c r="C13" s="14" t="s">
        <v>90</v>
      </c>
      <c r="D13" s="25" t="s">
        <v>91</v>
      </c>
      <c r="E13" s="25" t="s">
        <v>91</v>
      </c>
      <c r="F13" s="25" t="s">
        <v>91</v>
      </c>
      <c r="G13" s="25" t="s">
        <v>92</v>
      </c>
      <c r="H13" s="26" t="s">
        <v>93</v>
      </c>
      <c r="I13" s="10"/>
      <c r="J13" s="27" t="s">
        <v>91</v>
      </c>
      <c r="K13" s="28" t="s">
        <v>91</v>
      </c>
      <c r="L13" s="28" t="s">
        <v>91</v>
      </c>
      <c r="M13" s="28" t="s">
        <v>91</v>
      </c>
      <c r="N13" s="28" t="s">
        <v>91</v>
      </c>
    </row>
    <row r="14" spans="1:14" ht="151.80000000000001" x14ac:dyDescent="0.3">
      <c r="A14" s="13">
        <v>2</v>
      </c>
      <c r="B14" s="14" t="s">
        <v>68</v>
      </c>
      <c r="C14" s="14" t="s">
        <v>94</v>
      </c>
      <c r="D14" s="25" t="s">
        <v>95</v>
      </c>
      <c r="E14" s="25" t="s">
        <v>96</v>
      </c>
      <c r="F14" s="25" t="s">
        <v>97</v>
      </c>
      <c r="G14" s="25" t="s">
        <v>98</v>
      </c>
      <c r="H14" s="26" t="s">
        <v>99</v>
      </c>
      <c r="I14" s="10"/>
      <c r="J14" s="29" t="s">
        <v>100</v>
      </c>
      <c r="K14" s="30" t="s">
        <v>101</v>
      </c>
      <c r="L14" s="30" t="s">
        <v>102</v>
      </c>
      <c r="M14" s="30" t="s">
        <v>103</v>
      </c>
      <c r="N14" s="30" t="s">
        <v>104</v>
      </c>
    </row>
    <row r="15" spans="1:14" ht="138" x14ac:dyDescent="0.3">
      <c r="A15" s="13">
        <v>3</v>
      </c>
      <c r="B15" s="14" t="s">
        <v>70</v>
      </c>
      <c r="C15" s="14" t="s">
        <v>105</v>
      </c>
      <c r="D15" s="25" t="s">
        <v>106</v>
      </c>
      <c r="E15" s="25" t="s">
        <v>107</v>
      </c>
      <c r="F15" s="25" t="s">
        <v>108</v>
      </c>
      <c r="G15" s="25" t="s">
        <v>109</v>
      </c>
      <c r="H15" s="26" t="s">
        <v>110</v>
      </c>
      <c r="I15" s="10"/>
      <c r="J15" s="29" t="s">
        <v>111</v>
      </c>
      <c r="K15" s="30" t="s">
        <v>112</v>
      </c>
      <c r="L15" s="30" t="s">
        <v>113</v>
      </c>
      <c r="M15" s="30" t="s">
        <v>114</v>
      </c>
      <c r="N15" s="30" t="s">
        <v>115</v>
      </c>
    </row>
    <row r="16" spans="1:14" ht="138" x14ac:dyDescent="0.3">
      <c r="A16" s="13">
        <v>4</v>
      </c>
      <c r="B16" s="14" t="s">
        <v>72</v>
      </c>
      <c r="C16" s="14" t="s">
        <v>116</v>
      </c>
      <c r="D16" s="25" t="s">
        <v>117</v>
      </c>
      <c r="E16" s="25" t="s">
        <v>118</v>
      </c>
      <c r="F16" s="25" t="s">
        <v>119</v>
      </c>
      <c r="G16" s="25" t="s">
        <v>120</v>
      </c>
      <c r="H16" s="26" t="s">
        <v>121</v>
      </c>
      <c r="I16" s="10"/>
      <c r="J16" s="29" t="s">
        <v>122</v>
      </c>
      <c r="K16" s="30" t="s">
        <v>123</v>
      </c>
      <c r="L16" s="30" t="s">
        <v>124</v>
      </c>
      <c r="M16" s="30" t="s">
        <v>125</v>
      </c>
      <c r="N16" s="30" t="s">
        <v>126</v>
      </c>
    </row>
    <row r="17" spans="1:17" ht="124.2" x14ac:dyDescent="0.3">
      <c r="A17" s="13">
        <v>5</v>
      </c>
      <c r="B17" s="14" t="s">
        <v>74</v>
      </c>
      <c r="C17" s="14" t="s">
        <v>127</v>
      </c>
      <c r="D17" s="25" t="s">
        <v>128</v>
      </c>
      <c r="E17" s="25" t="s">
        <v>129</v>
      </c>
      <c r="F17" s="25" t="s">
        <v>130</v>
      </c>
      <c r="G17" s="25" t="s">
        <v>131</v>
      </c>
      <c r="H17" s="26" t="s">
        <v>132</v>
      </c>
      <c r="I17" s="10"/>
      <c r="J17" s="29" t="s">
        <v>133</v>
      </c>
      <c r="K17" s="30" t="s">
        <v>134</v>
      </c>
      <c r="L17" s="30" t="s">
        <v>135</v>
      </c>
      <c r="M17" s="30" t="s">
        <v>136</v>
      </c>
      <c r="N17" s="30" t="s">
        <v>137</v>
      </c>
      <c r="O17" s="10"/>
      <c r="P17" s="10"/>
      <c r="Q17" s="10"/>
    </row>
    <row r="18" spans="1:17" ht="14.4" x14ac:dyDescent="0.3">
      <c r="B18" s="21"/>
      <c r="C18" s="15"/>
      <c r="D18" s="15"/>
      <c r="E18" s="15"/>
      <c r="F18" s="15"/>
      <c r="G18" s="15"/>
      <c r="H18" s="15"/>
      <c r="I18" s="10"/>
      <c r="J18" s="10"/>
      <c r="K18" s="10"/>
      <c r="L18" s="10"/>
      <c r="M18" s="10"/>
      <c r="N18" s="10"/>
      <c r="O18" s="10"/>
      <c r="P18" s="10"/>
      <c r="Q18" s="10"/>
    </row>
    <row r="19" spans="1:17" ht="14.4" x14ac:dyDescent="0.3">
      <c r="B19" s="21"/>
      <c r="C19" s="15"/>
      <c r="D19" s="15"/>
      <c r="E19" s="15"/>
      <c r="F19" s="15"/>
      <c r="G19" s="15"/>
      <c r="H19" s="15"/>
      <c r="I19" s="10"/>
      <c r="J19" s="10"/>
      <c r="K19" s="10"/>
      <c r="L19" s="10"/>
      <c r="M19" s="10"/>
      <c r="N19" s="10"/>
      <c r="O19" s="10"/>
      <c r="P19" s="10"/>
      <c r="Q19" s="10"/>
    </row>
    <row r="20" spans="1:17" ht="14.4" x14ac:dyDescent="0.3">
      <c r="B20" s="21"/>
      <c r="C20" s="15"/>
      <c r="D20" s="15"/>
      <c r="E20" s="15"/>
      <c r="F20" s="15"/>
      <c r="G20" s="15"/>
      <c r="H20" s="15"/>
      <c r="I20" s="10"/>
      <c r="J20" s="10"/>
      <c r="K20" s="10"/>
      <c r="L20" s="10"/>
      <c r="M20" s="10"/>
      <c r="N20" s="10"/>
      <c r="O20" s="10"/>
      <c r="P20" s="10"/>
      <c r="Q20" s="10"/>
    </row>
    <row r="21" spans="1:17" ht="15.75" customHeight="1" x14ac:dyDescent="0.3">
      <c r="A21" s="21"/>
      <c r="B21" s="20"/>
      <c r="C21" s="15"/>
      <c r="D21" s="15"/>
      <c r="E21" s="15"/>
      <c r="F21" s="21"/>
      <c r="G21" s="21"/>
      <c r="H21" s="15"/>
      <c r="I21" s="15"/>
      <c r="J21" s="10"/>
      <c r="K21" s="10"/>
      <c r="L21" s="10"/>
      <c r="M21" s="10"/>
      <c r="N21" s="10"/>
      <c r="O21" s="10"/>
      <c r="P21" s="10"/>
      <c r="Q21" s="10"/>
    </row>
    <row r="22" spans="1:17" ht="15.75" customHeight="1" x14ac:dyDescent="0.3">
      <c r="C22" s="10"/>
      <c r="D22" s="10"/>
      <c r="E22" s="10"/>
      <c r="F22" s="10"/>
      <c r="G22" s="10"/>
      <c r="H22" s="10"/>
      <c r="I22" s="10"/>
      <c r="J22" s="10"/>
      <c r="K22" s="10"/>
      <c r="L22" s="10"/>
      <c r="M22" s="10"/>
      <c r="N22" s="10"/>
      <c r="O22" s="10"/>
      <c r="P22" s="10"/>
      <c r="Q22" s="10"/>
    </row>
    <row r="23" spans="1:17" ht="21" customHeight="1" x14ac:dyDescent="0.3">
      <c r="A23" s="241" t="s">
        <v>138</v>
      </c>
      <c r="B23" s="242"/>
      <c r="C23" s="243"/>
      <c r="D23" s="227" t="s">
        <v>139</v>
      </c>
      <c r="E23" s="228"/>
      <c r="F23" s="228"/>
      <c r="G23" s="228"/>
      <c r="H23" s="229"/>
      <c r="I23" s="10"/>
      <c r="J23" s="241" t="s">
        <v>140</v>
      </c>
      <c r="K23" s="242"/>
      <c r="L23" s="243"/>
      <c r="M23" s="227" t="s">
        <v>139</v>
      </c>
      <c r="N23" s="228"/>
      <c r="O23" s="228"/>
      <c r="P23" s="228"/>
      <c r="Q23" s="229"/>
    </row>
    <row r="24" spans="1:17" ht="18.75" customHeight="1" x14ac:dyDescent="0.3">
      <c r="A24" s="244"/>
      <c r="B24" s="245"/>
      <c r="C24" s="246"/>
      <c r="D24" s="31">
        <v>1</v>
      </c>
      <c r="E24" s="31">
        <v>2</v>
      </c>
      <c r="F24" s="31">
        <v>3</v>
      </c>
      <c r="G24" s="31">
        <v>4</v>
      </c>
      <c r="H24" s="31">
        <v>5</v>
      </c>
      <c r="I24" s="10"/>
      <c r="J24" s="244"/>
      <c r="K24" s="245"/>
      <c r="L24" s="246"/>
      <c r="M24" s="31">
        <v>1</v>
      </c>
      <c r="N24" s="31">
        <v>2</v>
      </c>
      <c r="O24" s="31">
        <v>3</v>
      </c>
      <c r="P24" s="31">
        <v>4</v>
      </c>
      <c r="Q24" s="31">
        <v>5</v>
      </c>
    </row>
    <row r="25" spans="1:17" ht="35.25" customHeight="1" x14ac:dyDescent="0.3">
      <c r="A25" s="247"/>
      <c r="B25" s="248"/>
      <c r="C25" s="249"/>
      <c r="D25" s="32" t="s">
        <v>66</v>
      </c>
      <c r="E25" s="32" t="s">
        <v>68</v>
      </c>
      <c r="F25" s="32" t="s">
        <v>70</v>
      </c>
      <c r="G25" s="32" t="s">
        <v>72</v>
      </c>
      <c r="H25" s="32" t="s">
        <v>74</v>
      </c>
      <c r="I25" s="10"/>
      <c r="J25" s="247"/>
      <c r="K25" s="248"/>
      <c r="L25" s="249"/>
      <c r="M25" s="33" t="s">
        <v>66</v>
      </c>
      <c r="N25" s="33" t="s">
        <v>68</v>
      </c>
      <c r="O25" s="33" t="s">
        <v>70</v>
      </c>
      <c r="P25" s="33" t="s">
        <v>72</v>
      </c>
      <c r="Q25" s="33" t="s">
        <v>74</v>
      </c>
    </row>
    <row r="26" spans="1:17" ht="31.5" customHeight="1" x14ac:dyDescent="0.3">
      <c r="A26" s="250" t="s">
        <v>141</v>
      </c>
      <c r="B26" s="34">
        <v>5</v>
      </c>
      <c r="C26" s="35" t="s">
        <v>142</v>
      </c>
      <c r="D26" s="36">
        <v>5</v>
      </c>
      <c r="E26" s="37">
        <v>10</v>
      </c>
      <c r="F26" s="38">
        <v>15</v>
      </c>
      <c r="G26" s="39">
        <v>20</v>
      </c>
      <c r="H26" s="39">
        <v>25</v>
      </c>
      <c r="I26" s="10"/>
      <c r="J26" s="250" t="s">
        <v>141</v>
      </c>
      <c r="K26" s="34">
        <v>5</v>
      </c>
      <c r="L26" s="35" t="s">
        <v>74</v>
      </c>
      <c r="M26" s="40" t="s">
        <v>68</v>
      </c>
      <c r="N26" s="41" t="s">
        <v>143</v>
      </c>
      <c r="O26" s="42" t="s">
        <v>72</v>
      </c>
      <c r="P26" s="43" t="s">
        <v>74</v>
      </c>
      <c r="Q26" s="43" t="s">
        <v>74</v>
      </c>
    </row>
    <row r="27" spans="1:17" ht="31.5" customHeight="1" x14ac:dyDescent="0.3">
      <c r="A27" s="251"/>
      <c r="B27" s="34">
        <v>4</v>
      </c>
      <c r="C27" s="35" t="s">
        <v>72</v>
      </c>
      <c r="D27" s="36">
        <v>4</v>
      </c>
      <c r="E27" s="36">
        <v>8</v>
      </c>
      <c r="F27" s="37">
        <v>12</v>
      </c>
      <c r="G27" s="38">
        <v>16</v>
      </c>
      <c r="H27" s="39">
        <v>20</v>
      </c>
      <c r="I27" s="44"/>
      <c r="J27" s="251"/>
      <c r="K27" s="34">
        <v>4</v>
      </c>
      <c r="L27" s="35" t="s">
        <v>72</v>
      </c>
      <c r="M27" s="40" t="s">
        <v>68</v>
      </c>
      <c r="N27" s="40" t="s">
        <v>68</v>
      </c>
      <c r="O27" s="41" t="s">
        <v>143</v>
      </c>
      <c r="P27" s="42" t="s">
        <v>72</v>
      </c>
      <c r="Q27" s="43" t="s">
        <v>74</v>
      </c>
    </row>
    <row r="28" spans="1:17" ht="31.5" customHeight="1" x14ac:dyDescent="0.3">
      <c r="A28" s="251"/>
      <c r="B28" s="34">
        <v>3</v>
      </c>
      <c r="C28" s="35" t="s">
        <v>70</v>
      </c>
      <c r="D28" s="45">
        <v>3</v>
      </c>
      <c r="E28" s="36">
        <v>6</v>
      </c>
      <c r="F28" s="36">
        <v>9</v>
      </c>
      <c r="G28" s="37">
        <v>12</v>
      </c>
      <c r="H28" s="38">
        <v>15</v>
      </c>
      <c r="I28" s="44"/>
      <c r="J28" s="251"/>
      <c r="K28" s="34">
        <v>3</v>
      </c>
      <c r="L28" s="35" t="s">
        <v>143</v>
      </c>
      <c r="M28" s="46" t="s">
        <v>66</v>
      </c>
      <c r="N28" s="40" t="s">
        <v>68</v>
      </c>
      <c r="O28" s="40" t="s">
        <v>68</v>
      </c>
      <c r="P28" s="41" t="s">
        <v>143</v>
      </c>
      <c r="Q28" s="42" t="s">
        <v>72</v>
      </c>
    </row>
    <row r="29" spans="1:17" ht="31.5" customHeight="1" x14ac:dyDescent="0.3">
      <c r="A29" s="251"/>
      <c r="B29" s="34">
        <v>2</v>
      </c>
      <c r="C29" s="35" t="s">
        <v>68</v>
      </c>
      <c r="D29" s="45">
        <v>2</v>
      </c>
      <c r="E29" s="45">
        <v>4</v>
      </c>
      <c r="F29" s="36">
        <v>6</v>
      </c>
      <c r="G29" s="36">
        <v>8</v>
      </c>
      <c r="H29" s="37">
        <v>10</v>
      </c>
      <c r="I29" s="44"/>
      <c r="J29" s="251"/>
      <c r="K29" s="34">
        <v>2</v>
      </c>
      <c r="L29" s="35" t="s">
        <v>68</v>
      </c>
      <c r="M29" s="46" t="s">
        <v>66</v>
      </c>
      <c r="N29" s="46" t="s">
        <v>66</v>
      </c>
      <c r="O29" s="40" t="s">
        <v>68</v>
      </c>
      <c r="P29" s="40" t="s">
        <v>68</v>
      </c>
      <c r="Q29" s="41" t="s">
        <v>143</v>
      </c>
    </row>
    <row r="30" spans="1:17" ht="31.5" customHeight="1" x14ac:dyDescent="0.3">
      <c r="A30" s="252"/>
      <c r="B30" s="34">
        <v>1</v>
      </c>
      <c r="C30" s="35" t="s">
        <v>66</v>
      </c>
      <c r="D30" s="45">
        <v>1</v>
      </c>
      <c r="E30" s="45">
        <v>2</v>
      </c>
      <c r="F30" s="45">
        <v>3</v>
      </c>
      <c r="G30" s="36">
        <v>4</v>
      </c>
      <c r="H30" s="36">
        <v>5</v>
      </c>
      <c r="I30" s="44"/>
      <c r="J30" s="252"/>
      <c r="K30" s="34">
        <v>1</v>
      </c>
      <c r="L30" s="35" t="s">
        <v>66</v>
      </c>
      <c r="M30" s="46" t="s">
        <v>66</v>
      </c>
      <c r="N30" s="46" t="s">
        <v>66</v>
      </c>
      <c r="O30" s="46" t="s">
        <v>66</v>
      </c>
      <c r="P30" s="40" t="s">
        <v>68</v>
      </c>
      <c r="Q30" s="40" t="s">
        <v>68</v>
      </c>
    </row>
    <row r="33" spans="1:8" ht="15.75" hidden="1" customHeight="1" x14ac:dyDescent="0.3">
      <c r="A33" s="241" t="s">
        <v>144</v>
      </c>
      <c r="B33" s="242"/>
      <c r="C33" s="243"/>
      <c r="D33" s="227" t="s">
        <v>139</v>
      </c>
      <c r="E33" s="228"/>
      <c r="F33" s="228"/>
      <c r="G33" s="228"/>
      <c r="H33" s="229"/>
    </row>
    <row r="34" spans="1:8" ht="15.75" hidden="1" customHeight="1" x14ac:dyDescent="0.3">
      <c r="A34" s="244"/>
      <c r="B34" s="245"/>
      <c r="C34" s="246"/>
      <c r="D34" s="31">
        <v>1</v>
      </c>
      <c r="E34" s="31">
        <v>2</v>
      </c>
      <c r="F34" s="31">
        <v>3</v>
      </c>
      <c r="G34" s="31">
        <v>4</v>
      </c>
      <c r="H34" s="31">
        <v>5</v>
      </c>
    </row>
    <row r="35" spans="1:8" ht="15.75" hidden="1" customHeight="1" x14ac:dyDescent="0.3">
      <c r="A35" s="247"/>
      <c r="B35" s="248"/>
      <c r="C35" s="249"/>
      <c r="D35" s="32" t="s">
        <v>66</v>
      </c>
      <c r="E35" s="32" t="s">
        <v>145</v>
      </c>
      <c r="F35" s="32" t="s">
        <v>146</v>
      </c>
      <c r="G35" s="32" t="s">
        <v>74</v>
      </c>
      <c r="H35" s="32" t="s">
        <v>147</v>
      </c>
    </row>
    <row r="36" spans="1:8" ht="15.75" hidden="1" customHeight="1" x14ac:dyDescent="0.3">
      <c r="A36" s="250" t="s">
        <v>141</v>
      </c>
      <c r="B36" s="34">
        <v>5</v>
      </c>
      <c r="C36" s="35" t="s">
        <v>147</v>
      </c>
      <c r="D36" s="36">
        <f>B36*D34</f>
        <v>5</v>
      </c>
      <c r="E36" s="37">
        <f t="shared" ref="E36:E40" si="0">B36*$E$24</f>
        <v>10</v>
      </c>
      <c r="F36" s="47">
        <f t="shared" ref="F36:F40" si="1">B36*$F$24</f>
        <v>15</v>
      </c>
      <c r="G36" s="39">
        <f t="shared" ref="G36:G40" si="2">B36*$G$24</f>
        <v>20</v>
      </c>
      <c r="H36" s="39">
        <f t="shared" ref="H36:H40" si="3">B36*$H$24</f>
        <v>25</v>
      </c>
    </row>
    <row r="37" spans="1:8" ht="15.75" hidden="1" customHeight="1" x14ac:dyDescent="0.3">
      <c r="A37" s="251"/>
      <c r="B37" s="34">
        <v>4</v>
      </c>
      <c r="C37" s="35" t="s">
        <v>74</v>
      </c>
      <c r="D37" s="45">
        <f t="shared" ref="D37:D40" si="4">B37*$D$24</f>
        <v>4</v>
      </c>
      <c r="E37" s="36">
        <f t="shared" si="0"/>
        <v>8</v>
      </c>
      <c r="F37" s="37">
        <f t="shared" si="1"/>
        <v>12</v>
      </c>
      <c r="G37" s="47">
        <f t="shared" si="2"/>
        <v>16</v>
      </c>
      <c r="H37" s="39">
        <f t="shared" si="3"/>
        <v>20</v>
      </c>
    </row>
    <row r="38" spans="1:8" ht="15.75" hidden="1" customHeight="1" x14ac:dyDescent="0.3">
      <c r="A38" s="251"/>
      <c r="B38" s="34">
        <v>3</v>
      </c>
      <c r="C38" s="35" t="s">
        <v>70</v>
      </c>
      <c r="D38" s="45">
        <f t="shared" si="4"/>
        <v>3</v>
      </c>
      <c r="E38" s="36">
        <f t="shared" si="0"/>
        <v>6</v>
      </c>
      <c r="F38" s="37">
        <f t="shared" si="1"/>
        <v>9</v>
      </c>
      <c r="G38" s="47">
        <f t="shared" si="2"/>
        <v>12</v>
      </c>
      <c r="H38" s="47">
        <f t="shared" si="3"/>
        <v>15</v>
      </c>
    </row>
    <row r="39" spans="1:8" ht="15.75" hidden="1" customHeight="1" x14ac:dyDescent="0.3">
      <c r="A39" s="251"/>
      <c r="B39" s="34">
        <v>2</v>
      </c>
      <c r="C39" s="35" t="s">
        <v>145</v>
      </c>
      <c r="D39" s="45">
        <f t="shared" si="4"/>
        <v>2</v>
      </c>
      <c r="E39" s="36">
        <f t="shared" si="0"/>
        <v>4</v>
      </c>
      <c r="F39" s="36">
        <f t="shared" si="1"/>
        <v>6</v>
      </c>
      <c r="G39" s="37">
        <f t="shared" si="2"/>
        <v>8</v>
      </c>
      <c r="H39" s="47">
        <f t="shared" si="3"/>
        <v>10</v>
      </c>
    </row>
    <row r="40" spans="1:8" ht="15.75" hidden="1" customHeight="1" x14ac:dyDescent="0.3">
      <c r="A40" s="252"/>
      <c r="B40" s="34">
        <v>1</v>
      </c>
      <c r="C40" s="35" t="s">
        <v>66</v>
      </c>
      <c r="D40" s="45">
        <f t="shared" si="4"/>
        <v>1</v>
      </c>
      <c r="E40" s="48">
        <f t="shared" si="0"/>
        <v>2</v>
      </c>
      <c r="F40" s="36">
        <f t="shared" si="1"/>
        <v>3</v>
      </c>
      <c r="G40" s="37">
        <f t="shared" si="2"/>
        <v>4</v>
      </c>
      <c r="H40" s="37">
        <f t="shared" si="3"/>
        <v>5</v>
      </c>
    </row>
    <row r="41" spans="1:8" ht="15.75" customHeight="1" x14ac:dyDescent="0.3"/>
    <row r="42" spans="1:8" ht="15.75" customHeight="1" x14ac:dyDescent="0.3"/>
    <row r="43" spans="1:8" ht="15.75" customHeight="1" x14ac:dyDescent="0.35">
      <c r="A43" s="49"/>
      <c r="C43" s="49" t="s">
        <v>148</v>
      </c>
      <c r="D43" s="50"/>
      <c r="E43" s="10"/>
      <c r="F43" s="50"/>
      <c r="G43" s="10"/>
      <c r="H43" s="10"/>
    </row>
    <row r="44" spans="1:8" ht="15.75" customHeight="1" x14ac:dyDescent="0.3">
      <c r="C44" s="50"/>
      <c r="D44" s="50"/>
      <c r="E44" s="10"/>
      <c r="F44" s="10"/>
      <c r="G44" s="10"/>
      <c r="H44" s="10"/>
    </row>
    <row r="45" spans="1:8" ht="27" customHeight="1" x14ac:dyDescent="0.3">
      <c r="A45" s="51"/>
      <c r="C45" s="52" t="s">
        <v>149</v>
      </c>
      <c r="D45" s="53" t="s">
        <v>150</v>
      </c>
      <c r="E45" s="20"/>
      <c r="F45" s="21"/>
      <c r="G45" s="21"/>
      <c r="H45" s="20"/>
    </row>
    <row r="46" spans="1:8" ht="18.75" customHeight="1" x14ac:dyDescent="0.3">
      <c r="A46" s="51"/>
      <c r="C46" s="54" t="s">
        <v>151</v>
      </c>
      <c r="D46" s="55" t="s">
        <v>152</v>
      </c>
      <c r="E46" s="10"/>
      <c r="F46" s="21"/>
      <c r="G46" s="21"/>
      <c r="H46" s="56"/>
    </row>
    <row r="47" spans="1:8" ht="18.75" customHeight="1" x14ac:dyDescent="0.3">
      <c r="A47" s="51"/>
      <c r="C47" s="57" t="s">
        <v>153</v>
      </c>
      <c r="D47" s="55" t="s">
        <v>154</v>
      </c>
      <c r="E47" s="10"/>
      <c r="F47" s="21"/>
      <c r="G47" s="21"/>
      <c r="H47" s="56"/>
    </row>
    <row r="48" spans="1:8" ht="18.75" customHeight="1" x14ac:dyDescent="0.3">
      <c r="A48" s="51"/>
      <c r="C48" s="58" t="s">
        <v>155</v>
      </c>
      <c r="D48" s="55" t="s">
        <v>156</v>
      </c>
      <c r="E48" s="10"/>
      <c r="F48" s="10"/>
      <c r="G48" s="10"/>
      <c r="H48" s="56"/>
    </row>
    <row r="49" spans="3:5" ht="18.75" customHeight="1" x14ac:dyDescent="0.3">
      <c r="C49" s="59" t="s">
        <v>157</v>
      </c>
      <c r="D49" s="55" t="s">
        <v>158</v>
      </c>
      <c r="E49" s="10"/>
    </row>
    <row r="50" spans="3:5" ht="18.75" customHeight="1" x14ac:dyDescent="0.3">
      <c r="C50" s="60" t="s">
        <v>159</v>
      </c>
      <c r="D50" s="55" t="s">
        <v>160</v>
      </c>
      <c r="E50" s="10"/>
    </row>
    <row r="51" spans="3:5" ht="18.75" customHeight="1" x14ac:dyDescent="0.3">
      <c r="C51" s="61" t="s">
        <v>161</v>
      </c>
      <c r="D51" s="21"/>
      <c r="E51" s="62"/>
    </row>
    <row r="52" spans="3:5" ht="18.75" customHeight="1" x14ac:dyDescent="0.3">
      <c r="C52" s="63" t="s">
        <v>162</v>
      </c>
      <c r="D52" s="253" t="s">
        <v>163</v>
      </c>
      <c r="E52" s="232"/>
    </row>
    <row r="53" spans="3:5" ht="18.75" customHeight="1" x14ac:dyDescent="0.3">
      <c r="C53" s="64" t="s">
        <v>164</v>
      </c>
      <c r="D53" s="65">
        <v>1</v>
      </c>
      <c r="E53" s="54" t="s">
        <v>55</v>
      </c>
    </row>
    <row r="54" spans="3:5" ht="18.75" customHeight="1" x14ac:dyDescent="0.3">
      <c r="C54" s="64" t="s">
        <v>165</v>
      </c>
      <c r="D54" s="66">
        <v>2</v>
      </c>
      <c r="E54" s="54" t="s">
        <v>55</v>
      </c>
    </row>
    <row r="55" spans="3:5" ht="18.75" customHeight="1" x14ac:dyDescent="0.3">
      <c r="C55" s="67" t="s">
        <v>166</v>
      </c>
      <c r="D55" s="66">
        <v>3</v>
      </c>
      <c r="E55" s="54" t="s">
        <v>55</v>
      </c>
    </row>
    <row r="56" spans="3:5" ht="18.75" customHeight="1" x14ac:dyDescent="0.3">
      <c r="C56" s="64" t="s">
        <v>167</v>
      </c>
      <c r="D56" s="66">
        <v>2</v>
      </c>
      <c r="E56" s="54" t="s">
        <v>55</v>
      </c>
    </row>
    <row r="57" spans="3:5" ht="18.75" customHeight="1" x14ac:dyDescent="0.3">
      <c r="C57" s="64" t="s">
        <v>168</v>
      </c>
      <c r="D57" s="66">
        <v>4</v>
      </c>
      <c r="E57" s="54" t="s">
        <v>55</v>
      </c>
    </row>
    <row r="58" spans="3:5" ht="18.75" customHeight="1" x14ac:dyDescent="0.3">
      <c r="C58" s="67" t="s">
        <v>169</v>
      </c>
      <c r="D58" s="66">
        <v>3</v>
      </c>
      <c r="E58" s="54" t="s">
        <v>55</v>
      </c>
    </row>
    <row r="59" spans="3:5" ht="18.75" customHeight="1" x14ac:dyDescent="0.3">
      <c r="C59" s="68" t="s">
        <v>170</v>
      </c>
      <c r="D59" s="66">
        <v>4</v>
      </c>
      <c r="E59" s="57" t="s">
        <v>51</v>
      </c>
    </row>
    <row r="60" spans="3:5" ht="18.75" customHeight="1" x14ac:dyDescent="0.3">
      <c r="C60" s="68" t="s">
        <v>171</v>
      </c>
      <c r="D60" s="66">
        <v>5</v>
      </c>
      <c r="E60" s="57" t="s">
        <v>51</v>
      </c>
    </row>
    <row r="61" spans="3:5" ht="18.75" customHeight="1" x14ac:dyDescent="0.3">
      <c r="C61" s="68" t="s">
        <v>172</v>
      </c>
      <c r="D61" s="66">
        <v>6</v>
      </c>
      <c r="E61" s="57" t="s">
        <v>51</v>
      </c>
    </row>
    <row r="62" spans="3:5" ht="18.75" customHeight="1" x14ac:dyDescent="0.3">
      <c r="C62" s="68" t="s">
        <v>173</v>
      </c>
      <c r="D62" s="66">
        <v>8</v>
      </c>
      <c r="E62" s="57" t="s">
        <v>51</v>
      </c>
    </row>
    <row r="63" spans="3:5" ht="18.75" customHeight="1" x14ac:dyDescent="0.3">
      <c r="C63" s="68" t="s">
        <v>174</v>
      </c>
      <c r="D63" s="66">
        <v>6</v>
      </c>
      <c r="E63" s="57" t="s">
        <v>51</v>
      </c>
    </row>
    <row r="64" spans="3:5" ht="18.75" customHeight="1" x14ac:dyDescent="0.3">
      <c r="C64" s="68" t="s">
        <v>175</v>
      </c>
      <c r="D64" s="66">
        <v>9</v>
      </c>
      <c r="E64" s="57" t="s">
        <v>51</v>
      </c>
    </row>
    <row r="65" spans="3:5" ht="18.75" customHeight="1" x14ac:dyDescent="0.3">
      <c r="C65" s="68" t="s">
        <v>176</v>
      </c>
      <c r="D65" s="66">
        <v>4</v>
      </c>
      <c r="E65" s="57" t="s">
        <v>51</v>
      </c>
    </row>
    <row r="66" spans="3:5" ht="18.75" customHeight="1" x14ac:dyDescent="0.3">
      <c r="C66" s="68" t="s">
        <v>177</v>
      </c>
      <c r="D66" s="66">
        <v>8</v>
      </c>
      <c r="E66" s="57" t="s">
        <v>51</v>
      </c>
    </row>
    <row r="67" spans="3:5" ht="18.75" customHeight="1" x14ac:dyDescent="0.3">
      <c r="C67" s="68" t="s">
        <v>178</v>
      </c>
      <c r="D67" s="66">
        <v>5</v>
      </c>
      <c r="E67" s="57" t="s">
        <v>51</v>
      </c>
    </row>
    <row r="68" spans="3:5" ht="18.75" customHeight="1" x14ac:dyDescent="0.3">
      <c r="C68" s="69" t="s">
        <v>179</v>
      </c>
      <c r="D68" s="66">
        <v>10</v>
      </c>
      <c r="E68" s="58" t="s">
        <v>53</v>
      </c>
    </row>
    <row r="69" spans="3:5" ht="18.75" customHeight="1" x14ac:dyDescent="0.3">
      <c r="C69" s="69" t="s">
        <v>180</v>
      </c>
      <c r="D69" s="66">
        <v>12</v>
      </c>
      <c r="E69" s="58" t="s">
        <v>53</v>
      </c>
    </row>
    <row r="70" spans="3:5" ht="18.75" customHeight="1" x14ac:dyDescent="0.3">
      <c r="C70" s="69" t="s">
        <v>181</v>
      </c>
      <c r="D70" s="66">
        <v>12</v>
      </c>
      <c r="E70" s="58" t="s">
        <v>53</v>
      </c>
    </row>
    <row r="71" spans="3:5" ht="18.75" customHeight="1" x14ac:dyDescent="0.3">
      <c r="C71" s="69" t="s">
        <v>182</v>
      </c>
      <c r="D71" s="66">
        <v>10</v>
      </c>
      <c r="E71" s="58" t="s">
        <v>53</v>
      </c>
    </row>
    <row r="72" spans="3:5" ht="18.75" customHeight="1" x14ac:dyDescent="0.3">
      <c r="C72" s="70" t="s">
        <v>183</v>
      </c>
      <c r="D72" s="66">
        <v>15</v>
      </c>
      <c r="E72" s="59" t="s">
        <v>56</v>
      </c>
    </row>
    <row r="73" spans="3:5" ht="15.75" customHeight="1" x14ac:dyDescent="0.3">
      <c r="C73" s="70" t="s">
        <v>184</v>
      </c>
      <c r="D73" s="66">
        <v>16</v>
      </c>
      <c r="E73" s="59" t="s">
        <v>56</v>
      </c>
    </row>
    <row r="74" spans="3:5" ht="15.75" customHeight="1" x14ac:dyDescent="0.3">
      <c r="C74" s="70" t="s">
        <v>185</v>
      </c>
      <c r="D74" s="66">
        <v>15</v>
      </c>
      <c r="E74" s="59" t="s">
        <v>56</v>
      </c>
    </row>
    <row r="75" spans="3:5" ht="15.75" customHeight="1" x14ac:dyDescent="0.3">
      <c r="C75" s="71" t="s">
        <v>186</v>
      </c>
      <c r="D75" s="66">
        <v>20</v>
      </c>
      <c r="E75" s="60" t="s">
        <v>54</v>
      </c>
    </row>
    <row r="76" spans="3:5" ht="15.75" customHeight="1" x14ac:dyDescent="0.3">
      <c r="C76" s="71" t="s">
        <v>187</v>
      </c>
      <c r="D76" s="66">
        <v>25</v>
      </c>
      <c r="E76" s="60" t="s">
        <v>54</v>
      </c>
    </row>
    <row r="77" spans="3:5" ht="15.75" customHeight="1" x14ac:dyDescent="0.3">
      <c r="C77" s="71" t="s">
        <v>188</v>
      </c>
      <c r="D77" s="66">
        <v>20</v>
      </c>
      <c r="E77" s="60" t="s">
        <v>54</v>
      </c>
    </row>
  </sheetData>
  <mergeCells count="21">
    <mergeCell ref="A33:C35"/>
    <mergeCell ref="D33:H33"/>
    <mergeCell ref="A36:A40"/>
    <mergeCell ref="D52:E52"/>
    <mergeCell ref="K11:K12"/>
    <mergeCell ref="A23:C25"/>
    <mergeCell ref="D23:H23"/>
    <mergeCell ref="J23:L25"/>
    <mergeCell ref="A26:A30"/>
    <mergeCell ref="J26:J30"/>
    <mergeCell ref="M11:M12"/>
    <mergeCell ref="N11:N12"/>
    <mergeCell ref="M23:Q23"/>
    <mergeCell ref="A2:C2"/>
    <mergeCell ref="A10:H10"/>
    <mergeCell ref="J10:N10"/>
    <mergeCell ref="A11:A12"/>
    <mergeCell ref="B11:B12"/>
    <mergeCell ref="C11:H11"/>
    <mergeCell ref="J11:J12"/>
    <mergeCell ref="L11:L1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6"/>
  <sheetViews>
    <sheetView workbookViewId="0">
      <selection sqref="A1:D6"/>
    </sheetView>
  </sheetViews>
  <sheetFormatPr defaultColWidth="14.44140625" defaultRowHeight="15" customHeight="1" x14ac:dyDescent="0.3"/>
  <cols>
    <col min="1" max="1" width="9.109375" customWidth="1"/>
    <col min="2" max="2" width="19.77734375" customWidth="1"/>
    <col min="3" max="3" width="43" customWidth="1"/>
    <col min="4" max="4" width="58.44140625" customWidth="1"/>
    <col min="5" max="7" width="9.109375" customWidth="1"/>
    <col min="8" max="8" width="21.77734375" customWidth="1"/>
    <col min="9" max="9" width="12.77734375" customWidth="1"/>
    <col min="10" max="10" width="9.109375" customWidth="1"/>
    <col min="11" max="11" width="11.44140625" customWidth="1"/>
    <col min="12" max="12" width="17.33203125" customWidth="1"/>
    <col min="13" max="13" width="9.109375" customWidth="1"/>
    <col min="14" max="14" width="17.44140625" customWidth="1"/>
    <col min="15" max="15" width="9.44140625" customWidth="1"/>
    <col min="16" max="16" width="13.6640625" customWidth="1"/>
    <col min="17" max="17" width="16.44140625" customWidth="1"/>
    <col min="18" max="18" width="9.6640625" customWidth="1"/>
    <col min="19" max="19" width="12.109375" customWidth="1"/>
    <col min="20" max="20" width="22.6640625" customWidth="1"/>
    <col min="21" max="25" width="9.109375" customWidth="1"/>
    <col min="26" max="26" width="10.77734375" customWidth="1"/>
  </cols>
  <sheetData>
    <row r="1" spans="1:30" ht="12.75" customHeight="1" x14ac:dyDescent="0.3">
      <c r="A1" s="271" t="s">
        <v>191</v>
      </c>
      <c r="B1" s="272"/>
      <c r="C1" s="272"/>
      <c r="D1" s="260"/>
      <c r="E1" s="73"/>
      <c r="F1" s="74" t="s">
        <v>50</v>
      </c>
      <c r="G1" s="73"/>
      <c r="H1" s="73"/>
      <c r="I1" s="73"/>
      <c r="J1" s="73"/>
      <c r="K1" s="73"/>
      <c r="L1" s="73"/>
      <c r="M1" s="73"/>
      <c r="N1" s="73"/>
      <c r="O1" s="73"/>
      <c r="P1" s="73"/>
      <c r="Q1" s="73"/>
      <c r="R1" s="73"/>
      <c r="S1" s="73"/>
      <c r="T1" s="73"/>
      <c r="U1" s="73"/>
      <c r="V1" s="73"/>
      <c r="W1" s="73"/>
      <c r="X1" s="73"/>
      <c r="Y1" s="73"/>
      <c r="Z1" s="73"/>
    </row>
    <row r="2" spans="1:30" ht="15" customHeight="1" x14ac:dyDescent="0.3">
      <c r="A2" s="273"/>
      <c r="B2" s="245"/>
      <c r="C2" s="245"/>
      <c r="D2" s="274"/>
      <c r="E2" s="73"/>
      <c r="F2" s="257" t="s">
        <v>9</v>
      </c>
      <c r="G2" s="231"/>
      <c r="H2" s="231"/>
      <c r="I2" s="231"/>
      <c r="J2" s="231"/>
      <c r="K2" s="232"/>
      <c r="L2" s="258" t="s">
        <v>10</v>
      </c>
      <c r="M2" s="231"/>
      <c r="N2" s="231"/>
      <c r="O2" s="231"/>
      <c r="P2" s="231"/>
      <c r="Q2" s="231"/>
      <c r="R2" s="231"/>
      <c r="S2" s="232"/>
      <c r="T2" s="75" t="s">
        <v>11</v>
      </c>
      <c r="U2" s="75"/>
      <c r="V2" s="75"/>
      <c r="W2" s="75"/>
      <c r="X2" s="75"/>
      <c r="Y2" s="75"/>
      <c r="Z2" s="75"/>
      <c r="AA2" s="75"/>
      <c r="AB2" s="75"/>
      <c r="AC2" s="75"/>
      <c r="AD2" s="75"/>
    </row>
    <row r="3" spans="1:30" ht="15" customHeight="1" x14ac:dyDescent="0.3">
      <c r="A3" s="273"/>
      <c r="B3" s="245"/>
      <c r="C3" s="245"/>
      <c r="D3" s="274"/>
      <c r="E3" s="73"/>
      <c r="F3" s="259" t="s">
        <v>12</v>
      </c>
      <c r="G3" s="260"/>
      <c r="H3" s="254" t="s">
        <v>192</v>
      </c>
      <c r="I3" s="254" t="s">
        <v>14</v>
      </c>
      <c r="J3" s="254" t="s">
        <v>193</v>
      </c>
      <c r="K3" s="254" t="s">
        <v>194</v>
      </c>
      <c r="L3" s="255" t="s">
        <v>195</v>
      </c>
      <c r="M3" s="232"/>
      <c r="N3" s="263" t="s">
        <v>21</v>
      </c>
      <c r="O3" s="76" t="s">
        <v>196</v>
      </c>
      <c r="P3" s="77" t="s">
        <v>25</v>
      </c>
      <c r="Q3" s="77" t="s">
        <v>26</v>
      </c>
      <c r="R3" s="77" t="s">
        <v>27</v>
      </c>
      <c r="S3" s="77" t="s">
        <v>28</v>
      </c>
      <c r="T3" s="256" t="s">
        <v>31</v>
      </c>
      <c r="U3" s="231"/>
      <c r="V3" s="231"/>
      <c r="W3" s="231"/>
      <c r="X3" s="232"/>
      <c r="Y3" s="256" t="s">
        <v>32</v>
      </c>
      <c r="Z3" s="231"/>
      <c r="AA3" s="231"/>
      <c r="AB3" s="232"/>
      <c r="AC3" s="78" t="s">
        <v>33</v>
      </c>
      <c r="AD3" s="78" t="s">
        <v>34</v>
      </c>
    </row>
    <row r="4" spans="1:30" ht="12.75" customHeight="1" x14ac:dyDescent="0.3">
      <c r="A4" s="273"/>
      <c r="B4" s="245"/>
      <c r="C4" s="245"/>
      <c r="D4" s="274"/>
      <c r="E4" s="73"/>
      <c r="F4" s="261"/>
      <c r="G4" s="262"/>
      <c r="H4" s="226"/>
      <c r="I4" s="226"/>
      <c r="J4" s="226"/>
      <c r="K4" s="226"/>
      <c r="L4" s="77" t="s">
        <v>36</v>
      </c>
      <c r="M4" s="77" t="s">
        <v>37</v>
      </c>
      <c r="N4" s="226"/>
      <c r="O4" s="79"/>
      <c r="P4" s="77"/>
      <c r="Q4" s="77"/>
      <c r="R4" s="77"/>
      <c r="S4" s="77"/>
      <c r="T4" s="78" t="s">
        <v>40</v>
      </c>
      <c r="U4" s="78" t="s">
        <v>41</v>
      </c>
      <c r="V4" s="78" t="s">
        <v>42</v>
      </c>
      <c r="W4" s="78" t="s">
        <v>43</v>
      </c>
      <c r="X4" s="78" t="s">
        <v>44</v>
      </c>
      <c r="Y4" s="78" t="s">
        <v>45</v>
      </c>
      <c r="Z4" s="78" t="s">
        <v>46</v>
      </c>
      <c r="AA4" s="78" t="s">
        <v>47</v>
      </c>
      <c r="AB4" s="78" t="s">
        <v>28</v>
      </c>
      <c r="AC4" s="78"/>
      <c r="AD4" s="78"/>
    </row>
    <row r="5" spans="1:30" ht="12.75" customHeight="1" x14ac:dyDescent="0.3">
      <c r="A5" s="273"/>
      <c r="B5" s="245"/>
      <c r="C5" s="245"/>
      <c r="D5" s="274"/>
      <c r="E5" s="73"/>
      <c r="F5" s="80" t="s">
        <v>197</v>
      </c>
      <c r="G5" s="80" t="s">
        <v>197</v>
      </c>
      <c r="H5" s="80" t="s">
        <v>197</v>
      </c>
      <c r="I5" s="80" t="s">
        <v>197</v>
      </c>
      <c r="J5" s="80" t="s">
        <v>197</v>
      </c>
      <c r="K5" s="80" t="s">
        <v>197</v>
      </c>
      <c r="L5" s="80" t="s">
        <v>197</v>
      </c>
      <c r="M5" s="80" t="s">
        <v>197</v>
      </c>
      <c r="N5" s="80" t="s">
        <v>197</v>
      </c>
      <c r="O5" s="80" t="s">
        <v>197</v>
      </c>
      <c r="P5" s="80" t="s">
        <v>197</v>
      </c>
      <c r="Q5" s="80" t="s">
        <v>197</v>
      </c>
      <c r="R5" s="80" t="s">
        <v>197</v>
      </c>
      <c r="S5" s="80" t="s">
        <v>197</v>
      </c>
      <c r="T5" s="81"/>
      <c r="U5" s="81"/>
      <c r="V5" s="81"/>
      <c r="W5" s="81"/>
      <c r="X5" s="81"/>
      <c r="Y5" s="82"/>
      <c r="Z5" s="82"/>
      <c r="AA5" s="82">
        <f>Y5*Z5</f>
        <v>0</v>
      </c>
      <c r="AB5" s="83" t="s">
        <v>198</v>
      </c>
      <c r="AC5" s="81"/>
      <c r="AD5" s="81"/>
    </row>
    <row r="6" spans="1:30" ht="12.75" customHeight="1" x14ac:dyDescent="0.3">
      <c r="A6" s="261"/>
      <c r="B6" s="275"/>
      <c r="C6" s="275"/>
      <c r="D6" s="262"/>
      <c r="E6" s="73"/>
      <c r="F6" s="72" t="s">
        <v>190</v>
      </c>
    </row>
    <row r="7" spans="1:30" ht="12.75" customHeight="1" x14ac:dyDescent="0.3">
      <c r="A7" s="276" t="s">
        <v>199</v>
      </c>
      <c r="B7" s="277"/>
      <c r="C7" s="277"/>
      <c r="D7" s="223"/>
      <c r="E7" s="73"/>
      <c r="F7" s="257" t="s">
        <v>9</v>
      </c>
      <c r="G7" s="231"/>
      <c r="H7" s="231"/>
      <c r="I7" s="231"/>
      <c r="J7" s="231"/>
      <c r="K7" s="232"/>
      <c r="L7" s="258" t="s">
        <v>10</v>
      </c>
      <c r="M7" s="231"/>
      <c r="N7" s="231"/>
      <c r="O7" s="231"/>
      <c r="P7" s="231"/>
      <c r="Q7" s="231"/>
      <c r="R7" s="231"/>
      <c r="S7" s="232"/>
      <c r="T7" s="75" t="s">
        <v>11</v>
      </c>
      <c r="U7" s="75"/>
      <c r="V7" s="75"/>
      <c r="W7" s="75"/>
      <c r="X7" s="75"/>
      <c r="Y7" s="75"/>
      <c r="Z7" s="75"/>
      <c r="AA7" s="75"/>
      <c r="AB7" s="75"/>
      <c r="AC7" s="75"/>
      <c r="AD7" s="75"/>
    </row>
    <row r="8" spans="1:30" ht="26.4" x14ac:dyDescent="0.3">
      <c r="A8" s="261"/>
      <c r="B8" s="275"/>
      <c r="C8" s="275"/>
      <c r="D8" s="262"/>
      <c r="E8" s="84"/>
      <c r="F8" s="259" t="s">
        <v>12</v>
      </c>
      <c r="G8" s="260"/>
      <c r="H8" s="254" t="s">
        <v>192</v>
      </c>
      <c r="I8" s="254" t="s">
        <v>14</v>
      </c>
      <c r="J8" s="254" t="s">
        <v>193</v>
      </c>
      <c r="K8" s="254" t="s">
        <v>194</v>
      </c>
      <c r="L8" s="255" t="s">
        <v>195</v>
      </c>
      <c r="M8" s="232"/>
      <c r="N8" s="77" t="s">
        <v>21</v>
      </c>
      <c r="O8" s="76" t="s">
        <v>196</v>
      </c>
      <c r="P8" s="77" t="s">
        <v>25</v>
      </c>
      <c r="Q8" s="77" t="s">
        <v>26</v>
      </c>
      <c r="R8" s="77" t="s">
        <v>27</v>
      </c>
      <c r="S8" s="77" t="s">
        <v>28</v>
      </c>
      <c r="T8" s="256" t="s">
        <v>31</v>
      </c>
      <c r="U8" s="231"/>
      <c r="V8" s="231"/>
      <c r="W8" s="231"/>
      <c r="X8" s="232"/>
      <c r="Y8" s="256" t="s">
        <v>32</v>
      </c>
      <c r="Z8" s="231"/>
      <c r="AA8" s="231"/>
      <c r="AB8" s="232"/>
      <c r="AC8" s="78" t="s">
        <v>33</v>
      </c>
      <c r="AD8" s="78" t="s">
        <v>34</v>
      </c>
    </row>
    <row r="9" spans="1:30" ht="26.4" x14ac:dyDescent="0.3">
      <c r="A9" s="278" t="s">
        <v>200</v>
      </c>
      <c r="B9" s="232"/>
      <c r="C9" s="279">
        <v>0</v>
      </c>
      <c r="D9" s="232"/>
      <c r="E9" s="84"/>
      <c r="F9" s="261"/>
      <c r="G9" s="262"/>
      <c r="H9" s="226"/>
      <c r="I9" s="226"/>
      <c r="J9" s="226"/>
      <c r="K9" s="226"/>
      <c r="L9" s="77" t="s">
        <v>36</v>
      </c>
      <c r="M9" s="77" t="s">
        <v>37</v>
      </c>
      <c r="N9" s="77"/>
      <c r="O9" s="79"/>
      <c r="P9" s="77"/>
      <c r="Q9" s="77"/>
      <c r="R9" s="77"/>
      <c r="S9" s="77"/>
      <c r="T9" s="78" t="s">
        <v>40</v>
      </c>
      <c r="U9" s="78" t="s">
        <v>41</v>
      </c>
      <c r="V9" s="78" t="s">
        <v>42</v>
      </c>
      <c r="W9" s="78" t="s">
        <v>43</v>
      </c>
      <c r="X9" s="78" t="s">
        <v>44</v>
      </c>
      <c r="Y9" s="78" t="s">
        <v>45</v>
      </c>
      <c r="Z9" s="78" t="s">
        <v>46</v>
      </c>
      <c r="AA9" s="78" t="s">
        <v>47</v>
      </c>
      <c r="AB9" s="78" t="s">
        <v>28</v>
      </c>
      <c r="AC9" s="78"/>
      <c r="AD9" s="78"/>
    </row>
    <row r="10" spans="1:30" ht="14.4" x14ac:dyDescent="0.3">
      <c r="A10" s="278" t="s">
        <v>201</v>
      </c>
      <c r="B10" s="232"/>
      <c r="C10" s="280" t="s">
        <v>202</v>
      </c>
      <c r="D10" s="232"/>
      <c r="E10" s="84"/>
      <c r="F10" s="80" t="s">
        <v>197</v>
      </c>
      <c r="G10" s="80" t="s">
        <v>197</v>
      </c>
      <c r="H10" s="80" t="s">
        <v>197</v>
      </c>
      <c r="I10" s="85" t="s">
        <v>203</v>
      </c>
      <c r="J10" s="80" t="s">
        <v>197</v>
      </c>
      <c r="K10" s="80" t="s">
        <v>197</v>
      </c>
      <c r="L10" s="80" t="s">
        <v>197</v>
      </c>
      <c r="M10" s="80" t="s">
        <v>197</v>
      </c>
      <c r="N10" s="80" t="s">
        <v>197</v>
      </c>
      <c r="O10" s="80" t="s">
        <v>197</v>
      </c>
      <c r="P10" s="80" t="s">
        <v>197</v>
      </c>
      <c r="Q10" s="80" t="s">
        <v>197</v>
      </c>
      <c r="R10" s="80" t="s">
        <v>197</v>
      </c>
      <c r="S10" s="80" t="s">
        <v>197</v>
      </c>
      <c r="T10" s="81"/>
      <c r="U10" s="81"/>
      <c r="V10" s="81"/>
      <c r="W10" s="81"/>
      <c r="X10" s="81"/>
      <c r="Y10" s="82"/>
      <c r="Z10" s="82"/>
      <c r="AA10" s="82">
        <f>Y10*Z10</f>
        <v>0</v>
      </c>
      <c r="AB10" s="83" t="s">
        <v>198</v>
      </c>
      <c r="AC10" s="81"/>
      <c r="AD10" s="81"/>
    </row>
    <row r="11" spans="1:30" ht="14.4" x14ac:dyDescent="0.3">
      <c r="A11" s="86" t="s">
        <v>204</v>
      </c>
      <c r="B11" s="86" t="s">
        <v>205</v>
      </c>
      <c r="C11" s="87" t="s">
        <v>206</v>
      </c>
      <c r="D11" s="87" t="s">
        <v>207</v>
      </c>
      <c r="E11" s="84"/>
      <c r="F11" s="84"/>
      <c r="G11" s="84"/>
      <c r="H11" s="84"/>
      <c r="I11" s="84"/>
      <c r="J11" s="84"/>
      <c r="K11" s="84"/>
      <c r="L11" s="84"/>
      <c r="M11" s="84"/>
      <c r="N11" s="84"/>
      <c r="O11" s="84"/>
      <c r="P11" s="84"/>
      <c r="Q11" s="84"/>
      <c r="R11" s="84"/>
      <c r="S11" s="84"/>
      <c r="T11" s="84"/>
      <c r="U11" s="84"/>
      <c r="V11" s="84"/>
      <c r="W11" s="84"/>
      <c r="X11" s="84"/>
      <c r="Y11" s="84"/>
      <c r="Z11" s="84"/>
    </row>
    <row r="12" spans="1:30" ht="43.2" x14ac:dyDescent="0.3">
      <c r="A12" s="264">
        <v>1</v>
      </c>
      <c r="B12" s="270" t="s">
        <v>9</v>
      </c>
      <c r="C12" s="88" t="s">
        <v>208</v>
      </c>
      <c r="D12" s="89" t="s">
        <v>209</v>
      </c>
      <c r="E12" s="84"/>
      <c r="F12" s="84"/>
      <c r="G12" s="84"/>
      <c r="H12" s="84"/>
      <c r="I12" s="84"/>
      <c r="J12" s="84"/>
      <c r="K12" s="84"/>
      <c r="L12" s="84"/>
      <c r="M12" s="84"/>
      <c r="N12" s="84"/>
      <c r="O12" s="84"/>
      <c r="P12" s="84"/>
      <c r="Q12" s="84"/>
      <c r="R12" s="84"/>
      <c r="S12" s="84"/>
      <c r="T12" s="84"/>
      <c r="U12" s="84"/>
      <c r="V12" s="84"/>
      <c r="W12" s="84"/>
      <c r="X12" s="84"/>
      <c r="Y12" s="84"/>
      <c r="Z12" s="84"/>
    </row>
    <row r="13" spans="1:30" ht="14.4" x14ac:dyDescent="0.3">
      <c r="A13" s="265"/>
      <c r="B13" s="265"/>
      <c r="C13" s="88" t="s">
        <v>204</v>
      </c>
      <c r="D13" s="89" t="s">
        <v>210</v>
      </c>
      <c r="E13" s="84"/>
      <c r="F13" s="84"/>
      <c r="G13" s="84"/>
      <c r="H13" s="84"/>
      <c r="I13" s="84"/>
      <c r="J13" s="84"/>
      <c r="K13" s="84"/>
      <c r="L13" s="84"/>
      <c r="M13" s="84"/>
      <c r="N13" s="84"/>
      <c r="O13" s="84"/>
      <c r="P13" s="84"/>
      <c r="Q13" s="84"/>
      <c r="R13" s="84"/>
      <c r="S13" s="84"/>
      <c r="T13" s="84"/>
      <c r="U13" s="84"/>
      <c r="V13" s="84"/>
      <c r="W13" s="84"/>
      <c r="X13" s="84"/>
      <c r="Y13" s="84"/>
      <c r="Z13" s="84"/>
    </row>
    <row r="14" spans="1:30" ht="86.4" x14ac:dyDescent="0.3">
      <c r="A14" s="265"/>
      <c r="B14" s="265"/>
      <c r="C14" s="88" t="s">
        <v>192</v>
      </c>
      <c r="D14" s="89" t="s">
        <v>211</v>
      </c>
      <c r="E14" s="84"/>
      <c r="F14" s="84"/>
      <c r="G14" s="84"/>
      <c r="H14" s="84"/>
      <c r="I14" s="84"/>
      <c r="J14" s="84"/>
      <c r="K14" s="84"/>
      <c r="L14" s="84"/>
      <c r="M14" s="84"/>
      <c r="N14" s="84"/>
      <c r="O14" s="84"/>
      <c r="P14" s="84"/>
      <c r="Q14" s="84"/>
      <c r="R14" s="84"/>
      <c r="S14" s="84"/>
      <c r="T14" s="84"/>
      <c r="U14" s="84"/>
      <c r="V14" s="84"/>
      <c r="W14" s="84"/>
      <c r="X14" s="84"/>
      <c r="Y14" s="84"/>
      <c r="Z14" s="84"/>
    </row>
    <row r="15" spans="1:30" ht="158.4" x14ac:dyDescent="0.3">
      <c r="A15" s="265"/>
      <c r="B15" s="265"/>
      <c r="C15" s="88" t="s">
        <v>14</v>
      </c>
      <c r="D15" s="89" t="s">
        <v>212</v>
      </c>
      <c r="E15" s="84"/>
      <c r="F15" s="84"/>
      <c r="G15" s="84"/>
      <c r="H15" s="84"/>
      <c r="I15" s="84"/>
      <c r="J15" s="84"/>
      <c r="K15" s="84"/>
      <c r="L15" s="84"/>
      <c r="M15" s="84"/>
      <c r="N15" s="84"/>
      <c r="O15" s="84"/>
      <c r="P15" s="84"/>
      <c r="Q15" s="84"/>
      <c r="R15" s="84"/>
      <c r="S15" s="84"/>
      <c r="T15" s="84"/>
      <c r="U15" s="84"/>
      <c r="V15" s="84"/>
      <c r="W15" s="84"/>
      <c r="X15" s="84"/>
      <c r="Y15" s="84"/>
      <c r="Z15" s="84"/>
    </row>
    <row r="16" spans="1:30" ht="57.6" x14ac:dyDescent="0.3">
      <c r="A16" s="265"/>
      <c r="B16" s="265"/>
      <c r="C16" s="88" t="s">
        <v>193</v>
      </c>
      <c r="D16" s="89" t="s">
        <v>213</v>
      </c>
      <c r="E16" s="84"/>
      <c r="F16" s="84"/>
      <c r="G16" s="84"/>
      <c r="H16" s="84"/>
      <c r="I16" s="84"/>
      <c r="J16" s="84"/>
      <c r="K16" s="84"/>
      <c r="L16" s="84"/>
      <c r="M16" s="84"/>
      <c r="N16" s="84"/>
      <c r="O16" s="84"/>
      <c r="P16" s="84"/>
      <c r="Q16" s="84"/>
      <c r="R16" s="84"/>
      <c r="S16" s="84"/>
      <c r="T16" s="84"/>
      <c r="U16" s="84"/>
      <c r="V16" s="84"/>
      <c r="W16" s="84"/>
      <c r="X16" s="84"/>
      <c r="Y16" s="84"/>
      <c r="Z16" s="84"/>
    </row>
    <row r="17" spans="1:4" ht="86.4" x14ac:dyDescent="0.3">
      <c r="A17" s="266"/>
      <c r="B17" s="266"/>
      <c r="C17" s="88" t="s">
        <v>194</v>
      </c>
      <c r="D17" s="89" t="s">
        <v>214</v>
      </c>
    </row>
    <row r="18" spans="1:4" ht="28.8" x14ac:dyDescent="0.3">
      <c r="A18" s="267"/>
      <c r="B18" s="268" t="s">
        <v>215</v>
      </c>
      <c r="C18" s="90" t="s">
        <v>36</v>
      </c>
      <c r="D18" s="91" t="s">
        <v>216</v>
      </c>
    </row>
    <row r="19" spans="1:4" ht="48.75" customHeight="1" x14ac:dyDescent="0.3">
      <c r="A19" s="265"/>
      <c r="B19" s="265"/>
      <c r="C19" s="90" t="s">
        <v>37</v>
      </c>
      <c r="D19" s="91" t="s">
        <v>217</v>
      </c>
    </row>
    <row r="20" spans="1:4" ht="101.25" customHeight="1" x14ac:dyDescent="0.3">
      <c r="A20" s="265"/>
      <c r="B20" s="265"/>
      <c r="C20" s="90" t="s">
        <v>21</v>
      </c>
      <c r="D20" s="91" t="s">
        <v>218</v>
      </c>
    </row>
    <row r="21" spans="1:4" ht="73.5" customHeight="1" x14ac:dyDescent="0.3">
      <c r="A21" s="265"/>
      <c r="B21" s="265"/>
      <c r="C21" s="90" t="s">
        <v>196</v>
      </c>
      <c r="D21" s="91" t="s">
        <v>219</v>
      </c>
    </row>
    <row r="22" spans="1:4" ht="72" customHeight="1" x14ac:dyDescent="0.3">
      <c r="A22" s="265"/>
      <c r="B22" s="265"/>
      <c r="C22" s="90" t="s">
        <v>220</v>
      </c>
      <c r="D22" s="89" t="s">
        <v>221</v>
      </c>
    </row>
    <row r="23" spans="1:4" ht="63.75" customHeight="1" x14ac:dyDescent="0.3">
      <c r="A23" s="265"/>
      <c r="B23" s="265"/>
      <c r="C23" s="90" t="s">
        <v>222</v>
      </c>
      <c r="D23" s="89" t="s">
        <v>223</v>
      </c>
    </row>
    <row r="24" spans="1:4" ht="15.75" customHeight="1" x14ac:dyDescent="0.3">
      <c r="A24" s="265"/>
      <c r="B24" s="265"/>
      <c r="C24" s="90" t="s">
        <v>27</v>
      </c>
      <c r="D24" s="89" t="s">
        <v>224</v>
      </c>
    </row>
    <row r="25" spans="1:4" ht="63.75" customHeight="1" x14ac:dyDescent="0.3">
      <c r="A25" s="265"/>
      <c r="B25" s="266"/>
      <c r="C25" s="90" t="s">
        <v>28</v>
      </c>
      <c r="D25" s="89" t="s">
        <v>225</v>
      </c>
    </row>
    <row r="26" spans="1:4" ht="63.75" customHeight="1" x14ac:dyDescent="0.3">
      <c r="A26" s="264">
        <v>3</v>
      </c>
      <c r="B26" s="269" t="s">
        <v>226</v>
      </c>
      <c r="C26" s="90" t="s">
        <v>227</v>
      </c>
      <c r="D26" s="89" t="s">
        <v>228</v>
      </c>
    </row>
    <row r="27" spans="1:4" ht="63.75" customHeight="1" x14ac:dyDescent="0.3">
      <c r="A27" s="265"/>
      <c r="B27" s="265"/>
      <c r="C27" s="90" t="s">
        <v>229</v>
      </c>
      <c r="D27" s="89" t="s">
        <v>230</v>
      </c>
    </row>
    <row r="28" spans="1:4" ht="63.75" customHeight="1" x14ac:dyDescent="0.3">
      <c r="A28" s="265"/>
      <c r="B28" s="265"/>
      <c r="C28" s="90" t="s">
        <v>231</v>
      </c>
      <c r="D28" s="89" t="s">
        <v>232</v>
      </c>
    </row>
    <row r="29" spans="1:4" ht="15.75" customHeight="1" x14ac:dyDescent="0.3">
      <c r="A29" s="265"/>
      <c r="B29" s="265"/>
      <c r="C29" s="90" t="s">
        <v>233</v>
      </c>
      <c r="D29" s="89" t="s">
        <v>234</v>
      </c>
    </row>
    <row r="30" spans="1:4" ht="63.75" customHeight="1" x14ac:dyDescent="0.3">
      <c r="A30" s="265"/>
      <c r="B30" s="265"/>
      <c r="C30" s="90" t="s">
        <v>235</v>
      </c>
      <c r="D30" s="89" t="s">
        <v>236</v>
      </c>
    </row>
    <row r="31" spans="1:4" ht="63.75" customHeight="1" x14ac:dyDescent="0.3">
      <c r="A31" s="265"/>
      <c r="B31" s="265"/>
      <c r="C31" s="90" t="s">
        <v>237</v>
      </c>
      <c r="D31" s="89" t="s">
        <v>238</v>
      </c>
    </row>
    <row r="32" spans="1:4" ht="63.75" customHeight="1" x14ac:dyDescent="0.3">
      <c r="A32" s="265"/>
      <c r="B32" s="265"/>
      <c r="C32" s="90" t="s">
        <v>239</v>
      </c>
      <c r="D32" s="89" t="s">
        <v>240</v>
      </c>
    </row>
    <row r="33" spans="1:4" ht="12.75" customHeight="1" x14ac:dyDescent="0.3">
      <c r="A33" s="265"/>
      <c r="B33" s="265"/>
      <c r="C33" s="90" t="s">
        <v>241</v>
      </c>
      <c r="D33" s="89" t="s">
        <v>242</v>
      </c>
    </row>
    <row r="34" spans="1:4" ht="12.75" customHeight="1" x14ac:dyDescent="0.3">
      <c r="A34" s="265"/>
      <c r="B34" s="265"/>
      <c r="C34" s="90" t="s">
        <v>243</v>
      </c>
      <c r="D34" s="89" t="s">
        <v>244</v>
      </c>
    </row>
    <row r="35" spans="1:4" ht="12.75" customHeight="1" x14ac:dyDescent="0.3">
      <c r="A35" s="265"/>
      <c r="B35" s="265"/>
      <c r="C35" s="90" t="s">
        <v>245</v>
      </c>
      <c r="D35" s="89" t="s">
        <v>246</v>
      </c>
    </row>
    <row r="36" spans="1:4" ht="12.75" customHeight="1" x14ac:dyDescent="0.3">
      <c r="A36" s="226"/>
      <c r="B36" s="226"/>
      <c r="C36" s="90" t="s">
        <v>247</v>
      </c>
      <c r="D36" s="89" t="s">
        <v>248</v>
      </c>
    </row>
  </sheetData>
  <mergeCells count="33">
    <mergeCell ref="A1:D6"/>
    <mergeCell ref="A7:D8"/>
    <mergeCell ref="A9:B9"/>
    <mergeCell ref="C9:D9"/>
    <mergeCell ref="A10:B10"/>
    <mergeCell ref="C10:D10"/>
    <mergeCell ref="A12:A17"/>
    <mergeCell ref="A18:A25"/>
    <mergeCell ref="B18:B25"/>
    <mergeCell ref="A26:A36"/>
    <mergeCell ref="B26:B36"/>
    <mergeCell ref="B12:B17"/>
    <mergeCell ref="L8:M8"/>
    <mergeCell ref="T8:X8"/>
    <mergeCell ref="Y8:AB8"/>
    <mergeCell ref="F7:K7"/>
    <mergeCell ref="L7:S7"/>
    <mergeCell ref="F8:G9"/>
    <mergeCell ref="H8:H9"/>
    <mergeCell ref="I8:I9"/>
    <mergeCell ref="J8:J9"/>
    <mergeCell ref="K8:K9"/>
    <mergeCell ref="K3:K4"/>
    <mergeCell ref="L3:M3"/>
    <mergeCell ref="T3:X3"/>
    <mergeCell ref="Y3:AB3"/>
    <mergeCell ref="F2:K2"/>
    <mergeCell ref="L2:S2"/>
    <mergeCell ref="F3:G4"/>
    <mergeCell ref="H3:H4"/>
    <mergeCell ref="I3:I4"/>
    <mergeCell ref="J3:J4"/>
    <mergeCell ref="N3:N4"/>
  </mergeCells>
  <conditionalFormatting sqref="AB5">
    <cfRule type="containsText" dxfId="9" priority="1" stopIfTrue="1" operator="containsText" text="SEDANG-RENDAH">
      <formula>NOT(ISERROR(SEARCH(("SEDANG-RENDAH"),(AB5))))</formula>
    </cfRule>
    <cfRule type="containsText" dxfId="8" priority="2" stopIfTrue="1" operator="containsText" text="SEDANG-TINGGI">
      <formula>NOT(ISERROR(SEARCH(("SEDANG-TINGGI"),(AB5))))</formula>
    </cfRule>
    <cfRule type="containsText" dxfId="7" priority="3" stopIfTrue="1" operator="containsText" text="SEDANG">
      <formula>NOT(ISERROR(SEARCH(("SEDANG"),(AB5))))</formula>
    </cfRule>
    <cfRule type="containsText" dxfId="6" priority="4" stopIfTrue="1" operator="containsText" text="TINGGI">
      <formula>NOT(ISERROR(SEARCH(("TINGGI"),(AB5))))</formula>
    </cfRule>
    <cfRule type="containsText" dxfId="5" priority="5" stopIfTrue="1" operator="containsText" text="RENDAH">
      <formula>NOT(ISERROR(SEARCH(("RENDAH"),(AB5))))</formula>
    </cfRule>
  </conditionalFormatting>
  <conditionalFormatting sqref="AB10">
    <cfRule type="containsText" dxfId="4" priority="6" stopIfTrue="1" operator="containsText" text="SEDANG-RENDAH">
      <formula>NOT(ISERROR(SEARCH(("SEDANG-RENDAH"),(AB10))))</formula>
    </cfRule>
    <cfRule type="containsText" dxfId="3" priority="7" stopIfTrue="1" operator="containsText" text="SEDANG-TINGGI">
      <formula>NOT(ISERROR(SEARCH(("SEDANG-TINGGI"),(AB10))))</formula>
    </cfRule>
    <cfRule type="containsText" dxfId="2" priority="8" stopIfTrue="1" operator="containsText" text="SEDANG">
      <formula>NOT(ISERROR(SEARCH(("SEDANG"),(AB10))))</formula>
    </cfRule>
    <cfRule type="containsText" dxfId="1" priority="9" stopIfTrue="1" operator="containsText" text="TINGGI">
      <formula>NOT(ISERROR(SEARCH(("TINGGI"),(AB10))))</formula>
    </cfRule>
    <cfRule type="containsText" dxfId="0" priority="10" stopIfTrue="1" operator="containsText" text="RENDAH">
      <formula>NOT(ISERROR(SEARCH(("RENDAH"),(AB10))))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vt:lpstr>
      <vt:lpstr>REF</vt:lpstr>
      <vt:lpstr>Asset Owner</vt:lpstr>
      <vt:lpstr>Parameter</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Endiaz Ludia Arsanto</cp:lastModifiedBy>
  <dcterms:modified xsi:type="dcterms:W3CDTF">2026-04-21T06:50:39Z</dcterms:modified>
</cp:coreProperties>
</file>