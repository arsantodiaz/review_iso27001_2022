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ELI_InformationTechnology_/📕 REG_ISO.27001/50.🔐 ISO27001_Audit_2026/04. ISO27001_Audit_2026 -✅- ProjectPlan/"/>
    </mc:Choice>
  </mc:AlternateContent>
  <xr:revisionPtr revIDLastSave="386" documentId="13_ncr:1_{E4138649-6597-0148-BD96-2E9CE1B6CFE8}" xr6:coauthVersionLast="47" xr6:coauthVersionMax="47" xr10:uidLastSave="{5C525326-DCF1-4EA6-A33A-5577A49380E8}"/>
  <bookViews>
    <workbookView xWindow="-108" yWindow="-108" windowWidth="23256" windowHeight="12456" xr2:uid="{9FB0326A-AEE1-EF41-A27E-A9D5545602AB}"/>
  </bookViews>
  <sheets>
    <sheet name="ISO 27001_2022" sheetId="5" r:id="rId1"/>
    <sheet name="Progress Data Aw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6" l="1"/>
  <c r="N15" i="6"/>
  <c r="M15" i="6"/>
  <c r="L15" i="6"/>
  <c r="K15" i="6"/>
  <c r="J15" i="6"/>
  <c r="I15" i="6"/>
  <c r="H15" i="6"/>
  <c r="G15" i="6"/>
  <c r="F15" i="6"/>
  <c r="E15" i="6"/>
  <c r="D15" i="6"/>
  <c r="C15" i="6"/>
  <c r="B20" i="5" l="1"/>
  <c r="B6" i="5"/>
  <c r="B14" i="5"/>
  <c r="B16" i="5"/>
  <c r="B15" i="5"/>
  <c r="B17" i="5"/>
  <c r="B13" i="5"/>
  <c r="B24" i="5"/>
  <c r="B25" i="5"/>
  <c r="B26" i="5"/>
  <c r="B27" i="5"/>
  <c r="B28" i="5"/>
  <c r="B23" i="5"/>
  <c r="B21" i="5"/>
  <c r="B19" i="5"/>
  <c r="B5" i="5"/>
  <c r="B11" i="5"/>
  <c r="B10" i="5"/>
  <c r="B9" i="5"/>
  <c r="B8" i="5"/>
  <c r="B7" i="5"/>
</calcChain>
</file>

<file path=xl/sharedStrings.xml><?xml version="1.0" encoding="utf-8"?>
<sst xmlns="http://schemas.openxmlformats.org/spreadsheetml/2006/main" count="116" uniqueCount="68">
  <si>
    <t>No</t>
  </si>
  <si>
    <t>Main Activities</t>
  </si>
  <si>
    <t>W1</t>
  </si>
  <si>
    <t>W2</t>
  </si>
  <si>
    <t>W3</t>
  </si>
  <si>
    <t>W4</t>
  </si>
  <si>
    <t>Sudah Selesai</t>
  </si>
  <si>
    <t>Sedang Berjalan</t>
  </si>
  <si>
    <t>Belum Berjalan</t>
  </si>
  <si>
    <t xml:space="preserve">Penambahan </t>
  </si>
  <si>
    <t>Maret</t>
  </si>
  <si>
    <t>April</t>
  </si>
  <si>
    <t>Mei</t>
  </si>
  <si>
    <t>Juni</t>
  </si>
  <si>
    <t>Internal Audit</t>
  </si>
  <si>
    <t>Tinjauan Management</t>
  </si>
  <si>
    <t>Preparation</t>
  </si>
  <si>
    <t>DR Application Preparation</t>
  </si>
  <si>
    <t>Minor Testing</t>
  </si>
  <si>
    <r>
      <t xml:space="preserve">RTM - Persiapan ISO
</t>
    </r>
    <r>
      <rPr>
        <i/>
        <sz val="10"/>
        <color theme="1"/>
        <rFont val="Montserrat Regular"/>
      </rPr>
      <t>Presentasi pada BOM dan Penentuan Ruang Lingkup</t>
    </r>
  </si>
  <si>
    <t>Juli</t>
  </si>
  <si>
    <r>
      <t xml:space="preserve">Pengajuan &amp; Approval Budget
</t>
    </r>
    <r>
      <rPr>
        <i/>
        <sz val="10"/>
        <color theme="1"/>
        <rFont val="Montserrat Regular"/>
      </rPr>
      <t>Penentuan Badan Sertifikasi &amp; Approval Budget</t>
    </r>
  </si>
  <si>
    <t>Kick Off Tim SMKI Internal</t>
  </si>
  <si>
    <t>Awareness Training Karyawan ELI</t>
  </si>
  <si>
    <t>Request For Audit</t>
  </si>
  <si>
    <t>Mengirimkan Dokumen Awal ke Badan Sertifikasi</t>
  </si>
  <si>
    <t>Audit Notification dari Badan Sertifikasi</t>
  </si>
  <si>
    <t>Persiapan Dokumen Awal</t>
  </si>
  <si>
    <t>Penentuan Aset Per Departemen Terkait</t>
  </si>
  <si>
    <t>Penentuan Risiko Per Departemen Terkait</t>
  </si>
  <si>
    <t>Review Sasaran Keamanan Informasi Per Dept</t>
  </si>
  <si>
    <t>Review ROPA &amp; DPIA Per Dept</t>
  </si>
  <si>
    <t>Review Dokumen Per Dept</t>
  </si>
  <si>
    <t>Persiapan Dokumen &amp; Teknis</t>
  </si>
  <si>
    <t>Revisi Dokumen Per Departemen</t>
  </si>
  <si>
    <t>Audit &amp; Sertifikasi</t>
  </si>
  <si>
    <t>External Audit</t>
  </si>
  <si>
    <t>External Audit (Remediation)</t>
  </si>
  <si>
    <t>External Audit (Final)</t>
  </si>
  <si>
    <t>Presentasi Final Report Pada Management</t>
  </si>
  <si>
    <t>MR &amp; DC</t>
  </si>
  <si>
    <t>CeXs</t>
  </si>
  <si>
    <t>General Affair</t>
  </si>
  <si>
    <t>Sasaran Keamanan Informasi</t>
  </si>
  <si>
    <t>Klasifikasi Aset + Owner</t>
  </si>
  <si>
    <t>Risk Register</t>
  </si>
  <si>
    <t>Document Review</t>
  </si>
  <si>
    <t>Business Impact Analysis</t>
  </si>
  <si>
    <t>ROPA</t>
  </si>
  <si>
    <t>DPIA</t>
  </si>
  <si>
    <t>Hak Akses</t>
  </si>
  <si>
    <t>Kebijakan</t>
  </si>
  <si>
    <t>SOP</t>
  </si>
  <si>
    <t>Instruksi Kerja</t>
  </si>
  <si>
    <t>Forms</t>
  </si>
  <si>
    <t>Bukti Implementasi</t>
  </si>
  <si>
    <t>Human Capital</t>
  </si>
  <si>
    <t>Legal&amp;Compliance</t>
  </si>
  <si>
    <t>Claim</t>
  </si>
  <si>
    <t>NBUW Institutional</t>
  </si>
  <si>
    <t>Risk Management</t>
  </si>
  <si>
    <t>SBU Retail</t>
  </si>
  <si>
    <t>✅</t>
  </si>
  <si>
    <t>N/A</t>
  </si>
  <si>
    <t>Catatan</t>
  </si>
  <si>
    <t>Tracking Penyelesaian Dokumen Awal Keperluan ISO 27001:2022</t>
  </si>
  <si>
    <t>Information Technology</t>
  </si>
  <si>
    <t>On going persiapan perubahan SOP dan penyiapan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</si>
</sst>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Montserrat Regular"/>
    </font>
    <font>
      <b/>
      <sz val="12"/>
      <color theme="1"/>
      <name val="Montserrat Regular"/>
    </font>
    <font>
      <b/>
      <sz val="12"/>
      <color rgb="FF000000"/>
      <name val="Montserrat Regular"/>
    </font>
    <font>
      <i/>
      <sz val="10"/>
      <color theme="1"/>
      <name val="Montserrat Regular"/>
    </font>
    <font>
      <sz val="12"/>
      <color theme="1"/>
      <name val="Poppins"/>
    </font>
    <font>
      <sz val="10"/>
      <color theme="1"/>
      <name val="Poppins"/>
    </font>
    <font>
      <b/>
      <sz val="16"/>
      <color theme="1"/>
      <name val="Poppins"/>
    </font>
    <font>
      <sz val="22"/>
      <color theme="1"/>
      <name val="Poppins"/>
    </font>
    <font>
      <b/>
      <sz val="12"/>
      <color theme="1"/>
      <name val="Poppins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vertical="top"/>
    </xf>
    <xf numFmtId="0" fontId="3" fillId="5" borderId="1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textRotation="45" wrapText="1"/>
    </xf>
    <xf numFmtId="0" fontId="6" fillId="2" borderId="15" xfId="0" applyFont="1" applyFill="1" applyBorder="1" applyAlignment="1">
      <alignment textRotation="45" wrapText="1"/>
    </xf>
    <xf numFmtId="0" fontId="6" fillId="2" borderId="16" xfId="0" applyFont="1" applyFill="1" applyBorder="1" applyAlignment="1">
      <alignment textRotation="45" wrapText="1"/>
    </xf>
    <xf numFmtId="0" fontId="5" fillId="0" borderId="0" xfId="0" applyFont="1" applyAlignment="1">
      <alignment vertical="top"/>
    </xf>
    <xf numFmtId="0" fontId="8" fillId="3" borderId="37" xfId="0" applyFont="1" applyFill="1" applyBorder="1" applyAlignment="1">
      <alignment horizontal="center" vertical="top"/>
    </xf>
    <xf numFmtId="0" fontId="8" fillId="3" borderId="38" xfId="0" applyFont="1" applyFill="1" applyBorder="1" applyAlignment="1">
      <alignment horizontal="center" vertical="top"/>
    </xf>
    <xf numFmtId="0" fontId="8" fillId="3" borderId="36" xfId="0" applyFont="1" applyFill="1" applyBorder="1" applyAlignment="1">
      <alignment horizontal="center" vertical="top"/>
    </xf>
    <xf numFmtId="0" fontId="5" fillId="6" borderId="30" xfId="0" applyFont="1" applyFill="1" applyBorder="1" applyAlignment="1">
      <alignment vertical="top"/>
    </xf>
    <xf numFmtId="0" fontId="5" fillId="6" borderId="33" xfId="0" applyFont="1" applyFill="1" applyBorder="1" applyAlignment="1">
      <alignment vertical="top"/>
    </xf>
    <xf numFmtId="0" fontId="5" fillId="6" borderId="34" xfId="0" applyFont="1" applyFill="1" applyBorder="1" applyAlignment="1">
      <alignment horizontal="centerContinuous" vertical="top"/>
    </xf>
    <xf numFmtId="0" fontId="5" fillId="6" borderId="35" xfId="0" applyFont="1" applyFill="1" applyBorder="1" applyAlignment="1">
      <alignment horizontal="centerContinuous" vertical="top"/>
    </xf>
    <xf numFmtId="0" fontId="5" fillId="4" borderId="8" xfId="0" applyFont="1" applyFill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0" fontId="7" fillId="0" borderId="31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5" fillId="4" borderId="9" xfId="0" applyFont="1" applyFill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5" fillId="4" borderId="10" xfId="0" applyFont="1" applyFill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0" fontId="7" fillId="0" borderId="39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5" fillId="7" borderId="26" xfId="0" applyFont="1" applyFill="1" applyBorder="1" applyAlignment="1">
      <alignment vertical="top"/>
    </xf>
    <xf numFmtId="9" fontId="9" fillId="0" borderId="14" xfId="0" applyNumberFormat="1" applyFont="1" applyBorder="1" applyAlignment="1">
      <alignment horizontal="center" vertical="top"/>
    </xf>
    <xf numFmtId="9" fontId="9" fillId="0" borderId="15" xfId="0" applyNumberFormat="1" applyFont="1" applyBorder="1" applyAlignment="1">
      <alignment horizontal="center" vertical="top"/>
    </xf>
    <xf numFmtId="9" fontId="9" fillId="0" borderId="16" xfId="0" applyNumberFormat="1" applyFont="1" applyBorder="1" applyAlignment="1">
      <alignment horizontal="center" vertical="top"/>
    </xf>
    <xf numFmtId="0" fontId="5" fillId="7" borderId="37" xfId="0" applyFont="1" applyFill="1" applyBorder="1" applyAlignment="1">
      <alignment vertical="top"/>
    </xf>
    <xf numFmtId="0" fontId="5" fillId="7" borderId="38" xfId="0" applyFont="1" applyFill="1" applyBorder="1" applyAlignment="1">
      <alignment vertical="top"/>
    </xf>
    <xf numFmtId="0" fontId="5" fillId="7" borderId="36" xfId="0" applyFont="1" applyFill="1" applyBorder="1" applyAlignment="1">
      <alignment vertical="top"/>
    </xf>
    <xf numFmtId="0" fontId="5" fillId="6" borderId="27" xfId="0" applyFont="1" applyFill="1" applyBorder="1" applyAlignment="1">
      <alignment horizontal="left" vertical="top"/>
    </xf>
    <xf numFmtId="0" fontId="5" fillId="6" borderId="28" xfId="0" applyFont="1" applyFill="1" applyBorder="1" applyAlignment="1">
      <alignment horizontal="left" vertical="top"/>
    </xf>
    <xf numFmtId="0" fontId="5" fillId="6" borderId="29" xfId="0" applyFont="1" applyFill="1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5" fillId="6" borderId="4" xfId="0" applyFont="1" applyFill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/>
    </xf>
    <xf numFmtId="0" fontId="5" fillId="6" borderId="6" xfId="0" applyFont="1" applyFill="1" applyBorder="1" applyAlignment="1">
      <alignment horizontal="left" vertical="top"/>
    </xf>
    <xf numFmtId="0" fontId="5" fillId="6" borderId="7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30</xdr:row>
      <xdr:rowOff>61422</xdr:rowOff>
    </xdr:from>
    <xdr:to>
      <xdr:col>7</xdr:col>
      <xdr:colOff>777240</xdr:colOff>
      <xdr:row>30</xdr:row>
      <xdr:rowOff>286048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CD47F86-F885-B940-AB33-5E7741BDDFFA}"/>
            </a:ext>
          </a:extLst>
        </xdr:cNvPr>
        <xdr:cNvSpPr/>
      </xdr:nvSpPr>
      <xdr:spPr>
        <a:xfrm>
          <a:off x="8554720" y="12609022"/>
          <a:ext cx="731520" cy="224626"/>
        </a:xfrm>
        <a:prstGeom prst="roundRect">
          <a:avLst/>
        </a:prstGeom>
        <a:solidFill>
          <a:srgbClr val="00B050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kern="1200"/>
        </a:p>
      </xdr:txBody>
    </xdr:sp>
    <xdr:clientData/>
  </xdr:twoCellAnchor>
  <xdr:twoCellAnchor>
    <xdr:from>
      <xdr:col>3</xdr:col>
      <xdr:colOff>40640</xdr:colOff>
      <xdr:row>32</xdr:row>
      <xdr:rowOff>71582</xdr:rowOff>
    </xdr:from>
    <xdr:to>
      <xdr:col>3</xdr:col>
      <xdr:colOff>772160</xdr:colOff>
      <xdr:row>32</xdr:row>
      <xdr:rowOff>296208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A3D52C8-0FB7-3F47-BB92-30E947711470}"/>
            </a:ext>
          </a:extLst>
        </xdr:cNvPr>
        <xdr:cNvSpPr/>
      </xdr:nvSpPr>
      <xdr:spPr>
        <a:xfrm>
          <a:off x="5298440" y="13127182"/>
          <a:ext cx="731520" cy="224626"/>
        </a:xfrm>
        <a:prstGeom prst="roundRect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kern="1200"/>
        </a:p>
      </xdr:txBody>
    </xdr:sp>
    <xdr:clientData/>
  </xdr:twoCellAnchor>
  <xdr:twoCellAnchor>
    <xdr:from>
      <xdr:col>3</xdr:col>
      <xdr:colOff>50800</xdr:colOff>
      <xdr:row>30</xdr:row>
      <xdr:rowOff>74122</xdr:rowOff>
    </xdr:from>
    <xdr:to>
      <xdr:col>3</xdr:col>
      <xdr:colOff>782320</xdr:colOff>
      <xdr:row>30</xdr:row>
      <xdr:rowOff>295495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E622DDF-E79A-814A-A5DB-4DE94D9FFF21}"/>
            </a:ext>
          </a:extLst>
        </xdr:cNvPr>
        <xdr:cNvSpPr/>
      </xdr:nvSpPr>
      <xdr:spPr>
        <a:xfrm>
          <a:off x="5308600" y="12621722"/>
          <a:ext cx="731520" cy="221373"/>
        </a:xfrm>
        <a:prstGeom prst="roundRect">
          <a:avLst/>
        </a:prstGeom>
        <a:solidFill>
          <a:srgbClr val="00B0F0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kern="1200"/>
        </a:p>
      </xdr:txBody>
    </xdr:sp>
    <xdr:clientData/>
  </xdr:twoCellAnchor>
  <xdr:twoCellAnchor>
    <xdr:from>
      <xdr:col>7</xdr:col>
      <xdr:colOff>35560</xdr:colOff>
      <xdr:row>32</xdr:row>
      <xdr:rowOff>71582</xdr:rowOff>
    </xdr:from>
    <xdr:to>
      <xdr:col>7</xdr:col>
      <xdr:colOff>767080</xdr:colOff>
      <xdr:row>32</xdr:row>
      <xdr:rowOff>291128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812DB07-CC97-384C-8D37-1FAD754D96E8}"/>
            </a:ext>
          </a:extLst>
        </xdr:cNvPr>
        <xdr:cNvSpPr/>
      </xdr:nvSpPr>
      <xdr:spPr>
        <a:xfrm>
          <a:off x="8544560" y="13127182"/>
          <a:ext cx="731520" cy="21954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kern="1200"/>
        </a:p>
      </xdr:txBody>
    </xdr:sp>
    <xdr:clientData/>
  </xdr:twoCellAnchor>
  <xdr:twoCellAnchor>
    <xdr:from>
      <xdr:col>3</xdr:col>
      <xdr:colOff>45720</xdr:colOff>
      <xdr:row>4</xdr:row>
      <xdr:rowOff>152400</xdr:rowOff>
    </xdr:from>
    <xdr:to>
      <xdr:col>3</xdr:col>
      <xdr:colOff>766016</xdr:colOff>
      <xdr:row>4</xdr:row>
      <xdr:rowOff>296400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A8176C04-AA58-A343-B457-A29DD77136D3}"/>
            </a:ext>
          </a:extLst>
        </xdr:cNvPr>
        <xdr:cNvSpPr/>
      </xdr:nvSpPr>
      <xdr:spPr>
        <a:xfrm>
          <a:off x="5300207" y="1451113"/>
          <a:ext cx="720296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4</xdr:col>
      <xdr:colOff>16580</xdr:colOff>
      <xdr:row>4</xdr:row>
      <xdr:rowOff>140916</xdr:rowOff>
    </xdr:from>
    <xdr:to>
      <xdr:col>5</xdr:col>
      <xdr:colOff>704744</xdr:colOff>
      <xdr:row>4</xdr:row>
      <xdr:rowOff>326305</xdr:rowOff>
    </xdr:to>
    <xdr:sp macro="" textlink="">
      <xdr:nvSpPr>
        <xdr:cNvPr id="47" name="Rounded Rectangle 46">
          <a:extLst>
            <a:ext uri="{FF2B5EF4-FFF2-40B4-BE49-F238E27FC236}">
              <a16:creationId xmlns:a16="http://schemas.microsoft.com/office/drawing/2014/main" id="{299DADA6-7341-5748-9C7E-2935C89A8E0E}"/>
            </a:ext>
          </a:extLst>
        </xdr:cNvPr>
        <xdr:cNvSpPr/>
      </xdr:nvSpPr>
      <xdr:spPr>
        <a:xfrm>
          <a:off x="6089720" y="1451556"/>
          <a:ext cx="1503504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MR &amp; DC</a:t>
          </a:r>
        </a:p>
      </xdr:txBody>
    </xdr:sp>
    <xdr:clientData/>
  </xdr:twoCellAnchor>
  <xdr:twoCellAnchor>
    <xdr:from>
      <xdr:col>4</xdr:col>
      <xdr:colOff>45720</xdr:colOff>
      <xdr:row>5</xdr:row>
      <xdr:rowOff>119280</xdr:rowOff>
    </xdr:from>
    <xdr:to>
      <xdr:col>4</xdr:col>
      <xdr:colOff>775252</xdr:colOff>
      <xdr:row>5</xdr:row>
      <xdr:rowOff>263280</xdr:rowOff>
    </xdr:to>
    <xdr:sp macro="" textlink="">
      <xdr:nvSpPr>
        <xdr:cNvPr id="8" name="Rounded Rectangle 19">
          <a:extLst>
            <a:ext uri="{FF2B5EF4-FFF2-40B4-BE49-F238E27FC236}">
              <a16:creationId xmlns:a16="http://schemas.microsoft.com/office/drawing/2014/main" id="{A855C473-A5D8-4E07-935F-58B7801B281B}"/>
            </a:ext>
          </a:extLst>
        </xdr:cNvPr>
        <xdr:cNvSpPr/>
      </xdr:nvSpPr>
      <xdr:spPr>
        <a:xfrm>
          <a:off x="6115216" y="1908323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4</xdr:col>
      <xdr:colOff>805085</xdr:colOff>
      <xdr:row>5</xdr:row>
      <xdr:rowOff>140916</xdr:rowOff>
    </xdr:from>
    <xdr:to>
      <xdr:col>6</xdr:col>
      <xdr:colOff>677909</xdr:colOff>
      <xdr:row>5</xdr:row>
      <xdr:rowOff>326305</xdr:rowOff>
    </xdr:to>
    <xdr:sp macro="" textlink="">
      <xdr:nvSpPr>
        <xdr:cNvPr id="9" name="Rounded Rectangle 46">
          <a:extLst>
            <a:ext uri="{FF2B5EF4-FFF2-40B4-BE49-F238E27FC236}">
              <a16:creationId xmlns:a16="http://schemas.microsoft.com/office/drawing/2014/main" id="{C73F053D-5EB4-4065-A042-FE299BE22378}"/>
            </a:ext>
          </a:extLst>
        </xdr:cNvPr>
        <xdr:cNvSpPr/>
      </xdr:nvSpPr>
      <xdr:spPr>
        <a:xfrm>
          <a:off x="6874581" y="1929959"/>
          <a:ext cx="1502841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Endiaz L.A</a:t>
          </a:r>
        </a:p>
      </xdr:txBody>
    </xdr:sp>
    <xdr:clientData/>
  </xdr:twoCellAnchor>
  <xdr:twoCellAnchor>
    <xdr:from>
      <xdr:col>6</xdr:col>
      <xdr:colOff>39094</xdr:colOff>
      <xdr:row>6</xdr:row>
      <xdr:rowOff>66270</xdr:rowOff>
    </xdr:from>
    <xdr:to>
      <xdr:col>6</xdr:col>
      <xdr:colOff>768626</xdr:colOff>
      <xdr:row>6</xdr:row>
      <xdr:rowOff>210270</xdr:rowOff>
    </xdr:to>
    <xdr:sp macro="" textlink="">
      <xdr:nvSpPr>
        <xdr:cNvPr id="10" name="Rounded Rectangle 19">
          <a:extLst>
            <a:ext uri="{FF2B5EF4-FFF2-40B4-BE49-F238E27FC236}">
              <a16:creationId xmlns:a16="http://schemas.microsoft.com/office/drawing/2014/main" id="{85897125-CF8E-4D9B-BA0D-CB735E0C2AD3}"/>
            </a:ext>
          </a:extLst>
        </xdr:cNvPr>
        <xdr:cNvSpPr/>
      </xdr:nvSpPr>
      <xdr:spPr>
        <a:xfrm>
          <a:off x="7738607" y="2345644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6</xdr:col>
      <xdr:colOff>791833</xdr:colOff>
      <xdr:row>6</xdr:row>
      <xdr:rowOff>41524</xdr:rowOff>
    </xdr:from>
    <xdr:to>
      <xdr:col>8</xdr:col>
      <xdr:colOff>664657</xdr:colOff>
      <xdr:row>6</xdr:row>
      <xdr:rowOff>226913</xdr:rowOff>
    </xdr:to>
    <xdr:sp macro="" textlink="">
      <xdr:nvSpPr>
        <xdr:cNvPr id="11" name="Rounded Rectangle 46">
          <a:extLst>
            <a:ext uri="{FF2B5EF4-FFF2-40B4-BE49-F238E27FC236}">
              <a16:creationId xmlns:a16="http://schemas.microsoft.com/office/drawing/2014/main" id="{6DC394C9-7D77-4657-93E7-F2F900C89BBF}"/>
            </a:ext>
          </a:extLst>
        </xdr:cNvPr>
        <xdr:cNvSpPr/>
      </xdr:nvSpPr>
      <xdr:spPr>
        <a:xfrm>
          <a:off x="8491346" y="2320898"/>
          <a:ext cx="1502841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7</xdr:col>
      <xdr:colOff>45720</xdr:colOff>
      <xdr:row>7</xdr:row>
      <xdr:rowOff>59644</xdr:rowOff>
    </xdr:from>
    <xdr:to>
      <xdr:col>7</xdr:col>
      <xdr:colOff>775252</xdr:colOff>
      <xdr:row>7</xdr:row>
      <xdr:rowOff>203644</xdr:rowOff>
    </xdr:to>
    <xdr:sp macro="" textlink="">
      <xdr:nvSpPr>
        <xdr:cNvPr id="12" name="Rounded Rectangle 19">
          <a:extLst>
            <a:ext uri="{FF2B5EF4-FFF2-40B4-BE49-F238E27FC236}">
              <a16:creationId xmlns:a16="http://schemas.microsoft.com/office/drawing/2014/main" id="{DD96EC2F-5B0C-4060-AD97-133E7F14C685}"/>
            </a:ext>
          </a:extLst>
        </xdr:cNvPr>
        <xdr:cNvSpPr/>
      </xdr:nvSpPr>
      <xdr:spPr>
        <a:xfrm>
          <a:off x="8560242" y="2597435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7</xdr:col>
      <xdr:colOff>778581</xdr:colOff>
      <xdr:row>7</xdr:row>
      <xdr:rowOff>34898</xdr:rowOff>
    </xdr:from>
    <xdr:to>
      <xdr:col>9</xdr:col>
      <xdr:colOff>651405</xdr:colOff>
      <xdr:row>7</xdr:row>
      <xdr:rowOff>220287</xdr:rowOff>
    </xdr:to>
    <xdr:sp macro="" textlink="">
      <xdr:nvSpPr>
        <xdr:cNvPr id="13" name="Rounded Rectangle 46">
          <a:extLst>
            <a:ext uri="{FF2B5EF4-FFF2-40B4-BE49-F238E27FC236}">
              <a16:creationId xmlns:a16="http://schemas.microsoft.com/office/drawing/2014/main" id="{5872BD92-97CE-405F-A041-5BC329141731}"/>
            </a:ext>
          </a:extLst>
        </xdr:cNvPr>
        <xdr:cNvSpPr/>
      </xdr:nvSpPr>
      <xdr:spPr>
        <a:xfrm>
          <a:off x="9293103" y="2572689"/>
          <a:ext cx="1502841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MR &amp; DC</a:t>
          </a:r>
        </a:p>
      </xdr:txBody>
    </xdr:sp>
    <xdr:clientData/>
  </xdr:twoCellAnchor>
  <xdr:twoCellAnchor>
    <xdr:from>
      <xdr:col>6</xdr:col>
      <xdr:colOff>32468</xdr:colOff>
      <xdr:row>8</xdr:row>
      <xdr:rowOff>53017</xdr:rowOff>
    </xdr:from>
    <xdr:to>
      <xdr:col>6</xdr:col>
      <xdr:colOff>762000</xdr:colOff>
      <xdr:row>8</xdr:row>
      <xdr:rowOff>197017</xdr:rowOff>
    </xdr:to>
    <xdr:sp macro="" textlink="">
      <xdr:nvSpPr>
        <xdr:cNvPr id="15" name="Rounded Rectangle 19">
          <a:extLst>
            <a:ext uri="{FF2B5EF4-FFF2-40B4-BE49-F238E27FC236}">
              <a16:creationId xmlns:a16="http://schemas.microsoft.com/office/drawing/2014/main" id="{EC300375-4D8D-489C-8706-5C5F313E8159}"/>
            </a:ext>
          </a:extLst>
        </xdr:cNvPr>
        <xdr:cNvSpPr/>
      </xdr:nvSpPr>
      <xdr:spPr>
        <a:xfrm>
          <a:off x="7731981" y="2849226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6</xdr:col>
      <xdr:colOff>785207</xdr:colOff>
      <xdr:row>8</xdr:row>
      <xdr:rowOff>34898</xdr:rowOff>
    </xdr:from>
    <xdr:to>
      <xdr:col>8</xdr:col>
      <xdr:colOff>658031</xdr:colOff>
      <xdr:row>8</xdr:row>
      <xdr:rowOff>220287</xdr:rowOff>
    </xdr:to>
    <xdr:sp macro="" textlink="">
      <xdr:nvSpPr>
        <xdr:cNvPr id="16" name="Rounded Rectangle 46">
          <a:extLst>
            <a:ext uri="{FF2B5EF4-FFF2-40B4-BE49-F238E27FC236}">
              <a16:creationId xmlns:a16="http://schemas.microsoft.com/office/drawing/2014/main" id="{3807CF5B-0B80-48AF-9D5E-7E5CE452C62B}"/>
            </a:ext>
          </a:extLst>
        </xdr:cNvPr>
        <xdr:cNvSpPr/>
      </xdr:nvSpPr>
      <xdr:spPr>
        <a:xfrm>
          <a:off x="8484720" y="2831107"/>
          <a:ext cx="1502841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MR &amp; DC</a:t>
          </a:r>
        </a:p>
      </xdr:txBody>
    </xdr:sp>
    <xdr:clientData/>
  </xdr:twoCellAnchor>
  <xdr:twoCellAnchor>
    <xdr:from>
      <xdr:col>8</xdr:col>
      <xdr:colOff>45721</xdr:colOff>
      <xdr:row>9</xdr:row>
      <xdr:rowOff>66270</xdr:rowOff>
    </xdr:from>
    <xdr:to>
      <xdr:col>8</xdr:col>
      <xdr:colOff>775253</xdr:colOff>
      <xdr:row>9</xdr:row>
      <xdr:rowOff>210270</xdr:rowOff>
    </xdr:to>
    <xdr:sp macro="" textlink="">
      <xdr:nvSpPr>
        <xdr:cNvPr id="17" name="Rounded Rectangle 19">
          <a:extLst>
            <a:ext uri="{FF2B5EF4-FFF2-40B4-BE49-F238E27FC236}">
              <a16:creationId xmlns:a16="http://schemas.microsoft.com/office/drawing/2014/main" id="{81396DEE-C8AC-492C-B1DD-C9495877080E}"/>
            </a:ext>
          </a:extLst>
        </xdr:cNvPr>
        <xdr:cNvSpPr/>
      </xdr:nvSpPr>
      <xdr:spPr>
        <a:xfrm>
          <a:off x="9375251" y="3120896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8</xdr:col>
      <xdr:colOff>752077</xdr:colOff>
      <xdr:row>9</xdr:row>
      <xdr:rowOff>41524</xdr:rowOff>
    </xdr:from>
    <xdr:to>
      <xdr:col>10</xdr:col>
      <xdr:colOff>624900</xdr:colOff>
      <xdr:row>9</xdr:row>
      <xdr:rowOff>226913</xdr:rowOff>
    </xdr:to>
    <xdr:sp macro="" textlink="">
      <xdr:nvSpPr>
        <xdr:cNvPr id="19" name="Rounded Rectangle 46">
          <a:extLst>
            <a:ext uri="{FF2B5EF4-FFF2-40B4-BE49-F238E27FC236}">
              <a16:creationId xmlns:a16="http://schemas.microsoft.com/office/drawing/2014/main" id="{4D51B7FF-7B82-436A-A0A6-90F3435CEBC1}"/>
            </a:ext>
          </a:extLst>
        </xdr:cNvPr>
        <xdr:cNvSpPr/>
      </xdr:nvSpPr>
      <xdr:spPr>
        <a:xfrm>
          <a:off x="10081607" y="3096150"/>
          <a:ext cx="1502841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MR &amp; DC</a:t>
          </a:r>
        </a:p>
      </xdr:txBody>
    </xdr:sp>
    <xdr:clientData/>
  </xdr:twoCellAnchor>
  <xdr:twoCellAnchor>
    <xdr:from>
      <xdr:col>9</xdr:col>
      <xdr:colOff>45721</xdr:colOff>
      <xdr:row>10</xdr:row>
      <xdr:rowOff>53018</xdr:rowOff>
    </xdr:from>
    <xdr:to>
      <xdr:col>9</xdr:col>
      <xdr:colOff>775253</xdr:colOff>
      <xdr:row>10</xdr:row>
      <xdr:rowOff>197018</xdr:rowOff>
    </xdr:to>
    <xdr:sp macro="" textlink="">
      <xdr:nvSpPr>
        <xdr:cNvPr id="38" name="Rounded Rectangle 19">
          <a:extLst>
            <a:ext uri="{FF2B5EF4-FFF2-40B4-BE49-F238E27FC236}">
              <a16:creationId xmlns:a16="http://schemas.microsoft.com/office/drawing/2014/main" id="{F143C0FC-6DBA-4438-9DBB-7F1476114644}"/>
            </a:ext>
          </a:extLst>
        </xdr:cNvPr>
        <xdr:cNvSpPr/>
      </xdr:nvSpPr>
      <xdr:spPr>
        <a:xfrm>
          <a:off x="10190260" y="3366061"/>
          <a:ext cx="729532" cy="144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100%</a:t>
          </a:r>
        </a:p>
      </xdr:txBody>
    </xdr:sp>
    <xdr:clientData/>
  </xdr:twoCellAnchor>
  <xdr:twoCellAnchor>
    <xdr:from>
      <xdr:col>9</xdr:col>
      <xdr:colOff>752077</xdr:colOff>
      <xdr:row>10</xdr:row>
      <xdr:rowOff>28272</xdr:rowOff>
    </xdr:from>
    <xdr:to>
      <xdr:col>12</xdr:col>
      <xdr:colOff>152400</xdr:colOff>
      <xdr:row>10</xdr:row>
      <xdr:rowOff>213661</xdr:rowOff>
    </xdr:to>
    <xdr:sp macro="" textlink="">
      <xdr:nvSpPr>
        <xdr:cNvPr id="39" name="Rounded Rectangle 46">
          <a:extLst>
            <a:ext uri="{FF2B5EF4-FFF2-40B4-BE49-F238E27FC236}">
              <a16:creationId xmlns:a16="http://schemas.microsoft.com/office/drawing/2014/main" id="{A2E92850-531F-480D-B5F9-8F94E1226479}"/>
            </a:ext>
          </a:extLst>
        </xdr:cNvPr>
        <xdr:cNvSpPr/>
      </xdr:nvSpPr>
      <xdr:spPr>
        <a:xfrm>
          <a:off x="10899815" y="3339031"/>
          <a:ext cx="1843978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MR &amp; DC (Note: 11 - 12 Juni )</a:t>
          </a:r>
        </a:p>
      </xdr:txBody>
    </xdr:sp>
    <xdr:clientData/>
  </xdr:twoCellAnchor>
  <xdr:twoCellAnchor>
    <xdr:from>
      <xdr:col>8</xdr:col>
      <xdr:colOff>45721</xdr:colOff>
      <xdr:row>12</xdr:row>
      <xdr:rowOff>57360</xdr:rowOff>
    </xdr:from>
    <xdr:to>
      <xdr:col>9</xdr:col>
      <xdr:colOff>779418</xdr:colOff>
      <xdr:row>12</xdr:row>
      <xdr:rowOff>201360</xdr:rowOff>
    </xdr:to>
    <xdr:sp macro="" textlink="">
      <xdr:nvSpPr>
        <xdr:cNvPr id="40" name="Rounded Rectangle 19">
          <a:extLst>
            <a:ext uri="{FF2B5EF4-FFF2-40B4-BE49-F238E27FC236}">
              <a16:creationId xmlns:a16="http://schemas.microsoft.com/office/drawing/2014/main" id="{74065456-D252-44C7-B5EB-8201C8351D85}"/>
            </a:ext>
          </a:extLst>
        </xdr:cNvPr>
        <xdr:cNvSpPr/>
      </xdr:nvSpPr>
      <xdr:spPr>
        <a:xfrm>
          <a:off x="9372601" y="3910903"/>
          <a:ext cx="1547948" cy="144000"/>
        </a:xfrm>
        <a:prstGeom prst="roundRect">
          <a:avLst/>
        </a:prstGeom>
        <a:solidFill>
          <a:srgbClr val="FFC000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20%</a:t>
          </a:r>
        </a:p>
      </xdr:txBody>
    </xdr:sp>
    <xdr:clientData/>
  </xdr:twoCellAnchor>
  <xdr:twoCellAnchor>
    <xdr:from>
      <xdr:col>9</xdr:col>
      <xdr:colOff>770818</xdr:colOff>
      <xdr:row>12</xdr:row>
      <xdr:rowOff>32614</xdr:rowOff>
    </xdr:from>
    <xdr:to>
      <xdr:col>12</xdr:col>
      <xdr:colOff>171898</xdr:colOff>
      <xdr:row>12</xdr:row>
      <xdr:rowOff>218003</xdr:rowOff>
    </xdr:to>
    <xdr:sp macro="" textlink="">
      <xdr:nvSpPr>
        <xdr:cNvPr id="41" name="Rounded Rectangle 46">
          <a:extLst>
            <a:ext uri="{FF2B5EF4-FFF2-40B4-BE49-F238E27FC236}">
              <a16:creationId xmlns:a16="http://schemas.microsoft.com/office/drawing/2014/main" id="{42137641-0094-4597-A5BB-C899900054AB}"/>
            </a:ext>
          </a:extLst>
        </xdr:cNvPr>
        <xdr:cNvSpPr/>
      </xdr:nvSpPr>
      <xdr:spPr>
        <a:xfrm>
          <a:off x="10911949" y="3886157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8</xdr:col>
      <xdr:colOff>45721</xdr:colOff>
      <xdr:row>13</xdr:row>
      <xdr:rowOff>57361</xdr:rowOff>
    </xdr:from>
    <xdr:to>
      <xdr:col>9</xdr:col>
      <xdr:colOff>779418</xdr:colOff>
      <xdr:row>13</xdr:row>
      <xdr:rowOff>201361</xdr:rowOff>
    </xdr:to>
    <xdr:sp macro="" textlink="">
      <xdr:nvSpPr>
        <xdr:cNvPr id="73" name="Rounded Rectangle 19">
          <a:extLst>
            <a:ext uri="{FF2B5EF4-FFF2-40B4-BE49-F238E27FC236}">
              <a16:creationId xmlns:a16="http://schemas.microsoft.com/office/drawing/2014/main" id="{B682E8AF-124C-406D-BEE8-5F22EF44E5A3}"/>
            </a:ext>
          </a:extLst>
        </xdr:cNvPr>
        <xdr:cNvSpPr/>
      </xdr:nvSpPr>
      <xdr:spPr>
        <a:xfrm>
          <a:off x="9372601" y="4172161"/>
          <a:ext cx="1547948" cy="144000"/>
        </a:xfrm>
        <a:prstGeom prst="roundRect">
          <a:avLst/>
        </a:prstGeom>
        <a:solidFill>
          <a:srgbClr val="FFC000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20%</a:t>
          </a:r>
        </a:p>
      </xdr:txBody>
    </xdr:sp>
    <xdr:clientData/>
  </xdr:twoCellAnchor>
  <xdr:twoCellAnchor>
    <xdr:from>
      <xdr:col>9</xdr:col>
      <xdr:colOff>770818</xdr:colOff>
      <xdr:row>13</xdr:row>
      <xdr:rowOff>32615</xdr:rowOff>
    </xdr:from>
    <xdr:to>
      <xdr:col>12</xdr:col>
      <xdr:colOff>171898</xdr:colOff>
      <xdr:row>13</xdr:row>
      <xdr:rowOff>218004</xdr:rowOff>
    </xdr:to>
    <xdr:sp macro="" textlink="">
      <xdr:nvSpPr>
        <xdr:cNvPr id="74" name="Rounded Rectangle 46">
          <a:extLst>
            <a:ext uri="{FF2B5EF4-FFF2-40B4-BE49-F238E27FC236}">
              <a16:creationId xmlns:a16="http://schemas.microsoft.com/office/drawing/2014/main" id="{51D88313-231D-4FC7-A9A9-5B38D424876F}"/>
            </a:ext>
          </a:extLst>
        </xdr:cNvPr>
        <xdr:cNvSpPr/>
      </xdr:nvSpPr>
      <xdr:spPr>
        <a:xfrm>
          <a:off x="10911949" y="4147415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10</xdr:col>
      <xdr:colOff>49129</xdr:colOff>
      <xdr:row>14</xdr:row>
      <xdr:rowOff>52449</xdr:rowOff>
    </xdr:from>
    <xdr:to>
      <xdr:col>10</xdr:col>
      <xdr:colOff>778661</xdr:colOff>
      <xdr:row>14</xdr:row>
      <xdr:rowOff>196449</xdr:rowOff>
    </xdr:to>
    <xdr:sp macro="" textlink="">
      <xdr:nvSpPr>
        <xdr:cNvPr id="75" name="Rounded Rectangle 19">
          <a:extLst>
            <a:ext uri="{FF2B5EF4-FFF2-40B4-BE49-F238E27FC236}">
              <a16:creationId xmlns:a16="http://schemas.microsoft.com/office/drawing/2014/main" id="{0A34249A-C68C-4A6C-8755-027E5BEC47AA}"/>
            </a:ext>
          </a:extLst>
        </xdr:cNvPr>
        <xdr:cNvSpPr/>
      </xdr:nvSpPr>
      <xdr:spPr>
        <a:xfrm>
          <a:off x="11004512" y="4428506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11</xdr:col>
      <xdr:colOff>34943</xdr:colOff>
      <xdr:row>14</xdr:row>
      <xdr:rowOff>32616</xdr:rowOff>
    </xdr:from>
    <xdr:to>
      <xdr:col>13</xdr:col>
      <xdr:colOff>250275</xdr:colOff>
      <xdr:row>14</xdr:row>
      <xdr:rowOff>218005</xdr:rowOff>
    </xdr:to>
    <xdr:sp macro="" textlink="">
      <xdr:nvSpPr>
        <xdr:cNvPr id="76" name="Rounded Rectangle 46">
          <a:extLst>
            <a:ext uri="{FF2B5EF4-FFF2-40B4-BE49-F238E27FC236}">
              <a16:creationId xmlns:a16="http://schemas.microsoft.com/office/drawing/2014/main" id="{FADD07C5-FB6D-4912-8A34-5867DAD6C370}"/>
            </a:ext>
          </a:extLst>
        </xdr:cNvPr>
        <xdr:cNvSpPr/>
      </xdr:nvSpPr>
      <xdr:spPr>
        <a:xfrm>
          <a:off x="11804577" y="4408673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10</xdr:col>
      <xdr:colOff>44775</xdr:colOff>
      <xdr:row>15</xdr:row>
      <xdr:rowOff>61158</xdr:rowOff>
    </xdr:from>
    <xdr:to>
      <xdr:col>10</xdr:col>
      <xdr:colOff>774307</xdr:colOff>
      <xdr:row>15</xdr:row>
      <xdr:rowOff>205158</xdr:rowOff>
    </xdr:to>
    <xdr:sp macro="" textlink="">
      <xdr:nvSpPr>
        <xdr:cNvPr id="77" name="Rounded Rectangle 19">
          <a:extLst>
            <a:ext uri="{FF2B5EF4-FFF2-40B4-BE49-F238E27FC236}">
              <a16:creationId xmlns:a16="http://schemas.microsoft.com/office/drawing/2014/main" id="{41B81D40-7F96-4EAC-BD72-F6BDFA26D615}"/>
            </a:ext>
          </a:extLst>
        </xdr:cNvPr>
        <xdr:cNvSpPr/>
      </xdr:nvSpPr>
      <xdr:spPr>
        <a:xfrm>
          <a:off x="11000158" y="4698472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11</xdr:col>
      <xdr:colOff>17526</xdr:colOff>
      <xdr:row>15</xdr:row>
      <xdr:rowOff>23908</xdr:rowOff>
    </xdr:from>
    <xdr:to>
      <xdr:col>13</xdr:col>
      <xdr:colOff>232858</xdr:colOff>
      <xdr:row>15</xdr:row>
      <xdr:rowOff>209297</xdr:rowOff>
    </xdr:to>
    <xdr:sp macro="" textlink="">
      <xdr:nvSpPr>
        <xdr:cNvPr id="78" name="Rounded Rectangle 46">
          <a:extLst>
            <a:ext uri="{FF2B5EF4-FFF2-40B4-BE49-F238E27FC236}">
              <a16:creationId xmlns:a16="http://schemas.microsoft.com/office/drawing/2014/main" id="{F1A00C7F-87B4-4228-9FD3-005432EDEDC6}"/>
            </a:ext>
          </a:extLst>
        </xdr:cNvPr>
        <xdr:cNvSpPr/>
      </xdr:nvSpPr>
      <xdr:spPr>
        <a:xfrm>
          <a:off x="11787160" y="4661222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10</xdr:col>
      <xdr:colOff>49129</xdr:colOff>
      <xdr:row>16</xdr:row>
      <xdr:rowOff>56804</xdr:rowOff>
    </xdr:from>
    <xdr:to>
      <xdr:col>10</xdr:col>
      <xdr:colOff>778661</xdr:colOff>
      <xdr:row>16</xdr:row>
      <xdr:rowOff>200804</xdr:rowOff>
    </xdr:to>
    <xdr:sp macro="" textlink="">
      <xdr:nvSpPr>
        <xdr:cNvPr id="79" name="Rounded Rectangle 19">
          <a:extLst>
            <a:ext uri="{FF2B5EF4-FFF2-40B4-BE49-F238E27FC236}">
              <a16:creationId xmlns:a16="http://schemas.microsoft.com/office/drawing/2014/main" id="{CFD1B60A-7890-4A76-BFC7-E3EE1FC0F82D}"/>
            </a:ext>
          </a:extLst>
        </xdr:cNvPr>
        <xdr:cNvSpPr/>
      </xdr:nvSpPr>
      <xdr:spPr>
        <a:xfrm>
          <a:off x="11004512" y="4955375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11</xdr:col>
      <xdr:colOff>21880</xdr:colOff>
      <xdr:row>16</xdr:row>
      <xdr:rowOff>19554</xdr:rowOff>
    </xdr:from>
    <xdr:to>
      <xdr:col>13</xdr:col>
      <xdr:colOff>237212</xdr:colOff>
      <xdr:row>16</xdr:row>
      <xdr:rowOff>204943</xdr:rowOff>
    </xdr:to>
    <xdr:sp macro="" textlink="">
      <xdr:nvSpPr>
        <xdr:cNvPr id="80" name="Rounded Rectangle 46">
          <a:extLst>
            <a:ext uri="{FF2B5EF4-FFF2-40B4-BE49-F238E27FC236}">
              <a16:creationId xmlns:a16="http://schemas.microsoft.com/office/drawing/2014/main" id="{A30AF6A8-4794-48B9-B010-9838280D8579}"/>
            </a:ext>
          </a:extLst>
        </xdr:cNvPr>
        <xdr:cNvSpPr/>
      </xdr:nvSpPr>
      <xdr:spPr>
        <a:xfrm>
          <a:off x="11791514" y="4918125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7</xdr:col>
      <xdr:colOff>43543</xdr:colOff>
      <xdr:row>18</xdr:row>
      <xdr:rowOff>56605</xdr:rowOff>
    </xdr:from>
    <xdr:to>
      <xdr:col>13</xdr:col>
      <xdr:colOff>779417</xdr:colOff>
      <xdr:row>18</xdr:row>
      <xdr:rowOff>200605</xdr:rowOff>
    </xdr:to>
    <xdr:sp macro="" textlink="">
      <xdr:nvSpPr>
        <xdr:cNvPr id="81" name="Rounded Rectangle 19">
          <a:extLst>
            <a:ext uri="{FF2B5EF4-FFF2-40B4-BE49-F238E27FC236}">
              <a16:creationId xmlns:a16="http://schemas.microsoft.com/office/drawing/2014/main" id="{F600B556-D1FD-4959-AEA3-06D0FB62A6E8}"/>
            </a:ext>
          </a:extLst>
        </xdr:cNvPr>
        <xdr:cNvSpPr/>
      </xdr:nvSpPr>
      <xdr:spPr>
        <a:xfrm>
          <a:off x="8556172" y="5482045"/>
          <a:ext cx="5621382" cy="144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30%</a:t>
          </a:r>
        </a:p>
      </xdr:txBody>
    </xdr:sp>
    <xdr:clientData/>
  </xdr:twoCellAnchor>
  <xdr:twoCellAnchor>
    <xdr:from>
      <xdr:col>13</xdr:col>
      <xdr:colOff>39189</xdr:colOff>
      <xdr:row>19</xdr:row>
      <xdr:rowOff>54667</xdr:rowOff>
    </xdr:from>
    <xdr:to>
      <xdr:col>13</xdr:col>
      <xdr:colOff>768721</xdr:colOff>
      <xdr:row>19</xdr:row>
      <xdr:rowOff>198667</xdr:rowOff>
    </xdr:to>
    <xdr:sp macro="" textlink="">
      <xdr:nvSpPr>
        <xdr:cNvPr id="82" name="Rounded Rectangle 19">
          <a:extLst>
            <a:ext uri="{FF2B5EF4-FFF2-40B4-BE49-F238E27FC236}">
              <a16:creationId xmlns:a16="http://schemas.microsoft.com/office/drawing/2014/main" id="{8955CCD0-1FA5-4C53-8220-EB1FFA599423}"/>
            </a:ext>
          </a:extLst>
        </xdr:cNvPr>
        <xdr:cNvSpPr/>
      </xdr:nvSpPr>
      <xdr:spPr>
        <a:xfrm>
          <a:off x="13437326" y="5741364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13</xdr:col>
      <xdr:colOff>808773</xdr:colOff>
      <xdr:row>19</xdr:row>
      <xdr:rowOff>34834</xdr:rowOff>
    </xdr:from>
    <xdr:to>
      <xdr:col>16</xdr:col>
      <xdr:colOff>209854</xdr:colOff>
      <xdr:row>19</xdr:row>
      <xdr:rowOff>220223</xdr:rowOff>
    </xdr:to>
    <xdr:sp macro="" textlink="">
      <xdr:nvSpPr>
        <xdr:cNvPr id="83" name="Rounded Rectangle 46">
          <a:extLst>
            <a:ext uri="{FF2B5EF4-FFF2-40B4-BE49-F238E27FC236}">
              <a16:creationId xmlns:a16="http://schemas.microsoft.com/office/drawing/2014/main" id="{2AEC47E6-F34E-4CA7-B3DD-A23ACE616737}"/>
            </a:ext>
          </a:extLst>
        </xdr:cNvPr>
        <xdr:cNvSpPr/>
      </xdr:nvSpPr>
      <xdr:spPr>
        <a:xfrm>
          <a:off x="14206910" y="5721531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IT &amp; BCDRP</a:t>
          </a:r>
          <a:r>
            <a:rPr lang="en-US" sz="1100" b="0" i="1" kern="1200" baseline="0">
              <a:solidFill>
                <a:srgbClr val="00B050"/>
              </a:solidFill>
            </a:rPr>
            <a:t> Team</a:t>
          </a:r>
          <a:endParaRPr lang="en-US" sz="1100" b="0" i="1" kern="12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39188</xdr:colOff>
      <xdr:row>20</xdr:row>
      <xdr:rowOff>69669</xdr:rowOff>
    </xdr:from>
    <xdr:to>
      <xdr:col>13</xdr:col>
      <xdr:colOff>762000</xdr:colOff>
      <xdr:row>20</xdr:row>
      <xdr:rowOff>213669</xdr:rowOff>
    </xdr:to>
    <xdr:sp macro="" textlink="">
      <xdr:nvSpPr>
        <xdr:cNvPr id="84" name="Rounded Rectangle 19">
          <a:extLst>
            <a:ext uri="{FF2B5EF4-FFF2-40B4-BE49-F238E27FC236}">
              <a16:creationId xmlns:a16="http://schemas.microsoft.com/office/drawing/2014/main" id="{E77B817F-0775-4EE7-A1F9-7D75D5002D6D}"/>
            </a:ext>
          </a:extLst>
        </xdr:cNvPr>
        <xdr:cNvSpPr/>
      </xdr:nvSpPr>
      <xdr:spPr>
        <a:xfrm>
          <a:off x="10994571" y="6017623"/>
          <a:ext cx="3165566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13</xdr:col>
      <xdr:colOff>796835</xdr:colOff>
      <xdr:row>20</xdr:row>
      <xdr:rowOff>34834</xdr:rowOff>
    </xdr:from>
    <xdr:to>
      <xdr:col>16</xdr:col>
      <xdr:colOff>197916</xdr:colOff>
      <xdr:row>20</xdr:row>
      <xdr:rowOff>220223</xdr:rowOff>
    </xdr:to>
    <xdr:sp macro="" textlink="">
      <xdr:nvSpPr>
        <xdr:cNvPr id="85" name="Rounded Rectangle 46">
          <a:extLst>
            <a:ext uri="{FF2B5EF4-FFF2-40B4-BE49-F238E27FC236}">
              <a16:creationId xmlns:a16="http://schemas.microsoft.com/office/drawing/2014/main" id="{B5C78C36-08AF-426B-901E-7E83147BD54C}"/>
            </a:ext>
          </a:extLst>
        </xdr:cNvPr>
        <xdr:cNvSpPr/>
      </xdr:nvSpPr>
      <xdr:spPr>
        <a:xfrm>
          <a:off x="14194972" y="5982788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13</xdr:col>
      <xdr:colOff>43543</xdr:colOff>
      <xdr:row>22</xdr:row>
      <xdr:rowOff>59021</xdr:rowOff>
    </xdr:from>
    <xdr:to>
      <xdr:col>14</xdr:col>
      <xdr:colOff>760012</xdr:colOff>
      <xdr:row>22</xdr:row>
      <xdr:rowOff>203021</xdr:rowOff>
    </xdr:to>
    <xdr:sp macro="" textlink="">
      <xdr:nvSpPr>
        <xdr:cNvPr id="86" name="Rounded Rectangle 19">
          <a:extLst>
            <a:ext uri="{FF2B5EF4-FFF2-40B4-BE49-F238E27FC236}">
              <a16:creationId xmlns:a16="http://schemas.microsoft.com/office/drawing/2014/main" id="{0A15245E-5E9A-49AC-B4BA-2672B45B79A2}"/>
            </a:ext>
          </a:extLst>
        </xdr:cNvPr>
        <xdr:cNvSpPr/>
      </xdr:nvSpPr>
      <xdr:spPr>
        <a:xfrm>
          <a:off x="13441680" y="6533844"/>
          <a:ext cx="1530721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15</xdr:col>
      <xdr:colOff>3231</xdr:colOff>
      <xdr:row>22</xdr:row>
      <xdr:rowOff>21771</xdr:rowOff>
    </xdr:from>
    <xdr:to>
      <xdr:col>17</xdr:col>
      <xdr:colOff>218563</xdr:colOff>
      <xdr:row>22</xdr:row>
      <xdr:rowOff>207160</xdr:rowOff>
    </xdr:to>
    <xdr:sp macro="" textlink="">
      <xdr:nvSpPr>
        <xdr:cNvPr id="87" name="Rounded Rectangle 46">
          <a:extLst>
            <a:ext uri="{FF2B5EF4-FFF2-40B4-BE49-F238E27FC236}">
              <a16:creationId xmlns:a16="http://schemas.microsoft.com/office/drawing/2014/main" id="{F42B078F-965C-46B0-B5FF-52ED537FAEE9}"/>
            </a:ext>
          </a:extLst>
        </xdr:cNvPr>
        <xdr:cNvSpPr/>
      </xdr:nvSpPr>
      <xdr:spPr>
        <a:xfrm>
          <a:off x="15029871" y="6496594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Internal Audit</a:t>
          </a:r>
        </a:p>
      </xdr:txBody>
    </xdr:sp>
    <xdr:clientData/>
  </xdr:twoCellAnchor>
  <xdr:twoCellAnchor>
    <xdr:from>
      <xdr:col>15</xdr:col>
      <xdr:colOff>52252</xdr:colOff>
      <xdr:row>23</xdr:row>
      <xdr:rowOff>54667</xdr:rowOff>
    </xdr:from>
    <xdr:to>
      <xdr:col>15</xdr:col>
      <xdr:colOff>781784</xdr:colOff>
      <xdr:row>23</xdr:row>
      <xdr:rowOff>198667</xdr:rowOff>
    </xdr:to>
    <xdr:sp macro="" textlink="">
      <xdr:nvSpPr>
        <xdr:cNvPr id="88" name="Rounded Rectangle 19">
          <a:extLst>
            <a:ext uri="{FF2B5EF4-FFF2-40B4-BE49-F238E27FC236}">
              <a16:creationId xmlns:a16="http://schemas.microsoft.com/office/drawing/2014/main" id="{D073DD77-58DA-4597-9559-C1DD26ED0E1B}"/>
            </a:ext>
          </a:extLst>
        </xdr:cNvPr>
        <xdr:cNvSpPr/>
      </xdr:nvSpPr>
      <xdr:spPr>
        <a:xfrm>
          <a:off x="15078892" y="6790747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16</xdr:col>
      <xdr:colOff>25003</xdr:colOff>
      <xdr:row>23</xdr:row>
      <xdr:rowOff>17417</xdr:rowOff>
    </xdr:from>
    <xdr:to>
      <xdr:col>18</xdr:col>
      <xdr:colOff>240335</xdr:colOff>
      <xdr:row>23</xdr:row>
      <xdr:rowOff>202806</xdr:rowOff>
    </xdr:to>
    <xdr:sp macro="" textlink="">
      <xdr:nvSpPr>
        <xdr:cNvPr id="89" name="Rounded Rectangle 46">
          <a:extLst>
            <a:ext uri="{FF2B5EF4-FFF2-40B4-BE49-F238E27FC236}">
              <a16:creationId xmlns:a16="http://schemas.microsoft.com/office/drawing/2014/main" id="{1F1E70D3-6B5F-46F5-B53B-D3CA6D5FF7FC}"/>
            </a:ext>
          </a:extLst>
        </xdr:cNvPr>
        <xdr:cNvSpPr/>
      </xdr:nvSpPr>
      <xdr:spPr>
        <a:xfrm>
          <a:off x="15865894" y="6753497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  <xdr:twoCellAnchor>
    <xdr:from>
      <xdr:col>16</xdr:col>
      <xdr:colOff>52252</xdr:colOff>
      <xdr:row>24</xdr:row>
      <xdr:rowOff>63376</xdr:rowOff>
    </xdr:from>
    <xdr:to>
      <xdr:col>16</xdr:col>
      <xdr:colOff>781784</xdr:colOff>
      <xdr:row>24</xdr:row>
      <xdr:rowOff>207376</xdr:rowOff>
    </xdr:to>
    <xdr:sp macro="" textlink="">
      <xdr:nvSpPr>
        <xdr:cNvPr id="90" name="Rounded Rectangle 19">
          <a:extLst>
            <a:ext uri="{FF2B5EF4-FFF2-40B4-BE49-F238E27FC236}">
              <a16:creationId xmlns:a16="http://schemas.microsoft.com/office/drawing/2014/main" id="{49691EDA-0EED-42DA-A960-B47A93F6F8A9}"/>
            </a:ext>
          </a:extLst>
        </xdr:cNvPr>
        <xdr:cNvSpPr/>
      </xdr:nvSpPr>
      <xdr:spPr>
        <a:xfrm>
          <a:off x="15893143" y="7060713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17</xdr:col>
      <xdr:colOff>25002</xdr:colOff>
      <xdr:row>24</xdr:row>
      <xdr:rowOff>26126</xdr:rowOff>
    </xdr:from>
    <xdr:to>
      <xdr:col>19</xdr:col>
      <xdr:colOff>240334</xdr:colOff>
      <xdr:row>24</xdr:row>
      <xdr:rowOff>211515</xdr:rowOff>
    </xdr:to>
    <xdr:sp macro="" textlink="">
      <xdr:nvSpPr>
        <xdr:cNvPr id="91" name="Rounded Rectangle 46">
          <a:extLst>
            <a:ext uri="{FF2B5EF4-FFF2-40B4-BE49-F238E27FC236}">
              <a16:creationId xmlns:a16="http://schemas.microsoft.com/office/drawing/2014/main" id="{565F3092-D346-4888-854E-DE04B3657A7F}"/>
            </a:ext>
          </a:extLst>
        </xdr:cNvPr>
        <xdr:cNvSpPr/>
      </xdr:nvSpPr>
      <xdr:spPr>
        <a:xfrm>
          <a:off x="16680145" y="7023463"/>
          <a:ext cx="1843835" cy="185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TSI International</a:t>
          </a:r>
        </a:p>
      </xdr:txBody>
    </xdr:sp>
    <xdr:clientData/>
  </xdr:twoCellAnchor>
  <xdr:twoCellAnchor>
    <xdr:from>
      <xdr:col>17</xdr:col>
      <xdr:colOff>47897</xdr:colOff>
      <xdr:row>25</xdr:row>
      <xdr:rowOff>65314</xdr:rowOff>
    </xdr:from>
    <xdr:to>
      <xdr:col>17</xdr:col>
      <xdr:colOff>777429</xdr:colOff>
      <xdr:row>25</xdr:row>
      <xdr:rowOff>209314</xdr:rowOff>
    </xdr:to>
    <xdr:sp macro="" textlink="">
      <xdr:nvSpPr>
        <xdr:cNvPr id="92" name="Rounded Rectangle 19">
          <a:extLst>
            <a:ext uri="{FF2B5EF4-FFF2-40B4-BE49-F238E27FC236}">
              <a16:creationId xmlns:a16="http://schemas.microsoft.com/office/drawing/2014/main" id="{880A409E-7090-4724-A1B9-13D40B5290D5}"/>
            </a:ext>
          </a:extLst>
        </xdr:cNvPr>
        <xdr:cNvSpPr/>
      </xdr:nvSpPr>
      <xdr:spPr>
        <a:xfrm>
          <a:off x="16703040" y="7323908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18</xdr:col>
      <xdr:colOff>43543</xdr:colOff>
      <xdr:row>26</xdr:row>
      <xdr:rowOff>56606</xdr:rowOff>
    </xdr:from>
    <xdr:to>
      <xdr:col>18</xdr:col>
      <xdr:colOff>773075</xdr:colOff>
      <xdr:row>26</xdr:row>
      <xdr:rowOff>200606</xdr:rowOff>
    </xdr:to>
    <xdr:sp macro="" textlink="">
      <xdr:nvSpPr>
        <xdr:cNvPr id="93" name="Rounded Rectangle 19">
          <a:extLst>
            <a:ext uri="{FF2B5EF4-FFF2-40B4-BE49-F238E27FC236}">
              <a16:creationId xmlns:a16="http://schemas.microsoft.com/office/drawing/2014/main" id="{4245D023-2070-4A7A-948A-B6CE086D1EE6}"/>
            </a:ext>
          </a:extLst>
        </xdr:cNvPr>
        <xdr:cNvSpPr/>
      </xdr:nvSpPr>
      <xdr:spPr>
        <a:xfrm>
          <a:off x="17512937" y="7576457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20</xdr:col>
      <xdr:colOff>39189</xdr:colOff>
      <xdr:row>27</xdr:row>
      <xdr:rowOff>65315</xdr:rowOff>
    </xdr:from>
    <xdr:to>
      <xdr:col>20</xdr:col>
      <xdr:colOff>768721</xdr:colOff>
      <xdr:row>27</xdr:row>
      <xdr:rowOff>209315</xdr:rowOff>
    </xdr:to>
    <xdr:sp macro="" textlink="">
      <xdr:nvSpPr>
        <xdr:cNvPr id="94" name="Rounded Rectangle 19">
          <a:extLst>
            <a:ext uri="{FF2B5EF4-FFF2-40B4-BE49-F238E27FC236}">
              <a16:creationId xmlns:a16="http://schemas.microsoft.com/office/drawing/2014/main" id="{506A3961-F0E4-4C53-BC6A-EE5B0E1D6F80}"/>
            </a:ext>
          </a:extLst>
        </xdr:cNvPr>
        <xdr:cNvSpPr/>
      </xdr:nvSpPr>
      <xdr:spPr>
        <a:xfrm>
          <a:off x="19137086" y="7846424"/>
          <a:ext cx="729532" cy="1440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0%</a:t>
          </a:r>
        </a:p>
      </xdr:txBody>
    </xdr:sp>
    <xdr:clientData/>
  </xdr:twoCellAnchor>
  <xdr:twoCellAnchor>
    <xdr:from>
      <xdr:col>17</xdr:col>
      <xdr:colOff>763598</xdr:colOff>
      <xdr:row>25</xdr:row>
      <xdr:rowOff>23948</xdr:rowOff>
    </xdr:from>
    <xdr:to>
      <xdr:col>20</xdr:col>
      <xdr:colOff>166584</xdr:colOff>
      <xdr:row>25</xdr:row>
      <xdr:rowOff>218862</xdr:rowOff>
    </xdr:to>
    <xdr:sp macro="" textlink="">
      <xdr:nvSpPr>
        <xdr:cNvPr id="95" name="Rounded Rectangle 46">
          <a:extLst>
            <a:ext uri="{FF2B5EF4-FFF2-40B4-BE49-F238E27FC236}">
              <a16:creationId xmlns:a16="http://schemas.microsoft.com/office/drawing/2014/main" id="{7DC2EA3A-B253-46CF-B139-4771CB8EA6B8}"/>
            </a:ext>
          </a:extLst>
        </xdr:cNvPr>
        <xdr:cNvSpPr/>
      </xdr:nvSpPr>
      <xdr:spPr>
        <a:xfrm>
          <a:off x="17527598" y="7192191"/>
          <a:ext cx="1868600" cy="1949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TSI International</a:t>
          </a:r>
        </a:p>
      </xdr:txBody>
    </xdr:sp>
    <xdr:clientData/>
  </xdr:twoCellAnchor>
  <xdr:twoCellAnchor>
    <xdr:from>
      <xdr:col>18</xdr:col>
      <xdr:colOff>763599</xdr:colOff>
      <xdr:row>26</xdr:row>
      <xdr:rowOff>31024</xdr:rowOff>
    </xdr:from>
    <xdr:to>
      <xdr:col>21</xdr:col>
      <xdr:colOff>168489</xdr:colOff>
      <xdr:row>26</xdr:row>
      <xdr:rowOff>224033</xdr:rowOff>
    </xdr:to>
    <xdr:sp macro="" textlink="">
      <xdr:nvSpPr>
        <xdr:cNvPr id="96" name="Rounded Rectangle 46">
          <a:extLst>
            <a:ext uri="{FF2B5EF4-FFF2-40B4-BE49-F238E27FC236}">
              <a16:creationId xmlns:a16="http://schemas.microsoft.com/office/drawing/2014/main" id="{B42C5210-7E01-485C-AFB9-AF852782CA02}"/>
            </a:ext>
          </a:extLst>
        </xdr:cNvPr>
        <xdr:cNvSpPr/>
      </xdr:nvSpPr>
      <xdr:spPr>
        <a:xfrm>
          <a:off x="18349470" y="7455081"/>
          <a:ext cx="1870505" cy="19300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TSI International</a:t>
          </a:r>
        </a:p>
      </xdr:txBody>
    </xdr:sp>
    <xdr:clientData/>
  </xdr:twoCellAnchor>
  <xdr:twoCellAnchor>
    <xdr:from>
      <xdr:col>20</xdr:col>
      <xdr:colOff>794658</xdr:colOff>
      <xdr:row>27</xdr:row>
      <xdr:rowOff>38100</xdr:rowOff>
    </xdr:from>
    <xdr:to>
      <xdr:col>23</xdr:col>
      <xdr:colOff>203358</xdr:colOff>
      <xdr:row>27</xdr:row>
      <xdr:rowOff>231109</xdr:rowOff>
    </xdr:to>
    <xdr:sp macro="" textlink="">
      <xdr:nvSpPr>
        <xdr:cNvPr id="97" name="Rounded Rectangle 46">
          <a:extLst>
            <a:ext uri="{FF2B5EF4-FFF2-40B4-BE49-F238E27FC236}">
              <a16:creationId xmlns:a16="http://schemas.microsoft.com/office/drawing/2014/main" id="{08BA53FA-FDC8-4C0C-9E1B-00CF643F320B}"/>
            </a:ext>
          </a:extLst>
        </xdr:cNvPr>
        <xdr:cNvSpPr/>
      </xdr:nvSpPr>
      <xdr:spPr>
        <a:xfrm>
          <a:off x="20024272" y="7717971"/>
          <a:ext cx="1874315" cy="19300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1" kern="1200">
              <a:solidFill>
                <a:srgbClr val="00B050"/>
              </a:solidFill>
            </a:rPr>
            <a:t>All Team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5A5FD9-FC8F-49C0-A520-113C88C459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a5cb8ba-6969-4836-9f40-aa8ea87cd8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7C27-77B6-DF48-83D0-2EB263AEAB63}">
  <dimension ref="B1:W51"/>
  <sheetViews>
    <sheetView tabSelected="1" zoomScale="115" zoomScaleNormal="115" workbookViewId="0">
      <pane xSplit="3" ySplit="3" topLeftCell="G6" activePane="bottomRight" state="frozen"/>
      <selection pane="topRight" activeCell="D1" sqref="D1"/>
      <selection pane="bottomLeft" activeCell="A4" sqref="A4"/>
      <selection pane="bottomRight" activeCell="K20" sqref="K20"/>
    </sheetView>
  </sheetViews>
  <sheetFormatPr defaultColWidth="11.19921875" defaultRowHeight="33" customHeight="1" x14ac:dyDescent="0.6"/>
  <cols>
    <col min="1" max="1" width="5.5" style="1" customWidth="1"/>
    <col min="2" max="2" width="6" style="1" customWidth="1"/>
    <col min="3" max="3" width="57.5" style="1" customWidth="1"/>
    <col min="4" max="23" width="10.69921875" style="1" customWidth="1"/>
    <col min="24" max="16384" width="11.19921875" style="1"/>
  </cols>
  <sheetData>
    <row r="1" spans="2:23" ht="25.95" customHeight="1" thickBot="1" x14ac:dyDescent="0.65"/>
    <row r="2" spans="2:23" s="2" customFormat="1" ht="25.95" customHeight="1" thickBot="1" x14ac:dyDescent="0.35">
      <c r="B2" s="27" t="s">
        <v>0</v>
      </c>
      <c r="C2" s="27" t="s">
        <v>1</v>
      </c>
      <c r="D2" s="22" t="s">
        <v>10</v>
      </c>
      <c r="E2" s="23"/>
      <c r="F2" s="23"/>
      <c r="G2" s="24"/>
      <c r="H2" s="22" t="s">
        <v>11</v>
      </c>
      <c r="I2" s="23"/>
      <c r="J2" s="23"/>
      <c r="K2" s="24"/>
      <c r="L2" s="22" t="s">
        <v>12</v>
      </c>
      <c r="M2" s="23"/>
      <c r="N2" s="23"/>
      <c r="O2" s="23"/>
      <c r="P2" s="22" t="s">
        <v>13</v>
      </c>
      <c r="Q2" s="23"/>
      <c r="R2" s="23"/>
      <c r="S2" s="23"/>
      <c r="T2" s="22" t="s">
        <v>20</v>
      </c>
      <c r="U2" s="23"/>
      <c r="V2" s="23"/>
      <c r="W2" s="24"/>
    </row>
    <row r="3" spans="2:23" s="2" customFormat="1" ht="25.95" customHeight="1" thickBot="1" x14ac:dyDescent="0.35">
      <c r="B3" s="28"/>
      <c r="C3" s="28"/>
      <c r="D3" s="11" t="s">
        <v>2</v>
      </c>
      <c r="E3" s="12" t="s">
        <v>3</v>
      </c>
      <c r="F3" s="12" t="s">
        <v>4</v>
      </c>
      <c r="G3" s="13" t="s">
        <v>5</v>
      </c>
      <c r="H3" s="11" t="s">
        <v>2</v>
      </c>
      <c r="I3" s="12" t="s">
        <v>3</v>
      </c>
      <c r="J3" s="12" t="s">
        <v>4</v>
      </c>
      <c r="K3" s="13" t="s">
        <v>5</v>
      </c>
      <c r="L3" s="11" t="s">
        <v>2</v>
      </c>
      <c r="M3" s="12" t="s">
        <v>3</v>
      </c>
      <c r="N3" s="12" t="s">
        <v>4</v>
      </c>
      <c r="O3" s="12" t="s">
        <v>5</v>
      </c>
      <c r="P3" s="11" t="s">
        <v>2</v>
      </c>
      <c r="Q3" s="12" t="s">
        <v>3</v>
      </c>
      <c r="R3" s="12" t="s">
        <v>4</v>
      </c>
      <c r="S3" s="12" t="s">
        <v>5</v>
      </c>
      <c r="T3" s="11" t="s">
        <v>2</v>
      </c>
      <c r="U3" s="12" t="s">
        <v>3</v>
      </c>
      <c r="V3" s="12" t="s">
        <v>4</v>
      </c>
      <c r="W3" s="13" t="s">
        <v>5</v>
      </c>
    </row>
    <row r="4" spans="2:23" s="2" customFormat="1" ht="25.95" customHeight="1" x14ac:dyDescent="0.3">
      <c r="B4" s="25" t="s">
        <v>16</v>
      </c>
      <c r="C4" s="26"/>
      <c r="D4" s="4"/>
      <c r="E4" s="3"/>
      <c r="F4" s="3"/>
      <c r="G4" s="6"/>
      <c r="H4" s="4"/>
      <c r="I4" s="3"/>
      <c r="J4" s="3"/>
      <c r="K4" s="6"/>
      <c r="L4" s="5"/>
      <c r="M4" s="3"/>
      <c r="N4" s="3"/>
      <c r="O4" s="3"/>
      <c r="P4" s="5"/>
      <c r="Q4" s="3"/>
      <c r="R4" s="3"/>
      <c r="S4" s="3"/>
      <c r="T4" s="5"/>
      <c r="U4" s="3"/>
      <c r="V4" s="3"/>
      <c r="W4" s="6"/>
    </row>
    <row r="5" spans="2:23" s="2" customFormat="1" ht="38.4" x14ac:dyDescent="0.3">
      <c r="B5" s="14">
        <f t="shared" ref="B5:B11" si="0">ROW()-ROW($B$4)</f>
        <v>1</v>
      </c>
      <c r="C5" s="15" t="s">
        <v>19</v>
      </c>
      <c r="D5" s="4"/>
      <c r="E5" s="3"/>
      <c r="F5" s="3"/>
      <c r="G5" s="6"/>
      <c r="H5" s="4"/>
      <c r="I5" s="3"/>
      <c r="J5" s="3"/>
      <c r="K5" s="6"/>
      <c r="L5" s="5"/>
      <c r="M5" s="3"/>
      <c r="N5" s="3"/>
      <c r="O5" s="3"/>
      <c r="P5" s="5"/>
      <c r="Q5" s="3"/>
      <c r="R5" s="3"/>
      <c r="S5" s="3"/>
      <c r="T5" s="5"/>
      <c r="U5" s="3"/>
      <c r="V5" s="3"/>
      <c r="W5" s="6"/>
    </row>
    <row r="6" spans="2:23" s="2" customFormat="1" ht="38.4" x14ac:dyDescent="0.3">
      <c r="B6" s="14">
        <f t="shared" si="0"/>
        <v>2</v>
      </c>
      <c r="C6" s="15" t="s">
        <v>21</v>
      </c>
      <c r="D6" s="4"/>
      <c r="E6" s="3"/>
      <c r="F6" s="3"/>
      <c r="G6" s="6"/>
      <c r="H6" s="4"/>
      <c r="I6" s="3"/>
      <c r="J6" s="3"/>
      <c r="K6" s="6"/>
      <c r="L6" s="5"/>
      <c r="M6" s="3"/>
      <c r="N6" s="3"/>
      <c r="O6" s="3"/>
      <c r="P6" s="5"/>
      <c r="Q6" s="3"/>
      <c r="R6" s="3"/>
      <c r="S6" s="3"/>
      <c r="T6" s="5"/>
      <c r="U6" s="3"/>
      <c r="V6" s="3"/>
      <c r="W6" s="6"/>
    </row>
    <row r="7" spans="2:23" s="2" customFormat="1" ht="20.399999999999999" x14ac:dyDescent="0.3">
      <c r="B7" s="14">
        <f t="shared" si="0"/>
        <v>3</v>
      </c>
      <c r="C7" s="15" t="s">
        <v>22</v>
      </c>
      <c r="D7" s="4"/>
      <c r="E7" s="3"/>
      <c r="F7" s="3"/>
      <c r="G7" s="6"/>
      <c r="H7" s="4"/>
      <c r="I7" s="3"/>
      <c r="J7" s="3"/>
      <c r="K7" s="6"/>
      <c r="L7" s="5"/>
      <c r="M7" s="3"/>
      <c r="N7" s="3"/>
      <c r="O7" s="3"/>
      <c r="P7" s="5"/>
      <c r="Q7" s="3"/>
      <c r="R7" s="3"/>
      <c r="S7" s="3"/>
      <c r="T7" s="5"/>
      <c r="U7" s="3"/>
      <c r="V7" s="3"/>
      <c r="W7" s="6"/>
    </row>
    <row r="8" spans="2:23" s="2" customFormat="1" ht="20.399999999999999" x14ac:dyDescent="0.3">
      <c r="B8" s="14">
        <f t="shared" si="0"/>
        <v>4</v>
      </c>
      <c r="C8" s="15" t="s">
        <v>23</v>
      </c>
      <c r="D8" s="4"/>
      <c r="E8" s="3"/>
      <c r="F8" s="3"/>
      <c r="G8" s="6"/>
      <c r="H8" s="4"/>
      <c r="I8" s="3"/>
      <c r="J8" s="3"/>
      <c r="K8" s="6"/>
      <c r="L8" s="5"/>
      <c r="M8" s="3"/>
      <c r="N8" s="3"/>
      <c r="O8" s="3"/>
      <c r="P8" s="5"/>
      <c r="Q8" s="3"/>
      <c r="R8" s="3"/>
      <c r="S8" s="3"/>
      <c r="T8" s="5"/>
      <c r="U8" s="3"/>
      <c r="V8" s="3"/>
      <c r="W8" s="6"/>
    </row>
    <row r="9" spans="2:23" s="2" customFormat="1" ht="20.399999999999999" x14ac:dyDescent="0.3">
      <c r="B9" s="14">
        <f t="shared" si="0"/>
        <v>5</v>
      </c>
      <c r="C9" s="17" t="s">
        <v>24</v>
      </c>
      <c r="D9" s="4"/>
      <c r="E9" s="3"/>
      <c r="F9" s="3"/>
      <c r="G9" s="6"/>
      <c r="H9" s="4"/>
      <c r="I9" s="3"/>
      <c r="J9" s="3"/>
      <c r="K9" s="6"/>
      <c r="L9" s="5"/>
      <c r="M9" s="3"/>
      <c r="N9" s="3"/>
      <c r="O9" s="3"/>
      <c r="P9" s="5"/>
      <c r="Q9" s="3"/>
      <c r="R9" s="3"/>
      <c r="S9" s="3"/>
      <c r="T9" s="5"/>
      <c r="U9" s="3"/>
      <c r="V9" s="3"/>
      <c r="W9" s="6"/>
    </row>
    <row r="10" spans="2:23" s="2" customFormat="1" ht="20.399999999999999" x14ac:dyDescent="0.3">
      <c r="B10" s="14">
        <f t="shared" si="0"/>
        <v>6</v>
      </c>
      <c r="C10" s="17" t="s">
        <v>25</v>
      </c>
      <c r="D10" s="4"/>
      <c r="E10" s="3"/>
      <c r="F10" s="3"/>
      <c r="G10" s="6"/>
      <c r="H10" s="4"/>
      <c r="I10" s="3"/>
      <c r="J10" s="3"/>
      <c r="K10" s="6"/>
      <c r="L10" s="5"/>
      <c r="M10" s="3"/>
      <c r="N10" s="3"/>
      <c r="O10" s="3"/>
      <c r="P10" s="5"/>
      <c r="Q10" s="3"/>
      <c r="R10" s="3"/>
      <c r="S10" s="3"/>
      <c r="T10" s="5"/>
      <c r="U10" s="3"/>
      <c r="V10" s="3"/>
      <c r="W10" s="6"/>
    </row>
    <row r="11" spans="2:23" s="2" customFormat="1" ht="21" thickBot="1" x14ac:dyDescent="0.35">
      <c r="B11" s="14">
        <f t="shared" si="0"/>
        <v>7</v>
      </c>
      <c r="C11" s="17" t="s">
        <v>26</v>
      </c>
      <c r="D11" s="4"/>
      <c r="E11" s="3"/>
      <c r="F11" s="3"/>
      <c r="G11" s="6"/>
      <c r="H11" s="4"/>
      <c r="I11" s="3"/>
      <c r="J11" s="3"/>
      <c r="K11" s="6"/>
      <c r="L11" s="5"/>
      <c r="M11" s="3"/>
      <c r="N11" s="3"/>
      <c r="O11" s="3"/>
      <c r="P11" s="5"/>
      <c r="Q11" s="3"/>
      <c r="R11" s="3"/>
      <c r="S11" s="3"/>
      <c r="T11" s="5"/>
      <c r="U11" s="3"/>
      <c r="V11" s="3"/>
      <c r="W11" s="6"/>
    </row>
    <row r="12" spans="2:23" s="2" customFormat="1" ht="20.399999999999999" x14ac:dyDescent="0.3">
      <c r="B12" s="20" t="s">
        <v>27</v>
      </c>
      <c r="C12" s="21"/>
      <c r="D12" s="4"/>
      <c r="E12" s="3"/>
      <c r="F12" s="3"/>
      <c r="G12" s="6"/>
      <c r="H12" s="4"/>
      <c r="I12" s="3"/>
      <c r="J12" s="3"/>
      <c r="K12" s="6"/>
      <c r="L12" s="5"/>
      <c r="M12" s="3"/>
      <c r="N12" s="3"/>
      <c r="O12" s="3"/>
      <c r="P12" s="5"/>
      <c r="Q12" s="3"/>
      <c r="R12" s="3"/>
      <c r="S12" s="3"/>
      <c r="T12" s="5"/>
      <c r="U12" s="3"/>
      <c r="V12" s="3"/>
      <c r="W12" s="6"/>
    </row>
    <row r="13" spans="2:23" s="2" customFormat="1" ht="20.399999999999999" x14ac:dyDescent="0.3">
      <c r="B13" s="14">
        <f>ROW()-ROW($B$12)</f>
        <v>1</v>
      </c>
      <c r="C13" s="16" t="s">
        <v>28</v>
      </c>
      <c r="D13" s="4"/>
      <c r="E13" s="3"/>
      <c r="F13" s="3"/>
      <c r="G13" s="6"/>
      <c r="H13" s="4"/>
      <c r="I13" s="3"/>
      <c r="J13" s="3"/>
      <c r="K13" s="6"/>
      <c r="L13" s="5"/>
      <c r="M13" s="3"/>
      <c r="N13" s="3"/>
      <c r="O13" s="3"/>
      <c r="P13" s="5"/>
      <c r="Q13" s="3"/>
      <c r="R13" s="3"/>
      <c r="S13" s="3"/>
      <c r="T13" s="5"/>
      <c r="U13" s="3"/>
      <c r="V13" s="3"/>
      <c r="W13" s="6"/>
    </row>
    <row r="14" spans="2:23" s="2" customFormat="1" ht="20.399999999999999" x14ac:dyDescent="0.3">
      <c r="B14" s="14">
        <f>ROW()-ROW($B$12)</f>
        <v>2</v>
      </c>
      <c r="C14" s="16" t="s">
        <v>29</v>
      </c>
      <c r="D14" s="4"/>
      <c r="E14" s="3"/>
      <c r="F14" s="3"/>
      <c r="G14" s="6"/>
      <c r="H14" s="4"/>
      <c r="I14" s="3"/>
      <c r="J14" s="3"/>
      <c r="K14" s="6"/>
      <c r="L14" s="5"/>
      <c r="M14" s="3"/>
      <c r="N14" s="3"/>
      <c r="O14" s="3"/>
      <c r="P14" s="5"/>
      <c r="Q14" s="3"/>
      <c r="R14" s="3"/>
      <c r="S14" s="3"/>
      <c r="T14" s="5"/>
      <c r="U14" s="3"/>
      <c r="V14" s="3"/>
      <c r="W14" s="6"/>
    </row>
    <row r="15" spans="2:23" s="2" customFormat="1" ht="20.399999999999999" x14ac:dyDescent="0.3">
      <c r="B15" s="14">
        <f>ROW()-ROW($B$12)</f>
        <v>3</v>
      </c>
      <c r="C15" s="16" t="s">
        <v>30</v>
      </c>
      <c r="D15" s="4"/>
      <c r="E15" s="3"/>
      <c r="F15" s="3"/>
      <c r="G15" s="6"/>
      <c r="H15" s="4"/>
      <c r="I15" s="3"/>
      <c r="J15" s="3"/>
      <c r="K15" s="6"/>
      <c r="L15" s="5"/>
      <c r="M15" s="3"/>
      <c r="N15" s="3"/>
      <c r="O15" s="3"/>
      <c r="P15" s="5"/>
      <c r="Q15" s="3"/>
      <c r="R15" s="3"/>
      <c r="S15" s="3"/>
      <c r="T15" s="5"/>
      <c r="U15" s="3"/>
      <c r="V15" s="3"/>
      <c r="W15" s="6"/>
    </row>
    <row r="16" spans="2:23" s="2" customFormat="1" ht="20.399999999999999" x14ac:dyDescent="0.3">
      <c r="B16" s="14">
        <f>ROW()-ROW($B$12)</f>
        <v>4</v>
      </c>
      <c r="C16" s="16" t="s">
        <v>31</v>
      </c>
      <c r="D16" s="4"/>
      <c r="E16" s="3"/>
      <c r="F16" s="3"/>
      <c r="G16" s="6"/>
      <c r="H16" s="4"/>
      <c r="I16" s="3"/>
      <c r="J16" s="3"/>
      <c r="K16" s="6"/>
      <c r="L16" s="5"/>
      <c r="M16" s="3"/>
      <c r="N16" s="3"/>
      <c r="O16" s="3"/>
      <c r="P16" s="5"/>
      <c r="Q16" s="3"/>
      <c r="R16" s="3"/>
      <c r="S16" s="3"/>
      <c r="T16" s="5"/>
      <c r="U16" s="3"/>
      <c r="V16" s="3"/>
      <c r="W16" s="6"/>
    </row>
    <row r="17" spans="2:23" s="2" customFormat="1" ht="21" thickBot="1" x14ac:dyDescent="0.35">
      <c r="B17" s="14">
        <f>ROW()-ROW($B$12)</f>
        <v>5</v>
      </c>
      <c r="C17" s="16" t="s">
        <v>32</v>
      </c>
      <c r="D17" s="4"/>
      <c r="E17" s="3"/>
      <c r="F17" s="3"/>
      <c r="G17" s="6"/>
      <c r="H17" s="4"/>
      <c r="I17" s="3"/>
      <c r="J17" s="3"/>
      <c r="K17" s="6"/>
      <c r="L17" s="5"/>
      <c r="M17" s="3"/>
      <c r="N17" s="3"/>
      <c r="O17" s="3"/>
      <c r="P17" s="5"/>
      <c r="Q17" s="3"/>
      <c r="R17" s="3"/>
      <c r="S17" s="3"/>
      <c r="T17" s="5"/>
      <c r="U17" s="3"/>
      <c r="V17" s="3"/>
      <c r="W17" s="6"/>
    </row>
    <row r="18" spans="2:23" s="2" customFormat="1" ht="20.399999999999999" x14ac:dyDescent="0.3">
      <c r="B18" s="20" t="s">
        <v>33</v>
      </c>
      <c r="C18" s="21"/>
      <c r="D18" s="4"/>
      <c r="E18" s="3"/>
      <c r="F18" s="3"/>
      <c r="G18" s="6"/>
      <c r="H18" s="4"/>
      <c r="I18" s="3"/>
      <c r="J18" s="3"/>
      <c r="K18" s="6"/>
      <c r="L18" s="5"/>
      <c r="M18" s="3"/>
      <c r="N18" s="3"/>
      <c r="O18" s="3"/>
      <c r="P18" s="5"/>
      <c r="Q18" s="3"/>
      <c r="R18" s="3"/>
      <c r="S18" s="3"/>
      <c r="T18" s="5"/>
      <c r="U18" s="3"/>
      <c r="V18" s="3"/>
      <c r="W18" s="6"/>
    </row>
    <row r="19" spans="2:23" s="2" customFormat="1" ht="20.399999999999999" x14ac:dyDescent="0.3">
      <c r="B19" s="14">
        <f>ROW()-ROW($B$18)</f>
        <v>1</v>
      </c>
      <c r="C19" s="16" t="s">
        <v>17</v>
      </c>
      <c r="D19" s="4"/>
      <c r="E19" s="3"/>
      <c r="F19" s="3"/>
      <c r="G19" s="6"/>
      <c r="H19" s="4"/>
      <c r="I19" s="3"/>
      <c r="J19" s="3"/>
      <c r="K19" s="6"/>
      <c r="L19" s="5"/>
      <c r="M19" s="3"/>
      <c r="N19" s="3"/>
      <c r="O19" s="3"/>
      <c r="P19" s="5"/>
      <c r="Q19" s="3"/>
      <c r="R19" s="3"/>
      <c r="S19" s="3"/>
      <c r="T19" s="5"/>
      <c r="U19" s="3"/>
      <c r="V19" s="3"/>
      <c r="W19" s="6"/>
    </row>
    <row r="20" spans="2:23" s="2" customFormat="1" ht="20.399999999999999" x14ac:dyDescent="0.3">
      <c r="B20" s="14">
        <f>ROW()-ROW($B$18)</f>
        <v>2</v>
      </c>
      <c r="C20" s="16" t="s">
        <v>18</v>
      </c>
      <c r="D20" s="4"/>
      <c r="E20" s="3"/>
      <c r="F20" s="3"/>
      <c r="G20" s="6"/>
      <c r="H20" s="4"/>
      <c r="I20" s="3"/>
      <c r="J20" s="3"/>
      <c r="K20" s="6"/>
      <c r="L20" s="5"/>
      <c r="M20" s="3"/>
      <c r="N20" s="3"/>
      <c r="O20" s="3"/>
      <c r="P20" s="5"/>
      <c r="Q20" s="3"/>
      <c r="R20" s="3"/>
      <c r="S20" s="3"/>
      <c r="T20" s="5"/>
      <c r="U20" s="3"/>
      <c r="V20" s="3"/>
      <c r="W20" s="6"/>
    </row>
    <row r="21" spans="2:23" s="2" customFormat="1" ht="21" thickBot="1" x14ac:dyDescent="0.35">
      <c r="B21" s="14">
        <f>ROW()-ROW($B$18)</f>
        <v>3</v>
      </c>
      <c r="C21" s="16" t="s">
        <v>34</v>
      </c>
      <c r="D21" s="4"/>
      <c r="E21" s="3"/>
      <c r="F21" s="3"/>
      <c r="G21" s="6"/>
      <c r="H21" s="4"/>
      <c r="I21" s="3"/>
      <c r="J21" s="3"/>
      <c r="K21" s="6"/>
      <c r="L21" s="5"/>
      <c r="M21" s="3"/>
      <c r="N21" s="3"/>
      <c r="O21" s="3"/>
      <c r="P21" s="5"/>
      <c r="Q21" s="3"/>
      <c r="R21" s="3"/>
      <c r="S21" s="3"/>
      <c r="T21" s="5"/>
      <c r="U21" s="3"/>
      <c r="V21" s="3"/>
      <c r="W21" s="6"/>
    </row>
    <row r="22" spans="2:23" s="2" customFormat="1" ht="20.399999999999999" x14ac:dyDescent="0.3">
      <c r="B22" s="20" t="s">
        <v>35</v>
      </c>
      <c r="C22" s="21"/>
      <c r="D22" s="4"/>
      <c r="E22" s="3"/>
      <c r="F22" s="3"/>
      <c r="G22" s="6"/>
      <c r="H22" s="4"/>
      <c r="I22" s="3"/>
      <c r="J22" s="3"/>
      <c r="K22" s="6"/>
      <c r="L22" s="5"/>
      <c r="M22" s="3"/>
      <c r="N22" s="3"/>
      <c r="O22" s="3"/>
      <c r="P22" s="5"/>
      <c r="Q22" s="3"/>
      <c r="R22" s="3"/>
      <c r="S22" s="3"/>
      <c r="T22" s="5"/>
      <c r="U22" s="3"/>
      <c r="V22" s="3"/>
      <c r="W22" s="6"/>
    </row>
    <row r="23" spans="2:23" s="2" customFormat="1" ht="20.399999999999999" x14ac:dyDescent="0.3">
      <c r="B23" s="14">
        <f>ROW()-ROW($B$22)</f>
        <v>1</v>
      </c>
      <c r="C23" s="17" t="s">
        <v>14</v>
      </c>
      <c r="D23" s="4"/>
      <c r="E23" s="3"/>
      <c r="F23" s="3"/>
      <c r="G23" s="6"/>
      <c r="H23" s="4"/>
      <c r="I23" s="3"/>
      <c r="J23" s="3"/>
      <c r="K23" s="6"/>
      <c r="L23" s="5"/>
      <c r="M23" s="3"/>
      <c r="N23" s="3"/>
      <c r="O23" s="3"/>
      <c r="P23" s="5"/>
      <c r="Q23" s="3"/>
      <c r="R23" s="3"/>
      <c r="S23" s="3"/>
      <c r="T23" s="5"/>
      <c r="U23" s="3"/>
      <c r="V23" s="3"/>
      <c r="W23" s="6"/>
    </row>
    <row r="24" spans="2:23" s="2" customFormat="1" ht="20.399999999999999" x14ac:dyDescent="0.3">
      <c r="B24" s="14">
        <f t="shared" ref="B24:B28" si="1">ROW()-ROW($B$22)</f>
        <v>2</v>
      </c>
      <c r="C24" s="17" t="s">
        <v>15</v>
      </c>
      <c r="D24" s="4"/>
      <c r="E24" s="3"/>
      <c r="F24" s="3"/>
      <c r="G24" s="6"/>
      <c r="H24" s="4"/>
      <c r="I24" s="3"/>
      <c r="J24" s="3"/>
      <c r="K24" s="6"/>
      <c r="L24" s="5"/>
      <c r="M24" s="3"/>
      <c r="N24" s="3"/>
      <c r="O24" s="3"/>
      <c r="P24" s="5"/>
      <c r="Q24" s="3"/>
      <c r="R24" s="3"/>
      <c r="S24" s="3"/>
      <c r="T24" s="5"/>
      <c r="U24" s="3"/>
      <c r="V24" s="3"/>
      <c r="W24" s="6"/>
    </row>
    <row r="25" spans="2:23" s="2" customFormat="1" ht="20.399999999999999" x14ac:dyDescent="0.3">
      <c r="B25" s="14">
        <f t="shared" si="1"/>
        <v>3</v>
      </c>
      <c r="C25" s="17" t="s">
        <v>36</v>
      </c>
      <c r="D25" s="4"/>
      <c r="E25" s="3"/>
      <c r="F25" s="3"/>
      <c r="G25" s="6"/>
      <c r="H25" s="4"/>
      <c r="I25" s="3"/>
      <c r="J25" s="3"/>
      <c r="K25" s="6"/>
      <c r="L25" s="5"/>
      <c r="M25" s="3"/>
      <c r="N25" s="3"/>
      <c r="O25" s="3"/>
      <c r="P25" s="5"/>
      <c r="Q25" s="3"/>
      <c r="R25" s="3"/>
      <c r="S25" s="3"/>
      <c r="T25" s="5"/>
      <c r="U25" s="3"/>
      <c r="V25" s="3"/>
      <c r="W25" s="6"/>
    </row>
    <row r="26" spans="2:23" s="2" customFormat="1" ht="20.399999999999999" x14ac:dyDescent="0.3">
      <c r="B26" s="14">
        <f t="shared" si="1"/>
        <v>4</v>
      </c>
      <c r="C26" s="17" t="s">
        <v>37</v>
      </c>
      <c r="D26" s="4"/>
      <c r="E26" s="3"/>
      <c r="F26" s="3"/>
      <c r="G26" s="6"/>
      <c r="H26" s="4"/>
      <c r="I26" s="3"/>
      <c r="J26" s="3"/>
      <c r="K26" s="6"/>
      <c r="L26" s="5"/>
      <c r="M26" s="3"/>
      <c r="N26" s="3"/>
      <c r="O26" s="3"/>
      <c r="P26" s="5"/>
      <c r="Q26" s="3"/>
      <c r="R26" s="3"/>
      <c r="S26" s="3"/>
      <c r="T26" s="5"/>
      <c r="U26" s="3"/>
      <c r="V26" s="3"/>
      <c r="W26" s="6"/>
    </row>
    <row r="27" spans="2:23" s="2" customFormat="1" ht="20.399999999999999" x14ac:dyDescent="0.3">
      <c r="B27" s="14">
        <f t="shared" si="1"/>
        <v>5</v>
      </c>
      <c r="C27" s="17" t="s">
        <v>38</v>
      </c>
      <c r="D27" s="4"/>
      <c r="E27" s="3"/>
      <c r="F27" s="3"/>
      <c r="G27" s="6"/>
      <c r="H27" s="4"/>
      <c r="I27" s="3"/>
      <c r="J27" s="3"/>
      <c r="K27" s="6"/>
      <c r="L27" s="5"/>
      <c r="M27" s="3"/>
      <c r="N27" s="3"/>
      <c r="O27" s="3"/>
      <c r="P27" s="5"/>
      <c r="Q27" s="3"/>
      <c r="R27" s="3"/>
      <c r="S27" s="3"/>
      <c r="T27" s="5"/>
      <c r="U27" s="3"/>
      <c r="V27" s="3"/>
      <c r="W27" s="6"/>
    </row>
    <row r="28" spans="2:23" s="2" customFormat="1" ht="21" thickBot="1" x14ac:dyDescent="0.35">
      <c r="B28" s="18">
        <f t="shared" si="1"/>
        <v>6</v>
      </c>
      <c r="C28" s="19" t="s">
        <v>39</v>
      </c>
      <c r="D28" s="10"/>
      <c r="E28" s="8"/>
      <c r="F28" s="8"/>
      <c r="G28" s="9"/>
      <c r="H28" s="10"/>
      <c r="I28" s="8"/>
      <c r="J28" s="8"/>
      <c r="K28" s="9"/>
      <c r="L28" s="7"/>
      <c r="M28" s="8"/>
      <c r="N28" s="8"/>
      <c r="O28" s="8"/>
      <c r="P28" s="7"/>
      <c r="Q28" s="8"/>
      <c r="R28" s="8"/>
      <c r="S28" s="8"/>
      <c r="T28" s="7"/>
      <c r="U28" s="8"/>
      <c r="V28" s="8"/>
      <c r="W28" s="9"/>
    </row>
    <row r="29" spans="2:23" ht="13.95" customHeight="1" x14ac:dyDescent="0.6"/>
    <row r="30" spans="2:23" ht="13.95" customHeight="1" x14ac:dyDescent="0.6"/>
    <row r="31" spans="2:23" s="2" customFormat="1" ht="25.95" customHeight="1" x14ac:dyDescent="0.3">
      <c r="E31" s="2" t="s">
        <v>7</v>
      </c>
      <c r="I31" s="2" t="s">
        <v>6</v>
      </c>
    </row>
    <row r="32" spans="2:23" s="2" customFormat="1" ht="13.95" customHeight="1" x14ac:dyDescent="0.3"/>
    <row r="33" spans="5:9" s="2" customFormat="1" ht="25.95" customHeight="1" x14ac:dyDescent="0.3">
      <c r="E33" s="2" t="s">
        <v>9</v>
      </c>
      <c r="I33" s="2" t="s">
        <v>8</v>
      </c>
    </row>
    <row r="34" spans="5:9" ht="13.95" customHeight="1" x14ac:dyDescent="0.6"/>
    <row r="35" spans="5:9" ht="13.95" customHeight="1" x14ac:dyDescent="0.6"/>
    <row r="36" spans="5:9" ht="13.95" customHeight="1" x14ac:dyDescent="0.6"/>
    <row r="37" spans="5:9" ht="13.95" customHeight="1" x14ac:dyDescent="0.6"/>
    <row r="38" spans="5:9" ht="13.95" customHeight="1" x14ac:dyDescent="0.6"/>
    <row r="39" spans="5:9" ht="13.95" customHeight="1" x14ac:dyDescent="0.6"/>
    <row r="40" spans="5:9" ht="13.95" customHeight="1" x14ac:dyDescent="0.6"/>
    <row r="41" spans="5:9" ht="13.95" customHeight="1" x14ac:dyDescent="0.6"/>
    <row r="42" spans="5:9" ht="13.95" customHeight="1" x14ac:dyDescent="0.6"/>
    <row r="43" spans="5:9" ht="13.95" customHeight="1" x14ac:dyDescent="0.6"/>
    <row r="44" spans="5:9" ht="13.95" customHeight="1" x14ac:dyDescent="0.6"/>
    <row r="45" spans="5:9" ht="13.95" customHeight="1" x14ac:dyDescent="0.6"/>
    <row r="46" spans="5:9" ht="13.95" customHeight="1" x14ac:dyDescent="0.6"/>
    <row r="47" spans="5:9" ht="13.95" customHeight="1" x14ac:dyDescent="0.6"/>
    <row r="48" spans="5:9" ht="13.95" customHeight="1" x14ac:dyDescent="0.6"/>
    <row r="49" ht="13.95" customHeight="1" x14ac:dyDescent="0.6"/>
    <row r="50" ht="13.95" customHeight="1" x14ac:dyDescent="0.6"/>
    <row r="51" ht="13.95" customHeight="1" x14ac:dyDescent="0.6"/>
  </sheetData>
  <mergeCells count="11">
    <mergeCell ref="B18:C18"/>
    <mergeCell ref="B22:C22"/>
    <mergeCell ref="B12:C12"/>
    <mergeCell ref="T2:W2"/>
    <mergeCell ref="B4:C4"/>
    <mergeCell ref="B2:B3"/>
    <mergeCell ref="C2:C3"/>
    <mergeCell ref="D2:G2"/>
    <mergeCell ref="H2:K2"/>
    <mergeCell ref="L2:O2"/>
    <mergeCell ref="P2:S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E75B-9719-483E-8772-562CF916E467}">
  <dimension ref="B1:R15"/>
  <sheetViews>
    <sheetView topLeftCell="A3" zoomScale="70" zoomScaleNormal="70" workbookViewId="0">
      <selection activeCell="H3" sqref="H3"/>
    </sheetView>
  </sheetViews>
  <sheetFormatPr defaultRowHeight="24" x14ac:dyDescent="0.3"/>
  <cols>
    <col min="1" max="1" width="3.296875" style="32" customWidth="1"/>
    <col min="2" max="2" width="26.09765625" style="32" customWidth="1"/>
    <col min="3" max="17" width="8.796875" style="32"/>
    <col min="18" max="18" width="18.19921875" style="32" customWidth="1"/>
    <col min="19" max="16384" width="8.796875" style="32"/>
  </cols>
  <sheetData>
    <row r="1" spans="2:18" ht="24.6" thickBot="1" x14ac:dyDescent="0.35"/>
    <row r="2" spans="2:18" ht="49.8" customHeight="1" thickBot="1" x14ac:dyDescent="0.35">
      <c r="B2" s="33" t="s">
        <v>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</row>
    <row r="3" spans="2:18" ht="108" customHeight="1" thickBot="1" x14ac:dyDescent="0.35">
      <c r="B3" s="36"/>
      <c r="C3" s="29" t="s">
        <v>43</v>
      </c>
      <c r="D3" s="30" t="s">
        <v>44</v>
      </c>
      <c r="E3" s="30" t="s">
        <v>45</v>
      </c>
      <c r="F3" s="30" t="s">
        <v>46</v>
      </c>
      <c r="G3" s="30" t="s">
        <v>47</v>
      </c>
      <c r="H3" s="30" t="s">
        <v>48</v>
      </c>
      <c r="I3" s="30" t="s">
        <v>49</v>
      </c>
      <c r="J3" s="30" t="s">
        <v>50</v>
      </c>
      <c r="K3" s="30" t="s">
        <v>51</v>
      </c>
      <c r="L3" s="30" t="s">
        <v>52</v>
      </c>
      <c r="M3" s="30" t="s">
        <v>53</v>
      </c>
      <c r="N3" s="30" t="s">
        <v>54</v>
      </c>
      <c r="O3" s="31" t="s">
        <v>55</v>
      </c>
      <c r="P3" s="37"/>
      <c r="Q3" s="38" t="s">
        <v>64</v>
      </c>
      <c r="R3" s="39"/>
    </row>
    <row r="4" spans="2:18" ht="40.049999999999997" customHeight="1" x14ac:dyDescent="0.3">
      <c r="B4" s="40" t="s">
        <v>40</v>
      </c>
      <c r="C4" s="41" t="s">
        <v>63</v>
      </c>
      <c r="D4" s="42" t="s">
        <v>63</v>
      </c>
      <c r="E4" s="42" t="s">
        <v>63</v>
      </c>
      <c r="F4" s="42"/>
      <c r="G4" s="42" t="s">
        <v>63</v>
      </c>
      <c r="H4" s="42" t="s">
        <v>63</v>
      </c>
      <c r="I4" s="42" t="s">
        <v>63</v>
      </c>
      <c r="J4" s="42" t="s">
        <v>63</v>
      </c>
      <c r="K4" s="42"/>
      <c r="L4" s="42"/>
      <c r="M4" s="42"/>
      <c r="N4" s="42"/>
      <c r="O4" s="43"/>
      <c r="P4" s="59"/>
      <c r="Q4" s="60"/>
      <c r="R4" s="61"/>
    </row>
    <row r="5" spans="2:18" ht="40.049999999999997" customHeight="1" x14ac:dyDescent="0.3">
      <c r="B5" s="44" t="s">
        <v>41</v>
      </c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62"/>
      <c r="Q5" s="63"/>
      <c r="R5" s="64"/>
    </row>
    <row r="6" spans="2:18" ht="40.049999999999997" customHeight="1" x14ac:dyDescent="0.3">
      <c r="B6" s="44" t="s">
        <v>42</v>
      </c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P6" s="62"/>
      <c r="Q6" s="63"/>
      <c r="R6" s="64"/>
    </row>
    <row r="7" spans="2:18" ht="40.049999999999997" customHeight="1" x14ac:dyDescent="0.3">
      <c r="B7" s="44" t="s">
        <v>56</v>
      </c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  <c r="P7" s="62"/>
      <c r="Q7" s="63"/>
      <c r="R7" s="64"/>
    </row>
    <row r="8" spans="2:18" ht="40.049999999999997" customHeight="1" x14ac:dyDescent="0.3">
      <c r="B8" s="44" t="s">
        <v>14</v>
      </c>
      <c r="C8" s="46" t="s">
        <v>62</v>
      </c>
      <c r="D8" s="46" t="s">
        <v>62</v>
      </c>
      <c r="E8" s="46"/>
      <c r="F8" s="46" t="s">
        <v>62</v>
      </c>
      <c r="G8" s="46" t="s">
        <v>62</v>
      </c>
      <c r="H8" s="46" t="s">
        <v>62</v>
      </c>
      <c r="I8" s="46"/>
      <c r="J8" s="46"/>
      <c r="K8" s="42" t="s">
        <v>63</v>
      </c>
      <c r="L8" s="46" t="s">
        <v>62</v>
      </c>
      <c r="M8" s="46" t="s">
        <v>62</v>
      </c>
      <c r="N8" s="46" t="s">
        <v>62</v>
      </c>
      <c r="O8" s="46" t="s">
        <v>62</v>
      </c>
      <c r="P8" s="62"/>
      <c r="Q8" s="63"/>
      <c r="R8" s="64"/>
    </row>
    <row r="9" spans="2:18" ht="40.049999999999997" customHeight="1" x14ac:dyDescent="0.3">
      <c r="B9" s="44" t="s">
        <v>66</v>
      </c>
      <c r="C9" s="45"/>
      <c r="D9" s="46" t="s">
        <v>62</v>
      </c>
      <c r="E9" s="46" t="s">
        <v>62</v>
      </c>
      <c r="F9" s="46" t="s">
        <v>62</v>
      </c>
      <c r="G9" s="46" t="s">
        <v>62</v>
      </c>
      <c r="H9" s="46" t="s">
        <v>62</v>
      </c>
      <c r="I9" s="46"/>
      <c r="J9" s="46"/>
      <c r="K9" s="46" t="s">
        <v>62</v>
      </c>
      <c r="L9" s="46" t="s">
        <v>62</v>
      </c>
      <c r="M9" s="46" t="s">
        <v>62</v>
      </c>
      <c r="N9" s="46" t="s">
        <v>62</v>
      </c>
      <c r="O9" s="47"/>
      <c r="P9" s="68" t="s">
        <v>67</v>
      </c>
      <c r="Q9" s="69"/>
      <c r="R9" s="70"/>
    </row>
    <row r="10" spans="2:18" ht="40.049999999999997" customHeight="1" x14ac:dyDescent="0.3">
      <c r="B10" s="44" t="s">
        <v>57</v>
      </c>
      <c r="C10" s="46" t="s">
        <v>62</v>
      </c>
      <c r="D10" s="46" t="s">
        <v>62</v>
      </c>
      <c r="E10" s="46"/>
      <c r="F10" s="46" t="s">
        <v>62</v>
      </c>
      <c r="G10" s="46"/>
      <c r="H10" s="46" t="s">
        <v>62</v>
      </c>
      <c r="I10" s="46"/>
      <c r="J10" s="46"/>
      <c r="K10" s="42" t="s">
        <v>63</v>
      </c>
      <c r="L10" s="46" t="s">
        <v>62</v>
      </c>
      <c r="M10" s="46" t="s">
        <v>62</v>
      </c>
      <c r="N10" s="46"/>
      <c r="O10" s="47"/>
      <c r="P10" s="62"/>
      <c r="Q10" s="63"/>
      <c r="R10" s="64"/>
    </row>
    <row r="11" spans="2:18" ht="40.049999999999997" customHeight="1" x14ac:dyDescent="0.3">
      <c r="B11" s="44" t="s">
        <v>58</v>
      </c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P11" s="62"/>
      <c r="Q11" s="63"/>
      <c r="R11" s="64"/>
    </row>
    <row r="12" spans="2:18" ht="40.049999999999997" customHeight="1" x14ac:dyDescent="0.3">
      <c r="B12" s="44" t="s">
        <v>59</v>
      </c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  <c r="P12" s="62"/>
      <c r="Q12" s="63"/>
      <c r="R12" s="64"/>
    </row>
    <row r="13" spans="2:18" ht="40.049999999999997" customHeight="1" x14ac:dyDescent="0.3">
      <c r="B13" s="44" t="s">
        <v>60</v>
      </c>
      <c r="C13" s="45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7"/>
      <c r="P13" s="62"/>
      <c r="Q13" s="63"/>
      <c r="R13" s="64"/>
    </row>
    <row r="14" spans="2:18" ht="40.049999999999997" customHeight="1" thickBot="1" x14ac:dyDescent="0.35">
      <c r="B14" s="48" t="s">
        <v>61</v>
      </c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65"/>
      <c r="Q14" s="66"/>
      <c r="R14" s="67"/>
    </row>
    <row r="15" spans="2:18" ht="24.6" thickBot="1" x14ac:dyDescent="0.35">
      <c r="B15" s="52"/>
      <c r="C15" s="53">
        <f>COUNTIF(C4:C14,"✅")/(ROWS(C4:C14)-COUNTIF(C4:C14,"N/A"))</f>
        <v>0.2</v>
      </c>
      <c r="D15" s="54">
        <f>COUNTIF(D4:D14,"✅")/(ROWS(D4:D14)-COUNTIF(D4:D14,"N/A"))</f>
        <v>0.3</v>
      </c>
      <c r="E15" s="54">
        <f>COUNTIF(E4:E14,"✅")/(ROWS(E4:E14)-COUNTIF(E4:E14,"N/A"))</f>
        <v>0.1</v>
      </c>
      <c r="F15" s="54">
        <f>COUNTIF(F4:F14,"✅")/(ROWS(F4:F14)-COUNTIF(F4:F14,"N/A"))</f>
        <v>0.27272727272727271</v>
      </c>
      <c r="G15" s="54">
        <f>COUNTIF(G4:G14,"✅")/(ROWS(G4:G14)-COUNTIF(G4:G14,"N/A"))</f>
        <v>0.2</v>
      </c>
      <c r="H15" s="54">
        <f>COUNTIF(H4:H14,"✅")/(ROWS(H4:H14)-COUNTIF(H4:H14,"N/A"))</f>
        <v>0.3</v>
      </c>
      <c r="I15" s="54">
        <f>COUNTIF(I4:I14,"✅")/(ROWS(I4:I14)-COUNTIF(I4:I14,"N/A"))</f>
        <v>0</v>
      </c>
      <c r="J15" s="54">
        <f>COUNTIF(J4:J14,"✅")/(ROWS(J4:J14)-COUNTIF(J4:J14,"N/A"))</f>
        <v>0</v>
      </c>
      <c r="K15" s="54">
        <f>COUNTIF(K4:K14,"✅")/(ROWS(K4:K14)-COUNTIF(K4:K14,"N/A"))</f>
        <v>0.1111111111111111</v>
      </c>
      <c r="L15" s="54">
        <f>COUNTIF(L4:L14,"✅")/(ROWS(L4:L14)-COUNTIF(L4:L14,"N/A"))</f>
        <v>0.27272727272727271</v>
      </c>
      <c r="M15" s="54">
        <f>COUNTIF(M4:M14,"✅")/(ROWS(M4:M14)-COUNTIF(M4:M14,"N/A"))</f>
        <v>0.27272727272727271</v>
      </c>
      <c r="N15" s="54">
        <f>COUNTIF(N4:N14,"✅")/(ROWS(N4:N14)-COUNTIF(N4:N14,"N/A"))</f>
        <v>0.18181818181818182</v>
      </c>
      <c r="O15" s="55">
        <f>COUNTIF(O4:O14,"✅")/(ROWS(O4:O14)-COUNTIF(O4:O14,"N/A"))</f>
        <v>9.0909090909090912E-2</v>
      </c>
      <c r="P15" s="56"/>
      <c r="Q15" s="57"/>
      <c r="R15" s="58"/>
    </row>
  </sheetData>
  <mergeCells count="12">
    <mergeCell ref="B2:R2"/>
    <mergeCell ref="P10:R10"/>
    <mergeCell ref="P11:R11"/>
    <mergeCell ref="P12:R12"/>
    <mergeCell ref="P13:R13"/>
    <mergeCell ref="P14:R14"/>
    <mergeCell ref="P4:R4"/>
    <mergeCell ref="P5:R5"/>
    <mergeCell ref="P6:R6"/>
    <mergeCell ref="P7:R7"/>
    <mergeCell ref="P8:R8"/>
    <mergeCell ref="P9:R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 27001_2022</vt:lpstr>
      <vt:lpstr>Progress Data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2024-12-12T15:31:23Z</dcterms:created>
  <dcterms:modified xsi:type="dcterms:W3CDTF">2026-04-22T02:20:23Z</dcterms:modified>
</cp:coreProperties>
</file>